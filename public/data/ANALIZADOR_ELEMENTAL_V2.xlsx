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<sst xmlns="http://schemas.openxmlformats.org/spreadsheetml/2006/main" count="831" uniqueCount="191">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</sst>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I1" s="2" t="s">
        <v>8</v>
      </c>
      <c r="K1" s="2" t="s">
        <v>9</v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s">
        <v>56</v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8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SUMPRODUCT((DATOS!G:G=CONFIG_METADATA!$B$4)*(COUNTIF(CONFIG_ASIGNATURAS!$B$5:$B$27,DATOS!I:I)&gt;0)*1)</f>
        <v>0</v>
      </c>
      <c r="E3" s="14" t="str">
        <f>IFERROR(AVERAGEIFS(DATOS!K:K,DATOS!G:G,CONFIG_METADATA!$B$4,DATOS!I:I,"&lt;&gt;Lenguaje Musical",DATOS!I:I,"&lt;&gt;Coro",DATOS!I:I,"&lt;&gt;Conjunto"),"—")</f>
        <v>—</v>
      </c>
      <c r="F3" s="14" t="str" cm="1">
        <f t="array" ref="F3">IFERROR(_xlfn.STDEV.P(IF((DATOS!$G$2:$G$20000=CONFIG_METADATA!$B$4)*(DATOS!$I$2:$I$20000&lt;&gt;"Lenguaje Musical")*(DATOS!$I$2:$I$20000&lt;&gt;"Coro")*(DATOS!$I$2:$I$20000&lt;&gt;"Conjunto"),DATOS!$K$2:$K$20000)),"—")</f>
        <v>—</v>
      </c>
      <c r="G3" t="str" cm="1">
        <f t="array" ref="G3">IFERROR(_xlfn.MODE.SNGL(IF((DATOS!$G$2:$G$20000=CONFIG_METADATA!$B$4)*(DATOS!$I$2:$I$20000&lt;&gt;"Lenguaje Musical")*(DATOS!$I$2:$I$20000&lt;&gt;"Coro")*(DATOS!$I$2:$I$20000&lt;&gt;"Conjunto"),DATOS!$K$2:$K$20000)),"—")</f>
        <v>—</v>
      </c>
      <c r="H3" s="15" t="str">
        <f>IFERROR(COUNTIFS(DATOS!G:G,CONFIG_METADATA!$B$4,DATOS!L:L,"S",DATOS!I:I,"&lt;&gt;Lenguaje Musical",DATOS!I:I,"&lt;&gt;Coro",DATOS!I:I,"&lt;&gt;Conjunto")/COUNTIFS(DATOS!G:G,CONFIG_METADATA!$B$4,DATOS!I:I,"&lt;&gt;Lenguaje Musical",DATOS!I:I,"&lt;&gt;Coro",DATOS!I:I,"&lt;&gt;Conjunto"),"—")</f>
        <v>—</v>
      </c>
      <c r="I3" s="15" t="str" cm="1">
        <f t="array" ref="I3">IFERROR(SUMPRODUCT((DATOS!$G$2:$G$20000=CONFIG_METADATA!$B$4)*(DATOS!$I$2:$I$20000&lt;&gt;"Lenguaje Musical")*(DATOS!$I$2:$I$20000&lt;&gt;"Coro")*(DATOS!$I$2:$I$20000&lt;&gt;"Conjunto")*(DATOS!$L$2:$L$20000="N"))/SUMPRODUCT((DATOS!$G$2:$G$20000=CONFIG_METADATA!$B$4)*(DATOS!$I$2:$I$20000&lt;&gt;"Lenguaje Musical")*(DATOS!$I$2:$I$20000&lt;&gt;"Coro")*(DATOS!$I$2:$I$20000&lt;&gt;"Conjunto")*1),"—")</f>
        <v>—</v>
      </c>
      <c r="J3" t="str" cm="1">
        <f t="array" ref="J3">IFERROR(_xlfn.MODE.SNGL(IF((DATOS!$G$2:$G$20000=CONFIG_METADATA!$B$4)*(DATOS!$I$2:$I$20000&lt;&gt;"Lenguaje Musical")*(DATOS!$I$2:$I$20000&lt;&gt;"Coro")*(DATOS!$I$2:$I$20000&lt;&gt;"Conjunto")*(DATOS!$L$2:$L$20000="S"),DATOS!$K$2:$K$20000)),"—")</f>
        <v>—</v>
      </c>
      <c r="K3" t="str" cm="1">
        <f t="array" ref="K3">IFERROR(_xlfn.MODE.SNGL(IF((DATOS!$G$2:$G$20000=CONFIG_METADATA!$B$4)*(DATOS!$I$2:$I$20000&lt;&gt;"Lenguaje Musical")*(DATOS!$I$2:$I$20000&lt;&gt;"Coro")*(DATOS!$I$2:$I$20000&lt;&gt;"Conjunto")*(DATOS!$L$2:$L$20000="N"),DATOS!$K$2:$K$20000)),"—")</f>
        <v>—</v>
      </c>
      <c r="L3" cm="1">
        <f t="array" ref="L3">SUMPRODUCT((DATOS!$G$2:$G$20000=CONFIG_METADATA!$B$4)*(DATOS!$I$2:$I$20000&lt;&gt;"Lenguaje Musical")*(DATOS!$I$2:$I$20000&lt;&gt;"Coro")*(DATOS!$I$2:$I$20000&lt;&gt;"Conjunto")*(DATOS!$K$2:$K$20000=1))</f>
        <v>0</v>
      </c>
      <c r="M3" cm="1">
        <f t="array" ref="M3">SUMPRODUCT((DATOS!$G$2:$G$20000=CONFIG_METADATA!$B$4)*(DATOS!$I$2:$I$20000&lt;&gt;"Lenguaje Musical")*(DATOS!$I$2:$I$20000&lt;&gt;"Coro")*(DATOS!$I$2:$I$20000&lt;&gt;"Conjunto")*(DATOS!$K$2:$K$20000=2))</f>
        <v>0</v>
      </c>
      <c r="N3" cm="1">
        <f t="array" ref="N3">SUMPRODUCT((DATOS!$G$2:$G$20000=CONFIG_METADATA!$B$4)*(DATOS!$I$2:$I$20000&lt;&gt;"Lenguaje Musical")*(DATOS!$I$2:$I$20000&lt;&gt;"Coro")*(DATOS!$I$2:$I$20000&lt;&gt;"Conjunto")*(DATOS!$K$2:$K$20000=3))</f>
        <v>0</v>
      </c>
      <c r="O3" cm="1">
        <f t="array" ref="O3">SUMPRODUCT((DATOS!$G$2:$G$20000=CONFIG_METADATA!$B$4)*(DATOS!$I$2:$I$20000&lt;&gt;"Lenguaje Musical")*(DATOS!$I$2:$I$20000&lt;&gt;"Coro")*(DATOS!$I$2:$I$20000&lt;&gt;"Conjunto")*(DATOS!$K$2:$K$20000=4))</f>
        <v>0</v>
      </c>
      <c r="P3" cm="1">
        <f t="array" ref="P3">SUMPRODUCT((DATOS!$G$2:$G$20000=CONFIG_METADATA!$B$4)*(DATOS!$I$2:$I$20000&lt;&gt;"Lenguaje Musical")*(DATOS!$I$2:$I$20000&lt;&gt;"Coro")*(DATOS!$I$2:$I$20000&lt;&gt;"Conjunto")*(DATOS!$K$2:$K$20000=5))</f>
        <v>0</v>
      </c>
      <c r="Q3" cm="1">
        <f t="array" ref="Q3">SUMPRODUCT((DATOS!$G$2:$G$20000=CONFIG_METADATA!$B$4)*(DATOS!$I$2:$I$20000&lt;&gt;"Lenguaje Musical")*(DATOS!$I$2:$I$20000&lt;&gt;"Coro")*(DATOS!$I$2:$I$20000&lt;&gt;"Conjunto")*(DATOS!$K$2:$K$20000=6))</f>
        <v>0</v>
      </c>
      <c r="R3" cm="1">
        <f t="array" ref="R3">SUMPRODUCT((DATOS!$G$2:$G$20000=CONFIG_METADATA!$B$4)*(DATOS!$I$2:$I$20000&lt;&gt;"Lenguaje Musical")*(DATOS!$I$2:$I$20000&lt;&gt;"Coro")*(DATOS!$I$2:$I$20000&lt;&gt;"Conjunto")*(DATOS!$K$2:$K$20000=7))</f>
        <v>0</v>
      </c>
      <c r="S3" cm="1">
        <f t="array" ref="S3">SUMPRODUCT((DATOS!$G$2:$G$20000=CONFIG_METADATA!$B$4)*(DATOS!$I$2:$I$20000&lt;&gt;"Lenguaje Musical")*(DATOS!$I$2:$I$20000&lt;&gt;"Coro")*(DATOS!$I$2:$I$20000&lt;&gt;"Conjunto")*(DATOS!$K$2:$K$20000=8))</f>
        <v>0</v>
      </c>
      <c r="T3" cm="1">
        <f t="array" ref="T3">SUMPRODUCT((DATOS!$G$2:$G$20000=CONFIG_METADATA!$B$4)*(DATOS!$I$2:$I$20000&lt;&gt;"Lenguaje Musical")*(DATOS!$I$2:$I$20000&lt;&gt;"Coro")*(DATOS!$I$2:$I$20000&lt;&gt;"Conjunto")*(DATOS!$K$2:$K$20000=9))</f>
        <v>0</v>
      </c>
      <c r="U3" cm="1">
        <f t="array" ref="U3">SUMPRODUCT((DATOS!$G$2:$G$20000=CONFIG_METADATA!$B$4)*(DATOS!$I$2:$I$20000&lt;&gt;"Lenguaje Musical")*(DATOS!$I$2:$I$20000&lt;&gt;"Coro")*(DATOS!$I$2:$I$20000&lt;&gt;"Conjunto")*(DATOS!$K$2:$K$20000=10))</f>
        <v>0</v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SUMPRODUCT((DATOS!G:G=CONFIG_METADATA!$B$4)*((DATOS!I:I="Lenguaje Musical")+(DATOS!I:I="Coro")+(DATOS!I:I="Conjunto")))</f>
        <v>0</v>
      </c>
      <c r="E4" s="14" t="str" cm="1">
        <f t="array" ref="E4">IFERROR(AVERAGE(IF((DATOS!$G$2:$G$20000=CONFIG_METADATA!$B$4)*((DATOS!$I$2:$I$20000="Lenguaje Musical")+(DATOS!$I$2:$I$20000="Coro")+(DATOS!$I$2:$I$20000="Conjunto")),DATOS!$K$2:$K$20000)),"—")</f>
        <v>—</v>
      </c>
      <c r="F4" s="14" t="str" cm="1">
        <f t="array" ref="F4">IFERROR(_xlfn.STDEV.P(IF((DATOS!$G$2:$G$20000=CONFIG_METADATA!$B$4)*((DATOS!$I$2:$I$20000="Lenguaje Musical")+(DATOS!$I$2:$I$20000="Coro")+(DATOS!$I$2:$I$20000="Conjunto")),DATOS!$K$2:$K$20000)),"—")</f>
        <v>—</v>
      </c>
      <c r="G4" t="str" cm="1">
        <f t="array" ref="G4">IFERROR(_xlfn.MODE.SNGL(IF((DATOS!$G$2:$G$20000=CONFIG_METADATA!$B$4)*((DATOS!$I$2:$I$20000="Lenguaje Musical")+(DATOS!$I$2:$I$20000="Coro")+(DATOS!$I$2:$I$20000="Conjunto")),DATOS!$K$2:$K$20000)),"—")</f>
        <v>—</v>
      </c>
      <c r="H4" s="15" t="str" cm="1">
        <f t="array" ref="H4">IFERROR(SUMPRODUCT((DATOS!$G$2:$G$20000=CONFIG_METADATA!$B$4)*((DATOS!$I$2:$I$20000="Lenguaje Musical")+(DATOS!$I$2:$I$20000="Coro")+(DATOS!$I$2:$I$20000="Conjunto"))*(DATOS!$L$2:$L$20000="S"))/SUMPRODUCT((DATOS!$G$2:$G$20000=CONFIG_METADATA!$B$4)*((DATOS!$I$2:$I$20000="Lenguaje Musical")+(DATOS!$I$2:$I$20000="Coro")+(DATOS!$I$2:$I$20000="Conjunto"))*1),"—")</f>
        <v>—</v>
      </c>
      <c r="I4" s="15" t="str" cm="1">
        <f t="array" ref="I4">IFERROR(SUMPRODUCT((DATOS!$G$2:$G$20000=CONFIG_METADATA!$B$4)*((DATOS!$I$2:$I$20000="Lenguaje Musical")+(DATOS!$I$2:$I$20000="Coro")+(DATOS!$I$2:$I$20000="Conjunto"))*(DATOS!$L$2:$L$20000="N"))/SUMPRODUCT((DATOS!$G$2:$G$20000=CONFIG_METADATA!$B$4)*((DATOS!$I$2:$I$20000="Lenguaje Musical")+(DATOS!$I$2:$I$20000="Coro")+(DATOS!$I$2:$I$20000="Conjunto"))*1),"—")</f>
        <v>—</v>
      </c>
      <c r="J4" t="str" cm="1">
        <f t="array" ref="J4">IFERROR(_xlfn.MODE.SNGL(IF((DATOS!$G$2:$G$20000=CONFIG_METADATA!$B$4)*((DATOS!$I$2:$I$20000="Lenguaje Musical")+(DATOS!$I$2:$I$20000="Coro")+(DATOS!$I$2:$I$20000="Conjunto"))*(DATOS!$L$2:$L$20000="S"),DATOS!$K$2:$K$20000)),"—")</f>
        <v>—</v>
      </c>
      <c r="K4" t="str" cm="1">
        <f t="array" ref="K4">IFERROR(_xlfn.MODE.SNGL(IF((DATOS!$G$2:$G$20000=CONFIG_METADATA!$B$4)*((DATOS!$I$2:$I$20000="Lenguaje Musical")+(DATOS!$I$2:$I$20000="Coro")+(DATOS!$I$2:$I$20000="Conjunto"))*(DATOS!$L$2:$L$20000="N"),DATOS!$K$2:$K$20000)),"—")</f>
        <v>—</v>
      </c>
      <c r="L4" cm="1">
        <f t="array" ref="L4">SUMPRODUCT((DATOS!$G$2:$G$20000=CONFIG_METADATA!$B$4)*((DATOS!$I$2:$I$20000="Lenguaje Musical")+(DATOS!$I$2:$I$20000="Coro")+(DATOS!$I$2:$I$20000="Conjunto"))*(DATOS!$K$2:$K$20000=1))</f>
        <v>0</v>
      </c>
      <c r="M4" cm="1">
        <f t="array" ref="M4">SUMPRODUCT((DATOS!$G$2:$G$20000=CONFIG_METADATA!$B$4)*((DATOS!$I$2:$I$20000="Lenguaje Musical")+(DATOS!$I$2:$I$20000="Coro")+(DATOS!$I$2:$I$20000="Conjunto"))*(DATOS!$K$2:$K$20000=2))</f>
        <v>0</v>
      </c>
      <c r="N4" cm="1">
        <f t="array" ref="N4">SUMPRODUCT((DATOS!$G$2:$G$20000=CONFIG_METADATA!$B$4)*((DATOS!$I$2:$I$20000="Lenguaje Musical")+(DATOS!$I$2:$I$20000="Coro")+(DATOS!$I$2:$I$20000="Conjunto"))*(DATOS!$K$2:$K$20000=3))</f>
        <v>0</v>
      </c>
      <c r="O4" cm="1">
        <f t="array" ref="O4">SUMPRODUCT((DATOS!$G$2:$G$20000=CONFIG_METADATA!$B$4)*((DATOS!$I$2:$I$20000="Lenguaje Musical")+(DATOS!$I$2:$I$20000="Coro")+(DATOS!$I$2:$I$20000="Conjunto"))*(DATOS!$K$2:$K$20000=4))</f>
        <v>0</v>
      </c>
      <c r="P4" cm="1">
        <f t="array" ref="P4">SUMPRODUCT((DATOS!$G$2:$G$20000=CONFIG_METADATA!$B$4)*((DATOS!$I$2:$I$20000="Lenguaje Musical")+(DATOS!$I$2:$I$20000="Coro")+(DATOS!$I$2:$I$20000="Conjunto"))*(DATOS!$K$2:$K$20000=5))</f>
        <v>0</v>
      </c>
      <c r="Q4" cm="1">
        <f t="array" ref="Q4">SUMPRODUCT((DATOS!$G$2:$G$20000=CONFIG_METADATA!$B$4)*((DATOS!$I$2:$I$20000="Lenguaje Musical")+(DATOS!$I$2:$I$20000="Coro")+(DATOS!$I$2:$I$20000="Conjunto"))*(DATOS!$K$2:$K$20000=6))</f>
        <v>0</v>
      </c>
      <c r="R4" cm="1">
        <f t="array" ref="R4">SUMPRODUCT((DATOS!$G$2:$G$20000=CONFIG_METADATA!$B$4)*((DATOS!$I$2:$I$20000="Lenguaje Musical")+(DATOS!$I$2:$I$20000="Coro")+(DATOS!$I$2:$I$20000="Conjunto"))*(DATOS!$K$2:$K$20000=7))</f>
        <v>0</v>
      </c>
      <c r="S4" cm="1">
        <f t="array" ref="S4">SUMPRODUCT((DATOS!$G$2:$G$20000=CONFIG_METADATA!$B$4)*((DATOS!$I$2:$I$20000="Lenguaje Musical")+(DATOS!$I$2:$I$20000="Coro")+(DATOS!$I$2:$I$20000="Conjunto"))*(DATOS!$K$2:$K$20000=8))</f>
        <v>0</v>
      </c>
      <c r="T4" cm="1">
        <f t="array" ref="T4">SUMPRODUCT((DATOS!$G$2:$G$20000=CONFIG_METADATA!$B$4)*((DATOS!$I$2:$I$20000="Lenguaje Musical")+(DATOS!$I$2:$I$20000="Coro")+(DATOS!$I$2:$I$20000="Conjunto"))*(DATOS!$K$2:$K$20000=9))</f>
        <v>0</v>
      </c>
      <c r="U4" cm="1">
        <f t="array" ref="U4">SUMPRODUCT((DATOS!$G$2:$G$20000=CONFIG_METADATA!$B$4)*((DATOS!$I$2:$I$20000="Lenguaje Musical")+(DATOS!$I$2:$I$20000="Coro")+(DATOS!$I$2:$I$20000="Conjunto"))*(DATOS!$K$2:$K$20000=10))</f>
        <v>0</v>
      </c>
    </row>
    <row r="5" spans="1:22">
      <c r="A5" s="3" t="inlineStr">
        <is>
          <t xml:space="preserve">GLOBAL</t>
        </is>
      </c>
      <c r="B5" s="3">
        <f>IFERROR(INDEX(_xlfn._xlws.FILTER(CONFIG_ASIGNATURAS!$B$2:$B$27,CONFIG_ASIGNATURAS!$G$2:$G$27="Sí"),1),"")</f>
      </c>
      <c r="C5" s="3">
        <f>IF(B5="","",IFERROR(IF(VLOOKUP(B5,CONFIG_ASIGNATURAS!$B$2:$F$27,5,FALSE())="Sí","Especialidad","Asignatura"),"Asignatura"))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>
        <f>IFERROR(INDEX(_xlfn._xlws.FILTER(CONFIG_ASIGNATURAS!$B$2:$B$27,CONFIG_ASIGNATURAS!$G$2:$G$27="Sí"),2),"")</f>
      </c>
      <c r="C6" s="3">
        <f>IF(B6="","",IFERROR(IF(VLOOKUP(B6,CONFIG_ASIGNATURAS!$B$2:$F$27,5,FALSE())="Sí","Especialidad","Asignatura"),"Asignatura"))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>
        <f>IFERROR(INDEX(_xlfn._xlws.FILTER(CONFIG_ASIGNATURAS!$B$2:$B$27,CONFIG_ASIGNATURAS!$G$2:$G$27="Sí"),3),"")</f>
      </c>
      <c r="C7" s="3">
        <f>IF(B7="","",IFERROR(IF(VLOOKUP(B7,CONFIG_ASIGNATURAS!$B$2:$F$27,5,FALSE())="Sí","Especialidad","Asignatura"),"Asignatura"))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>
        <f>IFERROR(INDEX(_xlfn._xlws.FILTER(CONFIG_ASIGNATURAS!$B$2:$B$27,CONFIG_ASIGNATURAS!$G$2:$G$27="Sí"),4),"")</f>
      </c>
      <c r="C8" s="3">
        <f>IF(B8="","",IFERROR(IF(VLOOKUP(B8,CONFIG_ASIGNATURAS!$B$2:$F$27,5,FALSE())="Sí","Especialidad","Asignatura"),"Asignatura"))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>
        <f>IFERROR(INDEX(_xlfn._xlws.FILTER(CONFIG_ASIGNATURAS!$B$2:$B$27,CONFIG_ASIGNATURAS!$G$2:$G$27="Sí"),5),"")</f>
      </c>
      <c r="C9" s="3">
        <f>IF(B9="","",IFERROR(IF(VLOOKUP(B9,CONFIG_ASIGNATURAS!$B$2:$F$27,5,FALSE())="Sí","Especialidad","Asignatura"),"Asignatura"))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>
        <f>IFERROR(INDEX(_xlfn._xlws.FILTER(CONFIG_ASIGNATURAS!$B$2:$B$27,CONFIG_ASIGNATURAS!$G$2:$G$27="Sí"),6),"")</f>
      </c>
      <c r="C10" s="3">
        <f>IF(B10="","",IFERROR(IF(VLOOKUP(B10,CONFIG_ASIGNATURAS!$B$2:$F$27,5,FALSE())="Sí","Especialidad","Asignatura"),"Asignatura"))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>
        <f>IFERROR(INDEX(_xlfn._xlws.FILTER(CONFIG_ASIGNATURAS!$B$2:$B$27,CONFIG_ASIGNATURAS!$G$2:$G$27="Sí"),7),"")</f>
      </c>
      <c r="C11" s="3">
        <f>IF(B11="","",IFERROR(IF(VLOOKUP(B11,CONFIG_ASIGNATURAS!$B$2:$F$27,5,FALSE())="Sí","Especialidad","Asignatura"),"Asignatura"))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>
        <f>IFERROR(INDEX(_xlfn._xlws.FILTER(CONFIG_ASIGNATURAS!$B$2:$B$27,CONFIG_ASIGNATURAS!$G$2:$G$27="Sí"),8),"")</f>
      </c>
      <c r="C12" s="3">
        <f>IF(B12="","",IFERROR(IF(VLOOKUP(B12,CONFIG_ASIGNATURAS!$B$2:$F$27,5,FALSE())="Sí","Especialidad","Asignatura"),"Asignatura"))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>
        <f>IFERROR(INDEX(_xlfn._xlws.FILTER(CONFIG_ASIGNATURAS!$B$2:$B$27,CONFIG_ASIGNATURAS!$G$2:$G$27="Sí"),9),"")</f>
      </c>
      <c r="C13" s="3">
        <f>IF(B13="","",IFERROR(IF(VLOOKUP(B13,CONFIG_ASIGNATURAS!$B$2:$F$27,5,FALSE())="Sí","Especialidad","Asignatura"),"Asignatura"))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>
        <f>IFERROR(INDEX(_xlfn._xlws.FILTER(CONFIG_ASIGNATURAS!$B$2:$B$27,CONFIG_ASIGNATURAS!$G$2:$G$27="Sí"),10),"")</f>
      </c>
      <c r="C14" s="3">
        <f>IF(B14="","",IFERROR(IF(VLOOKUP(B14,CONFIG_ASIGNATURAS!$B$2:$F$27,5,FALSE())="Sí","Especialidad","Asignatura"),"Asignatura"))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>
        <f>IFERROR(INDEX(_xlfn._xlws.FILTER(CONFIG_ASIGNATURAS!$B$2:$B$27,CONFIG_ASIGNATURAS!$G$2:$G$27="Sí"),11),"")</f>
      </c>
      <c r="C15" s="3">
        <f>IF(B15="","",IFERROR(IF(VLOOKUP(B15,CONFIG_ASIGNATURAS!$B$2:$F$27,5,FALSE())="Sí","Especialidad","Asignatura"),"Asignatura"))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>
        <f>IFERROR(INDEX(_xlfn._xlws.FILTER(CONFIG_ASIGNATURAS!$B$2:$B$27,CONFIG_ASIGNATURAS!$G$2:$G$27="Sí"),12),"")</f>
      </c>
      <c r="C16" s="3">
        <f>IF(B16="","",IFERROR(IF(VLOOKUP(B16,CONFIG_ASIGNATURAS!$B$2:$F$27,5,FALSE())="Sí","Especialidad","Asignatura"),"Asignatura"))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>
        <f>IFERROR(INDEX(_xlfn._xlws.FILTER(CONFIG_ASIGNATURAS!$B$2:$B$27,CONFIG_ASIGNATURAS!$G$2:$G$27="Sí"),13),"")</f>
      </c>
      <c r="C17" s="3">
        <f>IF(B17="","",IFERROR(IF(VLOOKUP(B17,CONFIG_ASIGNATURAS!$B$2:$F$27,5,FALSE())="Sí","Especialidad","Asignatura"),"Asignatura"))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>
        <f>IFERROR(INDEX(_xlfn._xlws.FILTER(CONFIG_ASIGNATURAS!$B$2:$B$27,CONFIG_ASIGNATURAS!$G$2:$G$27="Sí"),14),"")</f>
      </c>
      <c r="C18" s="3">
        <f>IF(B18="","",IFERROR(IF(VLOOKUP(B18,CONFIG_ASIGNATURAS!$B$2:$F$27,5,FALSE())="Sí","Especialidad","Asignatura"),"Asignatura"))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>
        <f>IFERROR(INDEX(_xlfn._xlws.FILTER(CONFIG_ASIGNATURAS!$B$2:$B$27,CONFIG_ASIGNATURAS!$G$2:$G$27="Sí"),15),"")</f>
      </c>
      <c r="C19" s="3">
        <f>IF(B19="","",IFERROR(IF(VLOOKUP(B19,CONFIG_ASIGNATURAS!$B$2:$F$27,5,FALSE())="Sí","Especialidad","Asignatura"),"Asignatura"))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>
        <f>IFERROR(INDEX(_xlfn._xlws.FILTER(CONFIG_ASIGNATURAS!$B$2:$B$27,CONFIG_ASIGNATURAS!$G$2:$G$27="Sí"),16),"")</f>
      </c>
      <c r="C20" s="3">
        <f>IF(B20="","",IFERROR(IF(VLOOKUP(B20,CONFIG_ASIGNATURAS!$B$2:$F$27,5,FALSE())="Sí","Especialidad","Asignatura"),"Asignatura"))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>
        <f>IFERROR(INDEX(_xlfn._xlws.FILTER(CONFIG_ASIGNATURAS!$B$2:$B$27,CONFIG_ASIGNATURAS!$G$2:$G$27="Sí"),17),"")</f>
      </c>
      <c r="C21" s="3">
        <f>IF(B21="","",IFERROR(IF(VLOOKUP(B21,CONFIG_ASIGNATURAS!$B$2:$F$27,5,FALSE())="Sí","Especialidad","Asignatura"),"Asignatura"))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>
        <f>IFERROR(INDEX(_xlfn._xlws.FILTER(CONFIG_ASIGNATURAS!$B$2:$B$27,CONFIG_ASIGNATURAS!$G$2:$G$27="Sí"),18),"")</f>
      </c>
      <c r="C22" s="3">
        <f>IF(B22="","",IFERROR(IF(VLOOKUP(B22,CONFIG_ASIGNATURAS!$B$2:$F$27,5,FALSE())="Sí","Especialidad","Asignatura"),"Asignatura"))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>
        <f>IFERROR(INDEX(_xlfn._xlws.FILTER(CONFIG_ASIGNATURAS!$B$2:$B$27,CONFIG_ASIGNATURAS!$G$2:$G$27="Sí"),19),"")</f>
      </c>
      <c r="C23" s="3">
        <f>IF(B23="","",IFERROR(IF(VLOOKUP(B23,CONFIG_ASIGNATURAS!$B$2:$F$27,5,FALSE())="Sí","Especialidad","Asignatura"),"Asignatura"))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>
        <f>IFERROR(INDEX(_xlfn._xlws.FILTER(CONFIG_ASIGNATURAS!$B$2:$B$27,CONFIG_ASIGNATURAS!$G$2:$G$27="Sí"),20),"")</f>
      </c>
      <c r="C24" s="3">
        <f>IF(B24="","",IFERROR(IF(VLOOKUP(B24,CONFIG_ASIGNATURAS!$B$2:$F$27,5,FALSE())="Sí","Especialidad","Asignatura"),"Asignatura"))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>
        <f>IFERROR(INDEX(_xlfn._xlws.FILTER(CONFIG_ASIGNATURAS!$B$2:$B$27,CONFIG_ASIGNATURAS!$G$2:$G$27="Sí"),21),"")</f>
      </c>
      <c r="C25" s="3">
        <f>IF(B25="","",IFERROR(IF(VLOOKUP(B25,CONFIG_ASIGNATURAS!$B$2:$F$27,5,FALSE())="Sí","Especialidad","Asignatura"),"Asignatura"))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>
        <f>IFERROR(INDEX(_xlfn._xlws.FILTER(CONFIG_ASIGNATURAS!$B$2:$B$27,CONFIG_ASIGNATURAS!$G$2:$G$27="Sí"),22),"")</f>
      </c>
      <c r="C26" s="3">
        <f>IF(B26="","",IFERROR(IF(VLOOKUP(B26,CONFIG_ASIGNATURAS!$B$2:$F$27,5,FALSE())="Sí","Especialidad","Asignatura"),"Asignatura"))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>
        <f>IFERROR(INDEX(_xlfn._xlws.FILTER(CONFIG_ASIGNATURAS!$B$2:$B$27,CONFIG_ASIGNATURAS!$G$2:$G$27="Sí"),23),"")</f>
      </c>
      <c r="C27" s="3">
        <f>IF(B27="","",IFERROR(IF(VLOOKUP(B27,CONFIG_ASIGNATURAS!$B$2:$F$27,5,FALSE())="Sí","Especialidad","Asignatura"),"Asignatura"))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>
        <f>IFERROR(INDEX(_xlfn._xlws.FILTER(CONFIG_ASIGNATURAS!$B$2:$B$27,CONFIG_ASIGNATURAS!$G$2:$G$27="Sí"),24),"")</f>
      </c>
      <c r="C28" s="3">
        <f>IF(B28="","",IFERROR(IF(VLOOKUP(B28,CONFIG_ASIGNATURAS!$B$2:$F$27,5,FALSE())="Sí","Especialidad","Asignatura"),"Asignatura"))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>
        <f>IFERROR(INDEX(_xlfn._xlws.FILTER(CONFIG_ASIGNATURAS!$B$2:$B$27,CONFIG_ASIGNATURAS!$G$2:$G$27="Sí"),25),"")</f>
      </c>
      <c r="C29" s="3">
        <f>IF(B29="","",IFERROR(IF(VLOOKUP(B29,CONFIG_ASIGNATURAS!$B$2:$F$27,5,FALSE())="Sí","Especialidad","Asignatura"),"Asignatura"))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>
        <f>IFERROR(INDEX(_xlfn._xlws.FILTER(CONFIG_ASIGNATURAS!$B$2:$B$27,CONFIG_ASIGNATURAS!$G$2:$G$27="Sí"),26),"")</f>
      </c>
      <c r="C30" s="3">
        <f>IF(B30="","",IFERROR(IF(VLOOKUP(B30,CONFIG_ASIGNATURAS!$B$2:$F$27,5,FALSE())="Sí","Especialidad","Asignatura"),"Asignatura"))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>
        <f>IFERROR(INDEX(_xlfn._xlws.FILTER(CONFIG_ASIGNATURAS!$B$2:$B$27,CONFIG_ASIGNATURAS!$G$2:$G$27="Sí"),27),"")</f>
      </c>
      <c r="C31" s="3">
        <f>IF(B31="","",IFERROR(IF(VLOOKUP(B31,CONFIG_ASIGNATURAS!$B$2:$F$27,5,FALSE())="Sí","Especialidad","Asignatura"),"Asignatura"))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>
        <f>IFERROR(INDEX(_xlfn._xlws.FILTER(CONFIG_ASIGNATURAS!$B$2:$B$27,CONFIG_ASIGNATURAS!$G$2:$G$27="Sí"),28),"")</f>
      </c>
      <c r="C32" s="3">
        <f>IF(B32="","",IFERROR(IF(VLOOKUP(B32,CONFIG_ASIGNATURAS!$B$2:$F$27,5,FALSE())="Sí","Especialidad","Asignatura"),"Asignatura"))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>
        <f>IFERROR(INDEX(_xlfn._xlws.FILTER(CONFIG_ASIGNATURAS!$B$2:$B$27,CONFIG_ASIGNATURAS!$G$2:$G$27="Sí"),29),"")</f>
      </c>
      <c r="C33" s="3">
        <f>IF(B33="","",IFERROR(IF(VLOOKUP(B33,CONFIG_ASIGNATURAS!$B$2:$F$27,5,FALSE())="Sí","Especialidad","Asignatura"),"Asignatura"))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>
        <f>IFERROR(INDEX(_xlfn._xlws.FILTER(CONFIG_ASIGNATURAS!$B$2:$B$27,CONFIG_ASIGNATURAS!$G$2:$G$27="Sí"),30),"")</f>
      </c>
      <c r="C34" s="3">
        <f>IF(B34="","",IFERROR(IF(VLOOKUP(B34,CONFIG_ASIGNATURAS!$B$2:$F$27,5,FALSE())="Sí","Especialidad","Asignatura"),"Asignatura"))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>
        <f>IFERROR(INDEX(_xlfn._xlws.FILTER(CONFIG_ASIGNATURAS!$B$2:$B$27,CONFIG_ASIGNATURAS!$G$2:$G$27="Sí"),31),"")</f>
      </c>
      <c r="C35" s="3">
        <f>IF(B35="","",IFERROR(IF(VLOOKUP(B35,CONFIG_ASIGNATURAS!$B$2:$F$27,5,FALSE())="Sí","Especialidad","Asignatura"),"Asignatura"))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>
        <f>IFERROR(INDEX(_xlfn._xlws.FILTER(CONFIG_ASIGNATURAS!$B$2:$B$27,CONFIG_ASIGNATURAS!$G$2:$G$27="Sí"),32),"")</f>
      </c>
      <c r="C36" s="3">
        <f>IF(B36="","",IFERROR(IF(VLOOKUP(B36,CONFIG_ASIGNATURAS!$B$2:$F$27,5,FALSE())="Sí","Especialidad","Asignatura"),"Asignatura"))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>
        <f>IFERROR(INDEX(_xlfn._xlws.FILTER(CONFIG_ASIGNATURAS!$B$2:$B$27,CONFIG_ASIGNATURAS!$G$2:$G$27="Sí"),33),"")</f>
      </c>
      <c r="C37" s="3">
        <f>IF(B37="","",IFERROR(IF(VLOOKUP(B37,CONFIG_ASIGNATURAS!$B$2:$F$27,5,FALSE())="Sí","Especialidad","Asignatura"),"Asignatura"))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>
        <f>IFERROR(INDEX(_xlfn._xlws.FILTER(CONFIG_ASIGNATURAS!$B$2:$B$27,CONFIG_ASIGNATURAS!$G$2:$G$27="Sí"),34),"")</f>
      </c>
      <c r="C38" s="3">
        <f>IF(B38="","",IFERROR(IF(VLOOKUP(B38,CONFIG_ASIGNATURAS!$B$2:$F$27,5,FALSE())="Sí","Especialidad","Asignatura"),"Asignatura"))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1EEM</t>
        </is>
      </c>
      <c r="B39" s="3" t="inlineStr">
        <is>
          <t xml:space="preserve">Total</t>
        </is>
      </c>
      <c r="C39" s="3" t="inlineStr">
        <is>
          <t xml:space="preserve">Total</t>
        </is>
      </c>
      <c r="D39">
        <f>COUNTIFS(DATOS!G:G,CONFIG_METADATA!$B$4,DATOS!D:D,A39)</f>
        <v>0</v>
      </c>
      <c r="E39" s="14" t="str">
        <f>IFERROR(AVERAGEIFS(DATOS!K:K,DATOS!G:G,CONFIG_METADATA!$B$4,DATOS!D:D,A39),"—")</f>
        <v>—</v>
      </c>
      <c r="F39" s="14" t="str" cm="1">
        <f t="array" ref="F39">IFERROR(_xlfn.STDEV.P(IF((DATOS!$G$2:$G$20000=CONFIG_METADATA!$B$4)*(DATOS!$D$2:$D$20000=A39),DATOS!$K$2:$K$20000)),"—")</f>
        <v>—</v>
      </c>
      <c r="G39" t="str" cm="1">
        <f t="array" ref="G39">IFERROR(_xlfn.MODE.SNGL(IF((DATOS!$G$2:$G$20000=CONFIG_METADATA!$B$4)*(DATOS!$D$2:$D$20000=A39),DATOS!$K$2:$K$20000)),"—")</f>
        <v>—</v>
      </c>
      <c r="H39" s="15" t="str">
        <f>IFERROR(COUNTIFS(DATOS!$G$2:$G$20000,CONFIG_METADATA!$B$4,DATOS!$D$2:$D$20000,A39,DATOS!$L$2:$L$20000,"S")/COUNTIFS(DATOS!$G$2:$G$20000,CONFIG_METADATA!$B$4,DATOS!$D$2:$D$20000,A39),"—")</f>
        <v>—</v>
      </c>
      <c r="I39" s="15" t="str">
        <f>IFERROR(COUNTIFS(DATOS!$G$2:$G$20000,CONFIG_METADATA!$B$4,DATOS!$D$2:$D$20000,A39,DATOS!$L$2:$L$20000,"N")/COUNTIFS(DATOS!$G$2:$G$20000,CONFIG_METADATA!$B$4,DATOS!$D$2:$D$20000,A39),"—")</f>
        <v>—</v>
      </c>
      <c r="J39" t="str" cm="1">
        <f t="array" ref="J39">IFERROR(_xlfn.MODE.SNGL(IF((DATOS!$G$2:$G$20000=CONFIG_METADATA!$B$4)*(DATOS!$D$2:$D$20000=A39)*(DATOS!$L$2:$L$20000="S"),DATOS!$K$2:$K$20000)),"—")</f>
        <v>—</v>
      </c>
      <c r="K39" t="str" cm="1">
        <f t="array" ref="K39">IFERROR(_xlfn.MODE.SNGL(IF((DATOS!$G$2:$G$20000=CONFIG_METADATA!$B$4)*(DATOS!$D$2:$D$20000=A39)*(DATOS!$L$2:$L$20000="N"),DATOS!$K$2:$K$20000)),"—")</f>
        <v>—</v>
      </c>
      <c r="L39" cm="1">
        <f t="array" ref="L39">SUMPRODUCT((DATOS!$G$2:$G$20000=CONFIG_METADATA!$B$4)*(DATOS!$D$2:$D$20000=A39)*(DATOS!$K$2:$K$20000=1))</f>
        <v>0</v>
      </c>
      <c r="M39" cm="1">
        <f t="array" ref="M39">SUMPRODUCT((DATOS!$G$2:$G$20000=CONFIG_METADATA!$B$4)*(DATOS!$D$2:$D$20000=A39)*(DATOS!$K$2:$K$20000=2))</f>
        <v>0</v>
      </c>
      <c r="N39" cm="1">
        <f t="array" ref="N39">SUMPRODUCT((DATOS!$G$2:$G$20000=CONFIG_METADATA!$B$4)*(DATOS!$D$2:$D$20000=A39)*(DATOS!$K$2:$K$20000=3))</f>
        <v>0</v>
      </c>
      <c r="O39" cm="1">
        <f t="array" ref="O39">SUMPRODUCT((DATOS!$G$2:$G$20000=CONFIG_METADATA!$B$4)*(DATOS!$D$2:$D$20000=A39)*(DATOS!$K$2:$K$20000=4))</f>
        <v>0</v>
      </c>
      <c r="P39" cm="1">
        <f t="array" ref="P39">SUMPRODUCT((DATOS!$G$2:$G$20000=CONFIG_METADATA!$B$4)*(DATOS!$D$2:$D$20000=A39)*(DATOS!$K$2:$K$20000=5))</f>
        <v>0</v>
      </c>
      <c r="Q39" cm="1">
        <f t="array" ref="Q39">SUMPRODUCT((DATOS!$G$2:$G$20000=CONFIG_METADATA!$B$4)*(DATOS!$D$2:$D$20000=A39)*(DATOS!$K$2:$K$20000=6))</f>
        <v>0</v>
      </c>
      <c r="R39" cm="1">
        <f t="array" ref="R39">SUMPRODUCT((DATOS!$G$2:$G$20000=CONFIG_METADATA!$B$4)*(DATOS!$D$2:$D$20000=A39)*(DATOS!$K$2:$K$20000=7))</f>
        <v>0</v>
      </c>
      <c r="S39" cm="1">
        <f t="array" ref="S39">SUMPRODUCT((DATOS!$G$2:$G$20000=CONFIG_METADATA!$B$4)*(DATOS!$D$2:$D$20000=A39)*(DATOS!$K$2:$K$20000=8))</f>
        <v>0</v>
      </c>
      <c r="T39" cm="1">
        <f t="array" ref="T39">SUMPRODUCT((DATOS!$G$2:$G$20000=CONFIG_METADATA!$B$4)*(DATOS!$D$2:$D$20000=A39)*(DATOS!$K$2:$K$20000=9))</f>
        <v>0</v>
      </c>
      <c r="U39" cm="1">
        <f t="array" ref="U39">SUMPRODUCT((DATOS!$G$2:$G$20000=CONFIG_METADATA!$B$4)*(DATOS!$D$2:$D$20000=A39)*(DATOS!$K$2:$K$20000=10))</f>
        <v>0</v>
      </c>
    </row>
    <row r="40" spans="1:22">
      <c r="A40" s="3" t="inlineStr">
        <is>
          <t xml:space="preserve">1EEM</t>
        </is>
      </c>
      <c r="B40" s="3" t="inlineStr">
        <is>
          <t xml:space="preserve">Total Especialidad</t>
        </is>
      </c>
      <c r="C40" s="3" t="inlineStr">
        <is>
          <t xml:space="preserve">TotalEsp</t>
        </is>
      </c>
      <c r="D40">
        <f>COUNTIFS(DATOS!G:G,CONFIG_METADATA!$B$4,DATOS!D:D,A40,DATOS!I:I,"&lt;&gt;Lenguaje Musical",DATOS!I:I,"&lt;&gt;Coro",DATOS!I:I,"&lt;&gt;Conjunto")</f>
        <v>0</v>
      </c>
      <c r="E40" s="14" t="str">
        <f>IFERROR(AVERAGEIFS(DATOS!K:K,DATOS!G:G,CONFIG_METADATA!$B$4,DATOS!D:D,A40,DATOS!I:I,"&lt;&gt;Lenguaje Musical",DATOS!I:I,"&lt;&gt;Coro",DATOS!I:I,"&lt;&gt;Conjunto"),"—")</f>
        <v>—</v>
      </c>
      <c r="F40" s="14" t="str" cm="1">
        <f t="array" ref="F40">IFERROR(_xlfn.STDEV.P(IF((DATOS!$G$2:$G$20000=CONFIG_METADATA!$B$4)*(DATOS!$D$2:$D$20000=A40)*(DATOS!$I$2:$I$20000&lt;&gt;"Lenguaje Musical")*(DATOS!$I$2:$I$20000&lt;&gt;"Coro")*(DATOS!$I$2:$I$20000&lt;&gt;"Conjunto"),DATOS!$K$2:$K$20000)),"—")</f>
        <v>—</v>
      </c>
      <c r="G40" t="str" cm="1">
        <f t="array" ref="G40">IFERROR(_xlfn.MODE.SNGL(IF((DATOS!$G$2:$G$20000=CONFIG_METADATA!$B$4)*(DATOS!$D$2:$D$20000=A40)*(DATOS!$I$2:$I$20000&lt;&gt;"Lenguaje Musical")*(DATOS!$I$2:$I$20000&lt;&gt;"Coro")*(DATOS!$I$2:$I$20000&lt;&gt;"Conjunto"),DATOS!$K$2:$K$20000)),"—")</f>
        <v>—</v>
      </c>
      <c r="H40" s="15" t="str" cm="1">
        <f t="array" ref="H40">IFERROR(SUMPRODUCT((DATOS!$G$2:$G$20000=CONFIG_METADATA!$B$4)*(DATOS!$D$2:$D$20000=A40)*(DATOS!$I$2:$I$20000&lt;&gt;"Lenguaje Musical")*(DATOS!$I$2:$I$20000&lt;&gt;"Coro")*(DATOS!$I$2:$I$20000&lt;&gt;"Conjunto")*(DATOS!$L$2:$L$20000="S"))/SUMPRODUCT((DATOS!$G$2:$G$20000=CONFIG_METADATA!$B$4)*(DATOS!$D$2:$D$20000=A40)*(DATOS!$I$2:$I$20000&lt;&gt;"Lenguaje Musical")*(DATOS!$I$2:$I$20000&lt;&gt;"Coro")*(DATOS!$I$2:$I$20000&lt;&gt;"Conjunto")*1),"—")</f>
        <v>—</v>
      </c>
      <c r="I40" s="15" t="str" cm="1">
        <f t="array" ref="I40">IFERROR(SUMPRODUCT((DATOS!$G$2:$G$20000=CONFIG_METADATA!$B$4)*(DATOS!$D$2:$D$20000=A40)*(DATOS!$I$2:$I$20000&lt;&gt;"Lenguaje Musical")*(DATOS!$I$2:$I$20000&lt;&gt;"Coro")*(DATOS!$I$2:$I$20000&lt;&gt;"Conjunto")*(DATOS!$L$2:$L$20000="N"))/SUMPRODUCT((DATOS!$G$2:$G$20000=CONFIG_METADATA!$B$4)*(DATOS!$D$2:$D$20000=A40)*(DATOS!$I$2:$I$20000&lt;&gt;"Lenguaje Musical")*(DATOS!$I$2:$I$20000&lt;&gt;"Coro")*(DATOS!$I$2:$I$20000&lt;&gt;"Conjunto")*1),"—")</f>
        <v>—</v>
      </c>
      <c r="J40" t="str" cm="1">
        <f t="array" ref="J40">IFERROR(_xlfn.MODE.SNGL(IF((DATOS!$G$2:$G$20000=CONFIG_METADATA!$B$4)*(DATOS!$D$2:$D$20000=A40)*(DATOS!$I$2:$I$20000&lt;&gt;"Lenguaje Musical")*(DATOS!$I$2:$I$20000&lt;&gt;"Coro")*(DATOS!$I$2:$I$20000&lt;&gt;"Conjunto")*(DATOS!$L$2:$L$20000="S"),DATOS!$K$2:$K$20000)),"—")</f>
        <v>—</v>
      </c>
      <c r="K40" t="str" cm="1">
        <f t="array" ref="K40">IFERROR(_xlfn.MODE.SNGL(IF((DATOS!$G$2:$G$20000=CONFIG_METADATA!$B$4)*(DATOS!$D$2:$D$20000=A40)*(DATOS!$I$2:$I$20000&lt;&gt;"Lenguaje Musical")*(DATOS!$I$2:$I$20000&lt;&gt;"Coro")*(DATOS!$I$2:$I$20000&lt;&gt;"Conjunto")*(DATOS!$L$2:$L$20000="N"),DATOS!$K$2:$K$20000)),"—")</f>
        <v>—</v>
      </c>
      <c r="L40" cm="1">
        <f t="array" ref="L40">SUMPRODUCT((DATOS!$G$2:$G$20000=CONFIG_METADATA!$B$4)*(DATOS!$D$2:$D$20000=A40)*(DATOS!$I$2:$I$20000&lt;&gt;"Lenguaje Musical")*(DATOS!$I$2:$I$20000&lt;&gt;"Coro")*(DATOS!$I$2:$I$20000&lt;&gt;"Conjunto")*(DATOS!$K$2:$K$20000=1))</f>
        <v>0</v>
      </c>
      <c r="M40" cm="1">
        <f t="array" ref="M40">SUMPRODUCT((DATOS!$G$2:$G$20000=CONFIG_METADATA!$B$4)*(DATOS!$D$2:$D$20000=A40)*(DATOS!$I$2:$I$20000&lt;&gt;"Lenguaje Musical")*(DATOS!$I$2:$I$20000&lt;&gt;"Coro")*(DATOS!$I$2:$I$20000&lt;&gt;"Conjunto")*(DATOS!$K$2:$K$20000=2))</f>
        <v>0</v>
      </c>
      <c r="N40" cm="1">
        <f t="array" ref="N40">SUMPRODUCT((DATOS!$G$2:$G$20000=CONFIG_METADATA!$B$4)*(DATOS!$D$2:$D$20000=A40)*(DATOS!$I$2:$I$20000&lt;&gt;"Lenguaje Musical")*(DATOS!$I$2:$I$20000&lt;&gt;"Coro")*(DATOS!$I$2:$I$20000&lt;&gt;"Conjunto")*(DATOS!$K$2:$K$20000=3))</f>
        <v>0</v>
      </c>
      <c r="O40" cm="1">
        <f t="array" ref="O40">SUMPRODUCT((DATOS!$G$2:$G$20000=CONFIG_METADATA!$B$4)*(DATOS!$D$2:$D$20000=A40)*(DATOS!$I$2:$I$20000&lt;&gt;"Lenguaje Musical")*(DATOS!$I$2:$I$20000&lt;&gt;"Coro")*(DATOS!$I$2:$I$20000&lt;&gt;"Conjunto")*(DATOS!$K$2:$K$20000=4))</f>
        <v>0</v>
      </c>
      <c r="P40" cm="1">
        <f t="array" ref="P40">SUMPRODUCT((DATOS!$G$2:$G$20000=CONFIG_METADATA!$B$4)*(DATOS!$D$2:$D$20000=A40)*(DATOS!$I$2:$I$20000&lt;&gt;"Lenguaje Musical")*(DATOS!$I$2:$I$20000&lt;&gt;"Coro")*(DATOS!$I$2:$I$20000&lt;&gt;"Conjunto")*(DATOS!$K$2:$K$20000=5))</f>
        <v>0</v>
      </c>
      <c r="Q40" cm="1">
        <f t="array" ref="Q40">SUMPRODUCT((DATOS!$G$2:$G$20000=CONFIG_METADATA!$B$4)*(DATOS!$D$2:$D$20000=A40)*(DATOS!$I$2:$I$20000&lt;&gt;"Lenguaje Musical")*(DATOS!$I$2:$I$20000&lt;&gt;"Coro")*(DATOS!$I$2:$I$20000&lt;&gt;"Conjunto")*(DATOS!$K$2:$K$20000=6))</f>
        <v>0</v>
      </c>
      <c r="R40" cm="1">
        <f t="array" ref="R40">SUMPRODUCT((DATOS!$G$2:$G$20000=CONFIG_METADATA!$B$4)*(DATOS!$D$2:$D$20000=A40)*(DATOS!$I$2:$I$20000&lt;&gt;"Lenguaje Musical")*(DATOS!$I$2:$I$20000&lt;&gt;"Coro")*(DATOS!$I$2:$I$20000&lt;&gt;"Conjunto")*(DATOS!$K$2:$K$20000=7))</f>
        <v>0</v>
      </c>
      <c r="S40" cm="1">
        <f t="array" ref="S40">SUMPRODUCT((DATOS!$G$2:$G$20000=CONFIG_METADATA!$B$4)*(DATOS!$D$2:$D$20000=A40)*(DATOS!$I$2:$I$20000&lt;&gt;"Lenguaje Musical")*(DATOS!$I$2:$I$20000&lt;&gt;"Coro")*(DATOS!$I$2:$I$20000&lt;&gt;"Conjunto")*(DATOS!$K$2:$K$20000=8))</f>
        <v>0</v>
      </c>
      <c r="T40" cm="1">
        <f t="array" ref="T40">SUMPRODUCT((DATOS!$G$2:$G$20000=CONFIG_METADATA!$B$4)*(DATOS!$D$2:$D$20000=A40)*(DATOS!$I$2:$I$20000&lt;&gt;"Lenguaje Musical")*(DATOS!$I$2:$I$20000&lt;&gt;"Coro")*(DATOS!$I$2:$I$20000&lt;&gt;"Conjunto")*(DATOS!$K$2:$K$20000=9))</f>
        <v>0</v>
      </c>
      <c r="U40" cm="1">
        <f t="array" ref="U40">SUMPRODUCT((DATOS!$G$2:$G$20000=CONFIG_METADATA!$B$4)*(DATOS!$D$2:$D$20000=A40)*(DATOS!$I$2:$I$20000&lt;&gt;"Lenguaje Musical")*(DATOS!$I$2:$I$20000&lt;&gt;"Coro")*(DATOS!$I$2:$I$20000&lt;&gt;"Conjunto")*(DATOS!$K$2:$K$20000=10))</f>
        <v>0</v>
      </c>
    </row>
    <row r="41" spans="1:22">
      <c r="A41" s="3" t="inlineStr">
        <is>
          <t xml:space="preserve">1EEM</t>
        </is>
      </c>
      <c r="B41" s="3" t="inlineStr">
        <is>
          <t xml:space="preserve">Total no Especialidad</t>
        </is>
      </c>
      <c r="C41" s="3" t="inlineStr">
        <is>
          <t xml:space="preserve">TotalNoEsp</t>
        </is>
      </c>
      <c r="D41">
        <f>SUMPRODUCT((DATOS!G:G=CONFIG_METADATA!$B$4)*(DATOS!D:D=A41)*((DATOS!I:I="Lenguaje Musical")+(DATOS!I:I="Coro")+(DATOS!I:I="Conjunto")))</f>
        <v>0</v>
      </c>
      <c r="E41" s="14" t="str" cm="1">
        <f t="array" ref="E41">IFERROR(AVERAGE(IF((DATOS!$G$2:$G$20000=CONFIG_METADATA!$B$4)*(DATOS!$D$2:$D$20000=A41)*((DATOS!$I$2:$I$20000="Lenguaje Musical")+(DATOS!$I$2:$I$20000="Coro")+(DATOS!$I$2:$I$20000="Conjunto")),DATOS!$K$2:$K$20000)),"—")</f>
        <v>—</v>
      </c>
      <c r="F41" s="14" t="str" cm="1">
        <f t="array" ref="F41">IFERROR(_xlfn.STDEV.P(IF((DATOS!$G$2:$G$20000=CONFIG_METADATA!$B$4)*(DATOS!$D$2:$D$20000=A41)*((DATOS!$I$2:$I$20000="Lenguaje Musical")+(DATOS!$I$2:$I$20000="Coro")+(DATOS!$I$2:$I$20000="Conjunto")),DATOS!$K$2:$K$20000)),"—")</f>
        <v>—</v>
      </c>
      <c r="G41" t="str" cm="1">
        <f t="array" ref="G41">IFERROR(_xlfn.MODE.SNGL(IF((DATOS!$G$2:$G$20000=CONFIG_METADATA!$B$4)*(DATOS!$D$2:$D$20000=A41)*((DATOS!$I$2:$I$20000="Lenguaje Musical")+(DATOS!$I$2:$I$20000="Coro")+(DATOS!$I$2:$I$20000="Conjunto")),DATOS!$K$2:$K$20000)),"—")</f>
        <v>—</v>
      </c>
      <c r="H41" s="15" t="str" cm="1">
        <f t="array" ref="H41">IFERROR(SUMPRODUCT((DATOS!$G$2:$G$20000=CONFIG_METADATA!$B$4)*(DATOS!$D$2:$D$20000=A41)*((DATOS!$I$2:$I$20000="Lenguaje Musical")+(DATOS!$I$2:$I$20000="Coro")+(DATOS!$I$2:$I$20000="Conjunto"))*(DATOS!$L$2:$L$20000="S"))/SUMPRODUCT((DATOS!$G$2:$G$20000=CONFIG_METADATA!$B$4)*(DATOS!$D$2:$D$20000=A41)*((DATOS!$I$2:$I$20000="Lenguaje Musical")+(DATOS!$I$2:$I$20000="Coro")+(DATOS!$I$2:$I$20000="Conjunto"))*1),"—")</f>
        <v>—</v>
      </c>
      <c r="I41" s="15" t="str" cm="1">
        <f t="array" ref="I41">IFERROR(SUMPRODUCT((DATOS!$G$2:$G$20000=CONFIG_METADATA!$B$4)*(DATOS!$D$2:$D$20000=A41)*((DATOS!$I$2:$I$20000="Lenguaje Musical")+(DATOS!$I$2:$I$20000="Coro")+(DATOS!$I$2:$I$20000="Conjunto"))*(DATOS!$L$2:$L$20000="N"))/SUMPRODUCT((DATOS!$G$2:$G$20000=CONFIG_METADATA!$B$4)*(DATOS!$D$2:$D$20000=A41)*((DATOS!$I$2:$I$20000="Lenguaje Musical")+(DATOS!$I$2:$I$20000="Coro")+(DATOS!$I$2:$I$20000="Conjunto"))*1),"—")</f>
        <v>—</v>
      </c>
      <c r="J41" t="str" cm="1">
        <f t="array" ref="J41">IFERROR(_xlfn.MODE.SNGL(IF((DATOS!$G$2:$G$20000=CONFIG_METADATA!$B$4)*(DATOS!$D$2:$D$20000=A41)*((DATOS!$I$2:$I$20000="Lenguaje Musical")+(DATOS!$I$2:$I$20000="Coro")+(DATOS!$I$2:$I$20000="Conjunto"))*(DATOS!$L$2:$L$20000="S"),DATOS!$K$2:$K$20000)),"—")</f>
        <v>—</v>
      </c>
      <c r="K41" t="str" cm="1">
        <f t="array" ref="K41">IFERROR(_xlfn.MODE.SNGL(IF((DATOS!$G$2:$G$20000=CONFIG_METADATA!$B$4)*(DATOS!$D$2:$D$20000=A41)*((DATOS!$I$2:$I$20000="Lenguaje Musical")+(DATOS!$I$2:$I$20000="Coro")+(DATOS!$I$2:$I$20000="Conjunto"))*(DATOS!$L$2:$L$20000="N"),DATOS!$K$2:$K$20000)),"—")</f>
        <v>—</v>
      </c>
      <c r="L41" cm="1">
        <f t="array" ref="L41">SUMPRODUCT((DATOS!$G$2:$G$20000=CONFIG_METADATA!$B$4)*(DATOS!$D$2:$D$20000=A41)*((DATOS!$I$2:$I$20000="Lenguaje Musical")+(DATOS!$I$2:$I$20000="Coro")+(DATOS!$I$2:$I$20000="Conjunto"))*(DATOS!$K$2:$K$20000=1))</f>
        <v>0</v>
      </c>
      <c r="M41" cm="1">
        <f t="array" ref="M41">SUMPRODUCT((DATOS!$G$2:$G$20000=CONFIG_METADATA!$B$4)*(DATOS!$D$2:$D$20000=A41)*((DATOS!$I$2:$I$20000="Lenguaje Musical")+(DATOS!$I$2:$I$20000="Coro")+(DATOS!$I$2:$I$20000="Conjunto"))*(DATOS!$K$2:$K$20000=2))</f>
        <v>0</v>
      </c>
      <c r="N41" cm="1">
        <f t="array" ref="N41">SUMPRODUCT((DATOS!$G$2:$G$20000=CONFIG_METADATA!$B$4)*(DATOS!$D$2:$D$20000=A41)*((DATOS!$I$2:$I$20000="Lenguaje Musical")+(DATOS!$I$2:$I$20000="Coro")+(DATOS!$I$2:$I$20000="Conjunto"))*(DATOS!$K$2:$K$20000=3))</f>
        <v>0</v>
      </c>
      <c r="O41" cm="1">
        <f t="array" ref="O41">SUMPRODUCT((DATOS!$G$2:$G$20000=CONFIG_METADATA!$B$4)*(DATOS!$D$2:$D$20000=A41)*((DATOS!$I$2:$I$20000="Lenguaje Musical")+(DATOS!$I$2:$I$20000="Coro")+(DATOS!$I$2:$I$20000="Conjunto"))*(DATOS!$K$2:$K$20000=4))</f>
        <v>0</v>
      </c>
      <c r="P41" cm="1">
        <f t="array" ref="P41">SUMPRODUCT((DATOS!$G$2:$G$20000=CONFIG_METADATA!$B$4)*(DATOS!$D$2:$D$20000=A41)*((DATOS!$I$2:$I$20000="Lenguaje Musical")+(DATOS!$I$2:$I$20000="Coro")+(DATOS!$I$2:$I$20000="Conjunto"))*(DATOS!$K$2:$K$20000=5))</f>
        <v>0</v>
      </c>
      <c r="Q41" cm="1">
        <f t="array" ref="Q41">SUMPRODUCT((DATOS!$G$2:$G$20000=CONFIG_METADATA!$B$4)*(DATOS!$D$2:$D$20000=A41)*((DATOS!$I$2:$I$20000="Lenguaje Musical")+(DATOS!$I$2:$I$20000="Coro")+(DATOS!$I$2:$I$20000="Conjunto"))*(DATOS!$K$2:$K$20000=6))</f>
        <v>0</v>
      </c>
      <c r="R41" cm="1">
        <f t="array" ref="R41">SUMPRODUCT((DATOS!$G$2:$G$20000=CONFIG_METADATA!$B$4)*(DATOS!$D$2:$D$20000=A41)*((DATOS!$I$2:$I$20000="Lenguaje Musical")+(DATOS!$I$2:$I$20000="Coro")+(DATOS!$I$2:$I$20000="Conjunto"))*(DATOS!$K$2:$K$20000=7))</f>
        <v>0</v>
      </c>
      <c r="S41" cm="1">
        <f t="array" ref="S41">SUMPRODUCT((DATOS!$G$2:$G$20000=CONFIG_METADATA!$B$4)*(DATOS!$D$2:$D$20000=A41)*((DATOS!$I$2:$I$20000="Lenguaje Musical")+(DATOS!$I$2:$I$20000="Coro")+(DATOS!$I$2:$I$20000="Conjunto"))*(DATOS!$K$2:$K$20000=8))</f>
        <v>0</v>
      </c>
      <c r="T41" cm="1">
        <f t="array" ref="T41">SUMPRODUCT((DATOS!$G$2:$G$20000=CONFIG_METADATA!$B$4)*(DATOS!$D$2:$D$20000=A41)*((DATOS!$I$2:$I$20000="Lenguaje Musical")+(DATOS!$I$2:$I$20000="Coro")+(DATOS!$I$2:$I$20000="Conjunto"))*(DATOS!$K$2:$K$20000=9))</f>
        <v>0</v>
      </c>
      <c r="U41" cm="1">
        <f t="array" ref="U41">SUMPRODUCT((DATOS!$G$2:$G$20000=CONFIG_METADATA!$B$4)*(DATOS!$D$2:$D$20000=A41)*((DATOS!$I$2:$I$20000="Lenguaje Musical")+(DATOS!$I$2:$I$20000="Coro")+(DATOS!$I$2:$I$20000="Conjunto"))*(DATOS!$K$2:$K$20000=10))</f>
        <v>0</v>
      </c>
    </row>
    <row r="42" spans="1:22">
      <c r="A42" s="3" t="inlineStr">
        <is>
          <t xml:space="preserve">1EEM</t>
        </is>
      </c>
      <c r="B42" s="3">
        <f>IFERROR(INDEX(_xlfn._xlws.FILTER(CONFIG_ASIGNATURAS!$B$2:$B$27,CONFIG_ASIGNATURAS!$G$2:$G$27="Sí"),1),"")</f>
      </c>
      <c r="C42" s="3">
        <f>IF(B42="","",IFERROR(IF(VLOOKUP(B42,CONFIG_ASIGNATURAS!$B$2:$F$27,5,FALSE())="Sí","Especialidad","Asignatura"),"Asignatura"))</f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>
      <c r="A43" s="3" t="inlineStr">
        <is>
          <t xml:space="preserve">1EEM</t>
        </is>
      </c>
      <c r="B43" s="3">
        <f>IFERROR(INDEX(_xlfn._xlws.FILTER(CONFIG_ASIGNATURAS!$B$2:$B$27,CONFIG_ASIGNATURAS!$G$2:$G$27="Sí"),2),"")</f>
      </c>
      <c r="C43" s="3">
        <f>IF(B43="","",IFERROR(IF(VLOOKUP(B43,CONFIG_ASIGNATURAS!$B$2:$F$27,5,FALSE())="Sí","Especialidad","Asignatura"),"Asignatura"))</f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>
      <c r="A44" s="3" t="inlineStr">
        <is>
          <t xml:space="preserve">1EEM</t>
        </is>
      </c>
      <c r="B44" s="3">
        <f>IFERROR(INDEX(_xlfn._xlws.FILTER(CONFIG_ASIGNATURAS!$B$2:$B$27,CONFIG_ASIGNATURAS!$G$2:$G$27="Sí"),3),"")</f>
      </c>
      <c r="C44" s="3">
        <f>IF(B44="","",IFERROR(IF(VLOOKUP(B44,CONFIG_ASIGNATURAS!$B$2:$F$27,5,FALSE())="Sí","Especialidad","Asignatura"),"Asignatura"))</f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>
      <c r="A45" s="3" t="inlineStr">
        <is>
          <t xml:space="preserve">1EEM</t>
        </is>
      </c>
      <c r="B45" s="3">
        <f>IFERROR(INDEX(_xlfn._xlws.FILTER(CONFIG_ASIGNATURAS!$B$2:$B$27,CONFIG_ASIGNATURAS!$G$2:$G$27="Sí"),4),"")</f>
      </c>
      <c r="C45" s="3">
        <f>IF(B45="","",IFERROR(IF(VLOOKUP(B45,CONFIG_ASIGNATURAS!$B$2:$F$27,5,FALSE())="Sí","Especialidad","Asignatura"),"Asignatura"))</f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>
      <c r="A46" s="3" t="inlineStr">
        <is>
          <t xml:space="preserve">1EEM</t>
        </is>
      </c>
      <c r="B46" s="3">
        <f>IFERROR(INDEX(_xlfn._xlws.FILTER(CONFIG_ASIGNATURAS!$B$2:$B$27,CONFIG_ASIGNATURAS!$G$2:$G$27="Sí"),5),"")</f>
      </c>
      <c r="C46" s="3">
        <f>IF(B46="","",IFERROR(IF(VLOOKUP(B46,CONFIG_ASIGNATURAS!$B$2:$F$27,5,FALSE())="Sí","Especialidad","Asignatura"),"Asignatura"))</f>
      </c>
      <c r="D46">
        <f>IF(V46="Sí",COUNTIFS(DATOS!G:G,CONFIG_METADATA!$B$4,DATOS!D:D,A46,DATOS!I:I,B46),"")</f>
        <v>0</v>
      </c>
      <c r="E46" s="14" t="str">
        <f>IF(V46="Sí",IFERROR(AVERAGEIFS(DATOS!K:K,DATOS!G:G,CONFIG_METADATA!$B$4,DATOS!D:D,A46,DATOS!I:I,B46),"—"),"")</f>
        <v>—</v>
      </c>
      <c r="F46" s="14" t="str" cm="1">
        <f t="array" ref="F46">IF(V46="Sí",IFERROR(_xlfn.STDEV.P(IF((DATOS!$G$2:$G$20000=CONFIG_METADATA!$B$4)*(DATOS!$D$2:$D$20000=A46)*(DATOS!$I$2:$I$20000=B46),DATOS!$K$2:$K$20000)),"—"),"")</f>
        <v>—</v>
      </c>
      <c r="G46" t="str" cm="1">
        <f t="array" ref="G46">IF(V46="Sí",IFERROR(_xlfn.MODE.SNGL(IF((DATOS!$G$2:$G$20000=CONFIG_METADATA!$B$4)*(DATOS!$D$2:$D$20000=A46)*(DATOS!$I$2:$I$20000=B46),DATOS!$K$2:$K$20000)),"—"),"")</f>
        <v>—</v>
      </c>
      <c r="H46" s="15" t="str">
        <f>IF(V46="Sí",IFERROR(COUNTIFS(DATOS!G:G,CONFIG_METADATA!$B$4,DATOS!D:D,A46,DATOS!I:I,B46,DATOS!L:L,"S")/COUNTIFS(DATOS!G:G,CONFIG_METADATA!$B$4,DATOS!D:D,A46,DATOS!I:I,B46),"—"),"")</f>
        <v>—</v>
      </c>
      <c r="I46" s="15" t="str">
        <f>IF(V46="Sí",IFERROR(COUNTIFS(DATOS!G:G,CONFIG_METADATA!$B$4,DATOS!D:D,A46,DATOS!I:I,B46,DATOS!L:L,"N")/COUNTIFS(DATOS!G:G,CONFIG_METADATA!$B$4,DATOS!D:D,A46,DATOS!I:I,B46),"—"),"")</f>
        <v>—</v>
      </c>
      <c r="J46" t="str" cm="1">
        <f t="array" ref="J46">IF(V46="Sí",IFERROR(_xlfn.MODE.SNGL(IF((DATOS!$G$2:$G$20000=CONFIG_METADATA!$B$4)*(DATOS!$D$2:$D$20000=A46)*(DATOS!$I$2:$I$20000=B46)*(DATOS!$L$2:$L$20000="S"),DATOS!$K$2:$K$20000)),"—"),"")</f>
        <v>—</v>
      </c>
      <c r="K46" t="str" cm="1">
        <f t="array" ref="K46">IF(V46="Sí",IFERROR(_xlfn.MODE.SNGL(IF((DATOS!$G$2:$G$20000=CONFIG_METADATA!$B$4)*(DATOS!$D$2:$D$20000=A46)*(DATOS!$I$2:$I$20000=B46)*(DATOS!$L$2:$L$20000="N"),DATOS!$K$2:$K$20000)),"—"),"")</f>
        <v>—</v>
      </c>
      <c r="L46">
        <f>IF(V46="Sí",COUNTIFS(DATOS!G:G,CONFIG_METADATA!$B$4,DATOS!D:D,A46,DATOS!I:I,B46,DATOS!K:K,1),"")</f>
        <v>0</v>
      </c>
      <c r="M46">
        <f>IF(V46="Sí",COUNTIFS(DATOS!G:G,CONFIG_METADATA!$B$4,DATOS!D:D,A46,DATOS!I:I,B46,DATOS!K:K,2),"")</f>
        <v>0</v>
      </c>
      <c r="N46">
        <f>IF(V46="Sí",COUNTIFS(DATOS!G:G,CONFIG_METADATA!$B$4,DATOS!D:D,A46,DATOS!I:I,B46,DATOS!K:K,3),"")</f>
        <v>0</v>
      </c>
      <c r="O46">
        <f>IF(V46="Sí",COUNTIFS(DATOS!G:G,CONFIG_METADATA!$B$4,DATOS!D:D,A46,DATOS!I:I,B46,DATOS!K:K,4),"")</f>
        <v>0</v>
      </c>
      <c r="P46">
        <f>IF(V46="Sí",COUNTIFS(DATOS!G:G,CONFIG_METADATA!$B$4,DATOS!D:D,A46,DATOS!I:I,B46,DATOS!K:K,5),"")</f>
        <v>0</v>
      </c>
      <c r="Q46">
        <f>IF(V46="Sí",COUNTIFS(DATOS!G:G,CONFIG_METADATA!$B$4,DATOS!D:D,A46,DATOS!I:I,B46,DATOS!K:K,6),"")</f>
        <v>0</v>
      </c>
      <c r="R46">
        <f>IF(V46="Sí",COUNTIFS(DATOS!G:G,CONFIG_METADATA!$B$4,DATOS!D:D,A46,DATOS!I:I,B46,DATOS!K:K,7),"")</f>
        <v>0</v>
      </c>
      <c r="S46">
        <f>IF(V46="Sí",COUNTIFS(DATOS!G:G,CONFIG_METADATA!$B$4,DATOS!D:D,A46,DATOS!I:I,B46,DATOS!K:K,8),"")</f>
        <v>0</v>
      </c>
      <c r="T46">
        <f>IF(V46="Sí",COUNTIFS(DATOS!G:G,CONFIG_METADATA!$B$4,DATOS!D:D,A46,DATOS!I:I,B46,DATOS!K:K,9),"")</f>
        <v>0</v>
      </c>
      <c r="U46">
        <f>IF(V46="Sí",COUNTIFS(DATOS!G:G,CONFIG_METADATA!$B$4,DATOS!D:D,A46,DATOS!I:I,B46,DATOS!K:K,10),"")</f>
        <v>0</v>
      </c>
      <c r="V46" t="str">
        <f>IFERROR(IF(ISERROR(FIND(A46,VLOOKUP(B46,CONFIG_ASIGNATURAS!B:C,2,FALSE()))),"No","Sí"),"No")</f>
        <v>Sí</v>
      </c>
    </row>
    <row r="47" spans="1:22">
      <c r="A47" s="3" t="inlineStr">
        <is>
          <t xml:space="preserve">1EEM</t>
        </is>
      </c>
      <c r="B47" s="3">
        <f>IFERROR(INDEX(_xlfn._xlws.FILTER(CONFIG_ASIGNATURAS!$B$2:$B$27,CONFIG_ASIGNATURAS!$G$2:$G$27="Sí"),6),"")</f>
      </c>
      <c r="C47" s="3">
        <f>IF(B47="","",IFERROR(IF(VLOOKUP(B47,CONFIG_ASIGNATURAS!$B$2:$F$27,5,FALSE())="Sí","Especialidad","Asignatura"),"Asignatura"))</f>
      </c>
      <c r="D47">
        <f>IF(V47="Sí",COUNTIFS(DATOS!G:G,CONFIG_METADATA!$B$4,DATOS!D:D,A47,DATOS!I:I,B47),"")</f>
        <v>0</v>
      </c>
      <c r="E47" s="14" t="str">
        <f>IF(V47="Sí",IFERROR(AVERAGEIFS(DATOS!K:K,DATOS!G:G,CONFIG_METADATA!$B$4,DATOS!D:D,A47,DATOS!I:I,B47),"—"),"")</f>
        <v>—</v>
      </c>
      <c r="F47" s="14" t="str" cm="1">
        <f t="array" ref="F47">IF(V47="Sí",IFERROR(_xlfn.STDEV.P(IF((DATOS!$G$2:$G$20000=CONFIG_METADATA!$B$4)*(DATOS!$D$2:$D$20000=A47)*(DATOS!$I$2:$I$20000=B47),DATOS!$K$2:$K$20000)),"—"),"")</f>
        <v>—</v>
      </c>
      <c r="G47" t="str" cm="1">
        <f t="array" ref="G47">IF(V47="Sí",IFERROR(_xlfn.MODE.SNGL(IF((DATOS!$G$2:$G$20000=CONFIG_METADATA!$B$4)*(DATOS!$D$2:$D$20000=A47)*(DATOS!$I$2:$I$20000=B47),DATOS!$K$2:$K$20000)),"—"),"")</f>
        <v>—</v>
      </c>
      <c r="H47" s="15" t="str">
        <f>IF(V47="Sí",IFERROR(COUNTIFS(DATOS!G:G,CONFIG_METADATA!$B$4,DATOS!D:D,A47,DATOS!I:I,B47,DATOS!L:L,"S")/COUNTIFS(DATOS!G:G,CONFIG_METADATA!$B$4,DATOS!D:D,A47,DATOS!I:I,B47),"—"),"")</f>
        <v>—</v>
      </c>
      <c r="I47" s="15" t="str">
        <f>IF(V47="Sí",IFERROR(COUNTIFS(DATOS!G:G,CONFIG_METADATA!$B$4,DATOS!D:D,A47,DATOS!I:I,B47,DATOS!L:L,"N")/COUNTIFS(DATOS!G:G,CONFIG_METADATA!$B$4,DATOS!D:D,A47,DATOS!I:I,B47),"—"),"")</f>
        <v>—</v>
      </c>
      <c r="J47" t="str" cm="1">
        <f t="array" ref="J47">IF(V47="Sí",IFERROR(_xlfn.MODE.SNGL(IF((DATOS!$G$2:$G$20000=CONFIG_METADATA!$B$4)*(DATOS!$D$2:$D$20000=A47)*(DATOS!$I$2:$I$20000=B47)*(DATOS!$L$2:$L$20000="S"),DATOS!$K$2:$K$20000)),"—"),"")</f>
        <v>—</v>
      </c>
      <c r="K47" t="str" cm="1">
        <f t="array" ref="K47">IF(V47="Sí",IFERROR(_xlfn.MODE.SNGL(IF((DATOS!$G$2:$G$20000=CONFIG_METADATA!$B$4)*(DATOS!$D$2:$D$20000=A47)*(DATOS!$I$2:$I$20000=B47)*(DATOS!$L$2:$L$20000="N"),DATOS!$K$2:$K$20000)),"—"),"")</f>
        <v>—</v>
      </c>
      <c r="L47">
        <f>IF(V47="Sí",COUNTIFS(DATOS!G:G,CONFIG_METADATA!$B$4,DATOS!D:D,A47,DATOS!I:I,B47,DATOS!K:K,1),"")</f>
        <v>0</v>
      </c>
      <c r="M47">
        <f>IF(V47="Sí",COUNTIFS(DATOS!G:G,CONFIG_METADATA!$B$4,DATOS!D:D,A47,DATOS!I:I,B47,DATOS!K:K,2),"")</f>
        <v>0</v>
      </c>
      <c r="N47">
        <f>IF(V47="Sí",COUNTIFS(DATOS!G:G,CONFIG_METADATA!$B$4,DATOS!D:D,A47,DATOS!I:I,B47,DATOS!K:K,3),"")</f>
        <v>0</v>
      </c>
      <c r="O47">
        <f>IF(V47="Sí",COUNTIFS(DATOS!G:G,CONFIG_METADATA!$B$4,DATOS!D:D,A47,DATOS!I:I,B47,DATOS!K:K,4),"")</f>
        <v>0</v>
      </c>
      <c r="P47">
        <f>IF(V47="Sí",COUNTIFS(DATOS!G:G,CONFIG_METADATA!$B$4,DATOS!D:D,A47,DATOS!I:I,B47,DATOS!K:K,5),"")</f>
        <v>0</v>
      </c>
      <c r="Q47">
        <f>IF(V47="Sí",COUNTIFS(DATOS!G:G,CONFIG_METADATA!$B$4,DATOS!D:D,A47,DATOS!I:I,B47,DATOS!K:K,6),"")</f>
        <v>0</v>
      </c>
      <c r="R47">
        <f>IF(V47="Sí",COUNTIFS(DATOS!G:G,CONFIG_METADATA!$B$4,DATOS!D:D,A47,DATOS!I:I,B47,DATOS!K:K,7),"")</f>
        <v>0</v>
      </c>
      <c r="S47">
        <f>IF(V47="Sí",COUNTIFS(DATOS!G:G,CONFIG_METADATA!$B$4,DATOS!D:D,A47,DATOS!I:I,B47,DATOS!K:K,8),"")</f>
        <v>0</v>
      </c>
      <c r="T47">
        <f>IF(V47="Sí",COUNTIFS(DATOS!G:G,CONFIG_METADATA!$B$4,DATOS!D:D,A47,DATOS!I:I,B47,DATOS!K:K,9),"")</f>
        <v>0</v>
      </c>
      <c r="U47">
        <f>IF(V47="Sí",COUNTIFS(DATOS!G:G,CONFIG_METADATA!$B$4,DATOS!D:D,A47,DATOS!I:I,B47,DATOS!K:K,10),"")</f>
        <v>0</v>
      </c>
      <c r="V47" t="str">
        <f>IFERROR(IF(ISERROR(FIND(A47,VLOOKUP(B47,CONFIG_ASIGNATURAS!B:C,2,FALSE()))),"No","Sí"),"No")</f>
        <v>Sí</v>
      </c>
    </row>
    <row r="48" spans="1:22">
      <c r="A48" s="3" t="inlineStr">
        <is>
          <t xml:space="preserve">1EEM</t>
        </is>
      </c>
      <c r="B48" s="3">
        <f>IFERROR(INDEX(_xlfn._xlws.FILTER(CONFIG_ASIGNATURAS!$B$2:$B$27,CONFIG_ASIGNATURAS!$G$2:$G$27="Sí"),7),"")</f>
      </c>
      <c r="C48" s="3">
        <f>IF(B48="","",IFERROR(IF(VLOOKUP(B48,CONFIG_ASIGNATURAS!$B$2:$F$27,5,FALSE())="Sí","Especialidad","Asignatura"),"Asignatura"))</f>
      </c>
      <c r="D48">
        <f>IF(V48="Sí",COUNTIFS(DATOS!G:G,CONFIG_METADATA!$B$4,DATOS!D:D,A48,DATOS!I:I,B48),"")</f>
        <v>0</v>
      </c>
      <c r="E48" s="14" t="str">
        <f>IF(V48="Sí",IFERROR(AVERAGEIFS(DATOS!K:K,DATOS!G:G,CONFIG_METADATA!$B$4,DATOS!D:D,A48,DATOS!I:I,B48),"—"),"")</f>
        <v>—</v>
      </c>
      <c r="F48" s="14" t="str" cm="1">
        <f t="array" ref="F48">IF(V48="Sí",IFERROR(_xlfn.STDEV.P(IF((DATOS!$G$2:$G$20000=CONFIG_METADATA!$B$4)*(DATOS!$D$2:$D$20000=A48)*(DATOS!$I$2:$I$20000=B48),DATOS!$K$2:$K$20000)),"—"),"")</f>
        <v>—</v>
      </c>
      <c r="G48" t="str" cm="1">
        <f t="array" ref="G48">IF(V48="Sí",IFERROR(_xlfn.MODE.SNGL(IF((DATOS!$G$2:$G$20000=CONFIG_METADATA!$B$4)*(DATOS!$D$2:$D$20000=A48)*(DATOS!$I$2:$I$20000=B48),DATOS!$K$2:$K$20000)),"—"),"")</f>
        <v>—</v>
      </c>
      <c r="H48" s="15" t="str">
        <f>IF(V48="Sí",IFERROR(COUNTIFS(DATOS!G:G,CONFIG_METADATA!$B$4,DATOS!D:D,A48,DATOS!I:I,B48,DATOS!L:L,"S")/COUNTIFS(DATOS!G:G,CONFIG_METADATA!$B$4,DATOS!D:D,A48,DATOS!I:I,B48),"—"),"")</f>
        <v>—</v>
      </c>
      <c r="I48" s="15" t="str">
        <f>IF(V48="Sí",IFERROR(COUNTIFS(DATOS!G:G,CONFIG_METADATA!$B$4,DATOS!D:D,A48,DATOS!I:I,B48,DATOS!L:L,"N")/COUNTIFS(DATOS!G:G,CONFIG_METADATA!$B$4,DATOS!D:D,A48,DATOS!I:I,B48),"—"),"")</f>
        <v>—</v>
      </c>
      <c r="J48" t="str" cm="1">
        <f t="array" ref="J48">IF(V48="Sí",IFERROR(_xlfn.MODE.SNGL(IF((DATOS!$G$2:$G$20000=CONFIG_METADATA!$B$4)*(DATOS!$D$2:$D$20000=A48)*(DATOS!$I$2:$I$20000=B48)*(DATOS!$L$2:$L$20000="S"),DATOS!$K$2:$K$20000)),"—"),"")</f>
        <v>—</v>
      </c>
      <c r="K48" t="str" cm="1">
        <f t="array" ref="K48">IF(V48="Sí",IFERROR(_xlfn.MODE.SNGL(IF((DATOS!$G$2:$G$20000=CONFIG_METADATA!$B$4)*(DATOS!$D$2:$D$20000=A48)*(DATOS!$I$2:$I$20000=B48)*(DATOS!$L$2:$L$20000="N"),DATOS!$K$2:$K$20000)),"—"),"")</f>
        <v>—</v>
      </c>
      <c r="L48">
        <f>IF(V48="Sí",COUNTIFS(DATOS!G:G,CONFIG_METADATA!$B$4,DATOS!D:D,A48,DATOS!I:I,B48,DATOS!K:K,1),"")</f>
        <v>0</v>
      </c>
      <c r="M48">
        <f>IF(V48="Sí",COUNTIFS(DATOS!G:G,CONFIG_METADATA!$B$4,DATOS!D:D,A48,DATOS!I:I,B48,DATOS!K:K,2),"")</f>
        <v>0</v>
      </c>
      <c r="N48">
        <f>IF(V48="Sí",COUNTIFS(DATOS!G:G,CONFIG_METADATA!$B$4,DATOS!D:D,A48,DATOS!I:I,B48,DATOS!K:K,3),"")</f>
        <v>0</v>
      </c>
      <c r="O48">
        <f>IF(V48="Sí",COUNTIFS(DATOS!G:G,CONFIG_METADATA!$B$4,DATOS!D:D,A48,DATOS!I:I,B48,DATOS!K:K,4),"")</f>
        <v>0</v>
      </c>
      <c r="P48">
        <f>IF(V48="Sí",COUNTIFS(DATOS!G:G,CONFIG_METADATA!$B$4,DATOS!D:D,A48,DATOS!I:I,B48,DATOS!K:K,5),"")</f>
        <v>0</v>
      </c>
      <c r="Q48">
        <f>IF(V48="Sí",COUNTIFS(DATOS!G:G,CONFIG_METADATA!$B$4,DATOS!D:D,A48,DATOS!I:I,B48,DATOS!K:K,6),"")</f>
        <v>0</v>
      </c>
      <c r="R48">
        <f>IF(V48="Sí",COUNTIFS(DATOS!G:G,CONFIG_METADATA!$B$4,DATOS!D:D,A48,DATOS!I:I,B48,DATOS!K:K,7),"")</f>
        <v>0</v>
      </c>
      <c r="S48">
        <f>IF(V48="Sí",COUNTIFS(DATOS!G:G,CONFIG_METADATA!$B$4,DATOS!D:D,A48,DATOS!I:I,B48,DATOS!K:K,8),"")</f>
        <v>0</v>
      </c>
      <c r="T48">
        <f>IF(V48="Sí",COUNTIFS(DATOS!G:G,CONFIG_METADATA!$B$4,DATOS!D:D,A48,DATOS!I:I,B48,DATOS!K:K,9),"")</f>
        <v>0</v>
      </c>
      <c r="U48">
        <f>IF(V48="Sí",COUNTIFS(DATOS!G:G,CONFIG_METADATA!$B$4,DATOS!D:D,A48,DATOS!I:I,B48,DATOS!K:K,10),"")</f>
        <v>0</v>
      </c>
      <c r="V48" t="str">
        <f>IFERROR(IF(ISERROR(FIND(A48,VLOOKUP(B48,CONFIG_ASIGNATURAS!B:C,2,FALSE()))),"No","Sí"),"No")</f>
        <v>Sí</v>
      </c>
    </row>
    <row r="49" spans="1:22">
      <c r="A49" s="3" t="inlineStr">
        <is>
          <t xml:space="preserve">1EEM</t>
        </is>
      </c>
      <c r="B49" s="3">
        <f>IFERROR(INDEX(_xlfn._xlws.FILTER(CONFIG_ASIGNATURAS!$B$2:$B$27,CONFIG_ASIGNATURAS!$G$2:$G$27="Sí"),8),"")</f>
      </c>
      <c r="C49" s="3">
        <f>IF(B49="","",IFERROR(IF(VLOOKUP(B49,CONFIG_ASIGNATURAS!$B$2:$F$27,5,FALSE())="Sí","Especialidad","Asignatura"),"Asignatura"))</f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>
      <c r="A50" s="3" t="inlineStr">
        <is>
          <t xml:space="preserve">1EEM</t>
        </is>
      </c>
      <c r="B50" s="3">
        <f>IFERROR(INDEX(_xlfn._xlws.FILTER(CONFIG_ASIGNATURAS!$B$2:$B$27,CONFIG_ASIGNATURAS!$G$2:$G$27="Sí"),9),"")</f>
      </c>
      <c r="C50" s="3">
        <f>IF(B50="","",IFERROR(IF(VLOOKUP(B50,CONFIG_ASIGNATURAS!$B$2:$F$27,5,FALSE())="Sí","Especialidad","Asignatura"),"Asignatura"))</f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>
      <c r="A51" s="3" t="inlineStr">
        <is>
          <t xml:space="preserve">1EEM</t>
        </is>
      </c>
      <c r="B51" s="3">
        <f>IFERROR(INDEX(_xlfn._xlws.FILTER(CONFIG_ASIGNATURAS!$B$2:$B$27,CONFIG_ASIGNATURAS!$G$2:$G$27="Sí"),10),"")</f>
      </c>
      <c r="C51" s="3">
        <f>IF(B51="","",IFERROR(IF(VLOOKUP(B51,CONFIG_ASIGNATURAS!$B$2:$F$27,5,FALSE())="Sí","Especialidad","Asignatura"),"Asignatura"))</f>
      </c>
      <c r="D51">
        <f>IF(V51="Sí",COUNTIFS(DATOS!G:G,CONFIG_METADATA!$B$4,DATOS!D:D,A51,DATOS!I:I,B51),"")</f>
        <v>0</v>
      </c>
      <c r="E51" s="14" t="str">
        <f>IF(V51="Sí",IFERROR(AVERAGEIFS(DATOS!K:K,DATOS!G:G,CONFIG_METADATA!$B$4,DATOS!D:D,A51,DATOS!I:I,B51),"—"),"")</f>
        <v>—</v>
      </c>
      <c r="F51" s="14" t="str" cm="1">
        <f t="array" ref="F51">IF(V51="Sí",IFERROR(_xlfn.STDEV.P(IF((DATOS!$G$2:$G$20000=CONFIG_METADATA!$B$4)*(DATOS!$D$2:$D$20000=A51)*(DATOS!$I$2:$I$20000=B51),DATOS!$K$2:$K$20000)),"—"),"")</f>
        <v>—</v>
      </c>
      <c r="G51" t="str" cm="1">
        <f t="array" ref="G51">IF(V51="Sí",IFERROR(_xlfn.MODE.SNGL(IF((DATOS!$G$2:$G$20000=CONFIG_METADATA!$B$4)*(DATOS!$D$2:$D$20000=A51)*(DATOS!$I$2:$I$20000=B51),DATOS!$K$2:$K$20000)),"—"),"")</f>
        <v>—</v>
      </c>
      <c r="H51" s="15" t="str">
        <f>IF(V51="Sí",IFERROR(COUNTIFS(DATOS!G:G,CONFIG_METADATA!$B$4,DATOS!D:D,A51,DATOS!I:I,B51,DATOS!L:L,"S")/COUNTIFS(DATOS!G:G,CONFIG_METADATA!$B$4,DATOS!D:D,A51,DATOS!I:I,B51),"—"),"")</f>
        <v>—</v>
      </c>
      <c r="I51" s="15" t="str">
        <f>IF(V51="Sí",IFERROR(COUNTIFS(DATOS!G:G,CONFIG_METADATA!$B$4,DATOS!D:D,A51,DATOS!I:I,B51,DATOS!L:L,"N")/COUNTIFS(DATOS!G:G,CONFIG_METADATA!$B$4,DATOS!D:D,A51,DATOS!I:I,B51),"—"),"")</f>
        <v>—</v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>—</v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>—</v>
      </c>
      <c r="L51">
        <f>IF(V51="Sí",COUNTIFS(DATOS!G:G,CONFIG_METADATA!$B$4,DATOS!D:D,A51,DATOS!I:I,B51,DATOS!K:K,1),"")</f>
        <v>0</v>
      </c>
      <c r="M51">
        <f>IF(V51="Sí",COUNTIFS(DATOS!G:G,CONFIG_METADATA!$B$4,DATOS!D:D,A51,DATOS!I:I,B51,DATOS!K:K,2),"")</f>
        <v>0</v>
      </c>
      <c r="N51">
        <f>IF(V51="Sí",COUNTIFS(DATOS!G:G,CONFIG_METADATA!$B$4,DATOS!D:D,A51,DATOS!I:I,B51,DATOS!K:K,3),"")</f>
        <v>0</v>
      </c>
      <c r="O51">
        <f>IF(V51="Sí",COUNTIFS(DATOS!G:G,CONFIG_METADATA!$B$4,DATOS!D:D,A51,DATOS!I:I,B51,DATOS!K:K,4),"")</f>
        <v>0</v>
      </c>
      <c r="P51">
        <f>IF(V51="Sí",COUNTIFS(DATOS!G:G,CONFIG_METADATA!$B$4,DATOS!D:D,A51,DATOS!I:I,B51,DATOS!K:K,5),"")</f>
        <v>0</v>
      </c>
      <c r="Q51">
        <f>IF(V51="Sí",COUNTIFS(DATOS!G:G,CONFIG_METADATA!$B$4,DATOS!D:D,A51,DATOS!I:I,B51,DATOS!K:K,6),"")</f>
        <v>0</v>
      </c>
      <c r="R51">
        <f>IF(V51="Sí",COUNTIFS(DATOS!G:G,CONFIG_METADATA!$B$4,DATOS!D:D,A51,DATOS!I:I,B51,DATOS!K:K,7),"")</f>
        <v>0</v>
      </c>
      <c r="S51">
        <f>IF(V51="Sí",COUNTIFS(DATOS!G:G,CONFIG_METADATA!$B$4,DATOS!D:D,A51,DATOS!I:I,B51,DATOS!K:K,8),"")</f>
        <v>0</v>
      </c>
      <c r="T51">
        <f>IF(V51="Sí",COUNTIFS(DATOS!G:G,CONFIG_METADATA!$B$4,DATOS!D:D,A51,DATOS!I:I,B51,DATOS!K:K,9),"")</f>
        <v>0</v>
      </c>
      <c r="U51">
        <f>IF(V51="Sí",COUNTIFS(DATOS!G:G,CONFIG_METADATA!$B$4,DATOS!D:D,A51,DATOS!I:I,B51,DATOS!K:K,10),"")</f>
        <v>0</v>
      </c>
      <c r="V51" t="str">
        <f>IFERROR(IF(ISERROR(FIND(A51,VLOOKUP(B51,CONFIG_ASIGNATURAS!B:C,2,FALSE()))),"No","Sí"),"No")</f>
        <v>Sí</v>
      </c>
    </row>
    <row r="52" spans="1:22">
      <c r="A52" s="3" t="inlineStr">
        <is>
          <t xml:space="preserve">1EEM</t>
        </is>
      </c>
      <c r="B52" s="3">
        <f>IFERROR(INDEX(_xlfn._xlws.FILTER(CONFIG_ASIGNATURAS!$B$2:$B$27,CONFIG_ASIGNATURAS!$G$2:$G$27="Sí"),11),"")</f>
      </c>
      <c r="C52" s="3">
        <f>IF(B52="","",IFERROR(IF(VLOOKUP(B52,CONFIG_ASIGNATURAS!$B$2:$F$27,5,FALSE())="Sí","Especialidad","Asignatura"),"Asignatura"))</f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>
      <c r="A53" s="3" t="inlineStr">
        <is>
          <t xml:space="preserve">1EEM</t>
        </is>
      </c>
      <c r="B53" s="3">
        <f>IFERROR(INDEX(_xlfn._xlws.FILTER(CONFIG_ASIGNATURAS!$B$2:$B$27,CONFIG_ASIGNATURAS!$G$2:$G$27="Sí"),12),"")</f>
      </c>
      <c r="C53" s="3">
        <f>IF(B53="","",IFERROR(IF(VLOOKUP(B53,CONFIG_ASIGNATURAS!$B$2:$F$27,5,FALSE())="Sí","Especialidad","Asignatura"),"Asignatura"))</f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>
      <c r="A54" s="3" t="inlineStr">
        <is>
          <t xml:space="preserve">1EEM</t>
        </is>
      </c>
      <c r="B54" s="3">
        <f>IFERROR(INDEX(_xlfn._xlws.FILTER(CONFIG_ASIGNATURAS!$B$2:$B$27,CONFIG_ASIGNATURAS!$G$2:$G$27="Sí"),13),"")</f>
      </c>
      <c r="C54" s="3">
        <f>IF(B54="","",IFERROR(IF(VLOOKUP(B54,CONFIG_ASIGNATURAS!$B$2:$F$27,5,FALSE())="Sí","Especialidad","Asignatura"),"Asignatura"))</f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>
      <c r="A55" s="3" t="inlineStr">
        <is>
          <t xml:space="preserve">1EEM</t>
        </is>
      </c>
      <c r="B55" s="3">
        <f>IFERROR(INDEX(_xlfn._xlws.FILTER(CONFIG_ASIGNATURAS!$B$2:$B$27,CONFIG_ASIGNATURAS!$G$2:$G$27="Sí"),14),"")</f>
      </c>
      <c r="C55" s="3">
        <f>IF(B55="","",IFERROR(IF(VLOOKUP(B55,CONFIG_ASIGNATURAS!$B$2:$F$27,5,FALSE())="Sí","Especialidad","Asignatura"),"Asignatura"))</f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>
      <c r="A56" s="3" t="inlineStr">
        <is>
          <t xml:space="preserve">1EEM</t>
        </is>
      </c>
      <c r="B56" s="3">
        <f>IFERROR(INDEX(_xlfn._xlws.FILTER(CONFIG_ASIGNATURAS!$B$2:$B$27,CONFIG_ASIGNATURAS!$G$2:$G$27="Sí"),15),"")</f>
      </c>
      <c r="C56" s="3">
        <f>IF(B56="","",IFERROR(IF(VLOOKUP(B56,CONFIG_ASIGNATURAS!$B$2:$F$27,5,FALSE())="Sí","Especialidad","Asignatura"),"Asignatura"))</f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>
      <c r="A57" s="3" t="inlineStr">
        <is>
          <t xml:space="preserve">1EEM</t>
        </is>
      </c>
      <c r="B57" s="3">
        <f>IFERROR(INDEX(_xlfn._xlws.FILTER(CONFIG_ASIGNATURAS!$B$2:$B$27,CONFIG_ASIGNATURAS!$G$2:$G$27="Sí"),16),"")</f>
      </c>
      <c r="C57" s="3">
        <f>IF(B57="","",IFERROR(IF(VLOOKUP(B57,CONFIG_ASIGNATURAS!$B$2:$F$27,5,FALSE())="Sí","Especialidad","Asignatura"),"Asignatura"))</f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>
      <c r="A58" s="3" t="inlineStr">
        <is>
          <t xml:space="preserve">1EEM</t>
        </is>
      </c>
      <c r="B58" s="3">
        <f>IFERROR(INDEX(_xlfn._xlws.FILTER(CONFIG_ASIGNATURAS!$B$2:$B$27,CONFIG_ASIGNATURAS!$G$2:$G$27="Sí"),17),"")</f>
      </c>
      <c r="C58" s="3">
        <f>IF(B58="","",IFERROR(IF(VLOOKUP(B58,CONFIG_ASIGNATURAS!$B$2:$F$27,5,FALSE())="Sí","Especialidad","Asignatura"),"Asignatura"))</f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>
      <c r="A59" s="3" t="inlineStr">
        <is>
          <t xml:space="preserve">1EEM</t>
        </is>
      </c>
      <c r="B59" s="3">
        <f>IFERROR(INDEX(_xlfn._xlws.FILTER(CONFIG_ASIGNATURAS!$B$2:$B$27,CONFIG_ASIGNATURAS!$G$2:$G$27="Sí"),18),"")</f>
      </c>
      <c r="C59" s="3">
        <f>IF(B59="","",IFERROR(IF(VLOOKUP(B59,CONFIG_ASIGNATURAS!$B$2:$F$27,5,FALSE())="Sí","Especialidad","Asignatura"),"Asignatura"))</f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>
      <c r="A60" s="3" t="inlineStr">
        <is>
          <t xml:space="preserve">1EEM</t>
        </is>
      </c>
      <c r="B60" s="3">
        <f>IFERROR(INDEX(_xlfn._xlws.FILTER(CONFIG_ASIGNATURAS!$B$2:$B$27,CONFIG_ASIGNATURAS!$G$2:$G$27="Sí"),19),"")</f>
      </c>
      <c r="C60" s="3">
        <f>IF(B60="","",IFERROR(IF(VLOOKUP(B60,CONFIG_ASIGNATURAS!$B$2:$F$27,5,FALSE())="Sí","Especialidad","Asignatura"),"Asignatura"))</f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>
      <c r="A61" s="3" t="inlineStr">
        <is>
          <t xml:space="preserve">1EEM</t>
        </is>
      </c>
      <c r="B61" s="3">
        <f>IFERROR(INDEX(_xlfn._xlws.FILTER(CONFIG_ASIGNATURAS!$B$2:$B$27,CONFIG_ASIGNATURAS!$G$2:$G$27="Sí"),20),"")</f>
      </c>
      <c r="C61" s="3">
        <f>IF(B61="","",IFERROR(IF(VLOOKUP(B61,CONFIG_ASIGNATURAS!$B$2:$F$27,5,FALSE())="Sí","Especialidad","Asignatura"),"Asignatura"))</f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>
      <c r="A62" s="3" t="inlineStr">
        <is>
          <t xml:space="preserve">1EEM</t>
        </is>
      </c>
      <c r="B62" s="3">
        <f>IFERROR(INDEX(_xlfn._xlws.FILTER(CONFIG_ASIGNATURAS!$B$2:$B$27,CONFIG_ASIGNATURAS!$G$2:$G$27="Sí"),21),"")</f>
      </c>
      <c r="C62" s="3">
        <f>IF(B62="","",IFERROR(IF(VLOOKUP(B62,CONFIG_ASIGNATURAS!$B$2:$F$27,5,FALSE())="Sí","Especialidad","Asignatura"),"Asignatura"))</f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>
      <c r="A63" s="3" t="inlineStr">
        <is>
          <t xml:space="preserve">1EEM</t>
        </is>
      </c>
      <c r="B63" s="3">
        <f>IFERROR(INDEX(_xlfn._xlws.FILTER(CONFIG_ASIGNATURAS!$B$2:$B$27,CONFIG_ASIGNATURAS!$G$2:$G$27="Sí"),22),"")</f>
      </c>
      <c r="C63" s="3">
        <f>IF(B63="","",IFERROR(IF(VLOOKUP(B63,CONFIG_ASIGNATURAS!$B$2:$F$27,5,FALSE())="Sí","Especialidad","Asignatura"),"Asignatura"))</f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>
      <c r="A64" s="3" t="inlineStr">
        <is>
          <t xml:space="preserve">1EEM</t>
        </is>
      </c>
      <c r="B64" s="3">
        <f>IFERROR(INDEX(_xlfn._xlws.FILTER(CONFIG_ASIGNATURAS!$B$2:$B$27,CONFIG_ASIGNATURAS!$G$2:$G$27="Sí"),23),"")</f>
      </c>
      <c r="C64" s="3">
        <f>IF(B64="","",IFERROR(IF(VLOOKUP(B64,CONFIG_ASIGNATURAS!$B$2:$F$27,5,FALSE())="Sí","Especialidad","Asignatura"),"Asignatura"))</f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>
      <c r="A65" s="3" t="inlineStr">
        <is>
          <t xml:space="preserve">1EEM</t>
        </is>
      </c>
      <c r="B65" s="3">
        <f>IFERROR(INDEX(_xlfn._xlws.FILTER(CONFIG_ASIGNATURAS!$B$2:$B$27,CONFIG_ASIGNATURAS!$G$2:$G$27="Sí"),24),"")</f>
      </c>
      <c r="C65" s="3">
        <f>IF(B65="","",IFERROR(IF(VLOOKUP(B65,CONFIG_ASIGNATURAS!$B$2:$F$27,5,FALSE())="Sí","Especialidad","Asignatura"),"Asignatura"))</f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>
      <c r="A66" s="3" t="inlineStr">
        <is>
          <t xml:space="preserve">1EEM</t>
        </is>
      </c>
      <c r="B66" s="3">
        <f>IFERROR(INDEX(_xlfn._xlws.FILTER(CONFIG_ASIGNATURAS!$B$2:$B$27,CONFIG_ASIGNATURAS!$G$2:$G$27="Sí"),25),"")</f>
      </c>
      <c r="C66" s="3">
        <f>IF(B66="","",IFERROR(IF(VLOOKUP(B66,CONFIG_ASIGNATURAS!$B$2:$F$27,5,FALSE())="Sí","Especialidad","Asignatura"),"Asignatura"))</f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>
      <c r="A67" s="3" t="inlineStr">
        <is>
          <t xml:space="preserve">1EEM</t>
        </is>
      </c>
      <c r="B67" s="3">
        <f>IFERROR(INDEX(_xlfn._xlws.FILTER(CONFIG_ASIGNATURAS!$B$2:$B$27,CONFIG_ASIGNATURAS!$G$2:$G$27="Sí"),26),"")</f>
      </c>
      <c r="C67" s="3">
        <f>IF(B67="","",IFERROR(IF(VLOOKUP(B67,CONFIG_ASIGNATURAS!$B$2:$F$27,5,FALSE())="Sí","Especialidad","Asignatura"),"Asignatura"))</f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>
      <c r="A68" s="3" t="inlineStr">
        <is>
          <t xml:space="preserve">1EEM</t>
        </is>
      </c>
      <c r="B68" s="3">
        <f>IFERROR(INDEX(_xlfn._xlws.FILTER(CONFIG_ASIGNATURAS!$B$2:$B$27,CONFIG_ASIGNATURAS!$G$2:$G$27="Sí"),27),"")</f>
      </c>
      <c r="C68" s="3">
        <f>IF(B68="","",IFERROR(IF(VLOOKUP(B68,CONFIG_ASIGNATURAS!$B$2:$F$27,5,FALSE())="Sí","Especialidad","Asignatura"),"Asignatura"))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>
        <f>IFERROR(INDEX(_xlfn._xlws.FILTER(CONFIG_ASIGNATURAS!$B$2:$B$27,CONFIG_ASIGNATURAS!$G$2:$G$27="Sí"),28),"")</f>
      </c>
      <c r="C69" s="3">
        <f>IF(B69="","",IFERROR(IF(VLOOKUP(B69,CONFIG_ASIGNATURAS!$B$2:$F$27,5,FALSE())="Sí","Especialidad","Asignatura"),"Asignatura"))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>
        <f>IFERROR(INDEX(_xlfn._xlws.FILTER(CONFIG_ASIGNATURAS!$B$2:$B$27,CONFIG_ASIGNATURAS!$G$2:$G$27="Sí"),29),"")</f>
      </c>
      <c r="C70" s="3">
        <f>IF(B70="","",IFERROR(IF(VLOOKUP(B70,CONFIG_ASIGNATURAS!$B$2:$F$27,5,FALSE())="Sí","Especialidad","Asignatura"),"Asignatura"))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>
        <f>IFERROR(INDEX(_xlfn._xlws.FILTER(CONFIG_ASIGNATURAS!$B$2:$B$27,CONFIG_ASIGNATURAS!$G$2:$G$27="Sí"),30),"")</f>
      </c>
      <c r="C71" s="3">
        <f>IF(B71="","",IFERROR(IF(VLOOKUP(B71,CONFIG_ASIGNATURAS!$B$2:$F$27,5,FALSE())="Sí","Especialidad","Asignatura"),"Asignatura"))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>
        <f>IFERROR(INDEX(_xlfn._xlws.FILTER(CONFIG_ASIGNATURAS!$B$2:$B$27,CONFIG_ASIGNATURAS!$G$2:$G$27="Sí"),31),"")</f>
      </c>
      <c r="C72" s="3">
        <f>IF(B72="","",IFERROR(IF(VLOOKUP(B72,CONFIG_ASIGNATURAS!$B$2:$F$27,5,FALSE())="Sí","Especialidad","Asignatura"),"Asignatura"))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>
        <f>IFERROR(INDEX(_xlfn._xlws.FILTER(CONFIG_ASIGNATURAS!$B$2:$B$27,CONFIG_ASIGNATURAS!$G$2:$G$27="Sí"),32),"")</f>
      </c>
      <c r="C73" s="3">
        <f>IF(B73="","",IFERROR(IF(VLOOKUP(B73,CONFIG_ASIGNATURAS!$B$2:$F$27,5,FALSE())="Sí","Especialidad","Asignatura"),"Asignatura"))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>
        <f>IFERROR(INDEX(_xlfn._xlws.FILTER(CONFIG_ASIGNATURAS!$B$2:$B$27,CONFIG_ASIGNATURAS!$G$2:$G$27="Sí"),33),"")</f>
      </c>
      <c r="C74" s="3">
        <f>IF(B74="","",IFERROR(IF(VLOOKUP(B74,CONFIG_ASIGNATURAS!$B$2:$F$27,5,FALSE())="Sí","Especialidad","Asignatura"),"Asignatura"))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>
        <f>IFERROR(INDEX(_xlfn._xlws.FILTER(CONFIG_ASIGNATURAS!$B$2:$B$27,CONFIG_ASIGNATURAS!$G$2:$G$27="Sí"),34),"")</f>
      </c>
      <c r="C75" s="3">
        <f>IF(B75="","",IFERROR(IF(VLOOKUP(B75,CONFIG_ASIGNATURAS!$B$2:$F$27,5,FALSE())="Sí","Especialidad","Asignatura"),"Asignatura"))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2EEM</t>
        </is>
      </c>
      <c r="B76" s="3" t="inlineStr">
        <is>
          <t xml:space="preserve">Total</t>
        </is>
      </c>
      <c r="C76" s="3" t="inlineStr">
        <is>
          <t xml:space="preserve">Total</t>
        </is>
      </c>
      <c r="D76">
        <f>COUNTIFS(DATOS!G:G,CONFIG_METADATA!$B$4,DATOS!D:D,A76)</f>
        <v>0</v>
      </c>
      <c r="E76" s="14" t="str">
        <f>IFERROR(AVERAGEIFS(DATOS!K:K,DATOS!G:G,CONFIG_METADATA!$B$4,DATOS!D:D,A76),"—")</f>
        <v>—</v>
      </c>
      <c r="F76" s="14" t="str" cm="1">
        <f t="array" ref="F76">IFERROR(_xlfn.STDEV.P(IF((DATOS!$G$2:$G$20000=CONFIG_METADATA!$B$4)*(DATOS!$D$2:$D$20000=A76),DATOS!$K$2:$K$20000)),"—")</f>
        <v>—</v>
      </c>
      <c r="G76" t="str" cm="1">
        <f t="array" ref="G76">IFERROR(_xlfn.MODE.SNGL(IF((DATOS!$G$2:$G$20000=CONFIG_METADATA!$B$4)*(DATOS!$D$2:$D$20000=A76),DATOS!$K$2:$K$20000)),"—")</f>
        <v>—</v>
      </c>
      <c r="H76" s="15" t="str">
        <f>IFERROR(COUNTIFS(DATOS!$G$2:$G$20000,CONFIG_METADATA!$B$4,DATOS!$D$2:$D$20000,A76,DATOS!$L$2:$L$20000,"S")/COUNTIFS(DATOS!$G$2:$G$20000,CONFIG_METADATA!$B$4,DATOS!$D$2:$D$20000,A76),"—")</f>
        <v>—</v>
      </c>
      <c r="I76" s="15" t="str">
        <f>IFERROR(COUNTIFS(DATOS!$G$2:$G$20000,CONFIG_METADATA!$B$4,DATOS!$D$2:$D$20000,A76,DATOS!$L$2:$L$20000,"N")/COUNTIFS(DATOS!$G$2:$G$20000,CONFIG_METADATA!$B$4,DATOS!$D$2:$D$20000,A76),"—")</f>
        <v>—</v>
      </c>
      <c r="J76" t="str" cm="1">
        <f t="array" ref="J76">IFERROR(_xlfn.MODE.SNGL(IF((DATOS!$G$2:$G$20000=CONFIG_METADATA!$B$4)*(DATOS!$D$2:$D$20000=A76)*(DATOS!$L$2:$L$20000="S"),DATOS!$K$2:$K$20000)),"—")</f>
        <v>—</v>
      </c>
      <c r="K76" t="str" cm="1">
        <f t="array" ref="K76">IFERROR(_xlfn.MODE.SNGL(IF((DATOS!$G$2:$G$20000=CONFIG_METADATA!$B$4)*(DATOS!$D$2:$D$20000=A76)*(DATOS!$L$2:$L$20000="N"),DATOS!$K$2:$K$20000)),"—")</f>
        <v>—</v>
      </c>
      <c r="L76" cm="1">
        <f t="array" ref="L76">SUMPRODUCT((DATOS!$G$2:$G$20000=CONFIG_METADATA!$B$4)*(DATOS!$D$2:$D$20000=A76)*(DATOS!$K$2:$K$20000=1))</f>
        <v>0</v>
      </c>
      <c r="M76" cm="1">
        <f t="array" ref="M76">SUMPRODUCT((DATOS!$G$2:$G$20000=CONFIG_METADATA!$B$4)*(DATOS!$D$2:$D$20000=A76)*(DATOS!$K$2:$K$20000=2))</f>
        <v>0</v>
      </c>
      <c r="N76" cm="1">
        <f t="array" ref="N76">SUMPRODUCT((DATOS!$G$2:$G$20000=CONFIG_METADATA!$B$4)*(DATOS!$D$2:$D$20000=A76)*(DATOS!$K$2:$K$20000=3))</f>
        <v>0</v>
      </c>
      <c r="O76" cm="1">
        <f t="array" ref="O76">SUMPRODUCT((DATOS!$G$2:$G$20000=CONFIG_METADATA!$B$4)*(DATOS!$D$2:$D$20000=A76)*(DATOS!$K$2:$K$20000=4))</f>
        <v>0</v>
      </c>
      <c r="P76" cm="1">
        <f t="array" ref="P76">SUMPRODUCT((DATOS!$G$2:$G$20000=CONFIG_METADATA!$B$4)*(DATOS!$D$2:$D$20000=A76)*(DATOS!$K$2:$K$20000=5))</f>
        <v>0</v>
      </c>
      <c r="Q76" cm="1">
        <f t="array" ref="Q76">SUMPRODUCT((DATOS!$G$2:$G$20000=CONFIG_METADATA!$B$4)*(DATOS!$D$2:$D$20000=A76)*(DATOS!$K$2:$K$20000=6))</f>
        <v>0</v>
      </c>
      <c r="R76" cm="1">
        <f t="array" ref="R76">SUMPRODUCT((DATOS!$G$2:$G$20000=CONFIG_METADATA!$B$4)*(DATOS!$D$2:$D$20000=A76)*(DATOS!$K$2:$K$20000=7))</f>
        <v>0</v>
      </c>
      <c r="S76" cm="1">
        <f t="array" ref="S76">SUMPRODUCT((DATOS!$G$2:$G$20000=CONFIG_METADATA!$B$4)*(DATOS!$D$2:$D$20000=A76)*(DATOS!$K$2:$K$20000=8))</f>
        <v>0</v>
      </c>
      <c r="T76" cm="1">
        <f t="array" ref="T76">SUMPRODUCT((DATOS!$G$2:$G$20000=CONFIG_METADATA!$B$4)*(DATOS!$D$2:$D$20000=A76)*(DATOS!$K$2:$K$20000=9))</f>
        <v>0</v>
      </c>
      <c r="U76" cm="1">
        <f t="array" ref="U76">SUMPRODUCT((DATOS!$G$2:$G$20000=CONFIG_METADATA!$B$4)*(DATOS!$D$2:$D$20000=A76)*(DATOS!$K$2:$K$20000=10))</f>
        <v>0</v>
      </c>
    </row>
    <row r="77" spans="1:22">
      <c r="A77" s="3" t="inlineStr">
        <is>
          <t xml:space="preserve">2EEM</t>
        </is>
      </c>
      <c r="B77" s="3" t="inlineStr">
        <is>
          <t xml:space="preserve">Total Especialidad</t>
        </is>
      </c>
      <c r="C77" s="3" t="inlineStr">
        <is>
          <t xml:space="preserve">TotalEsp</t>
        </is>
      </c>
      <c r="D77">
        <f>COUNTIFS(DATOS!G:G,CONFIG_METADATA!$B$4,DATOS!D:D,A77,DATOS!I:I,"&lt;&gt;Lenguaje Musical",DATOS!I:I,"&lt;&gt;Coro",DATOS!I:I,"&lt;&gt;Conjunto")</f>
        <v>0</v>
      </c>
      <c r="E77" s="14" t="str">
        <f>IFERROR(AVERAGEIFS(DATOS!K:K,DATOS!G:G,CONFIG_METADATA!$B$4,DATOS!D:D,A77,DATOS!I:I,"&lt;&gt;Lenguaje Musical",DATOS!I:I,"&lt;&gt;Coro",DATOS!I:I,"&lt;&gt;Conjunto"),"—")</f>
        <v>—</v>
      </c>
      <c r="F77" s="14" t="str" cm="1">
        <f t="array" ref="F77">IFERROR(_xlfn.STDEV.P(IF((DATOS!$G$2:$G$20000=CONFIG_METADATA!$B$4)*(DATOS!$D$2:$D$20000=A77)*(DATOS!$I$2:$I$20000&lt;&gt;"Lenguaje Musical")*(DATOS!$I$2:$I$20000&lt;&gt;"Coro")*(DATOS!$I$2:$I$20000&lt;&gt;"Conjunto"),DATOS!$K$2:$K$20000)),"—")</f>
        <v>—</v>
      </c>
      <c r="G77" t="str" cm="1">
        <f t="array" ref="G77">IFERROR(_xlfn.MODE.SNGL(IF((DATOS!$G$2:$G$20000=CONFIG_METADATA!$B$4)*(DATOS!$D$2:$D$20000=A77)*(DATOS!$I$2:$I$20000&lt;&gt;"Lenguaje Musical")*(DATOS!$I$2:$I$20000&lt;&gt;"Coro")*(DATOS!$I$2:$I$20000&lt;&gt;"Conjunto"),DATOS!$K$2:$K$20000)),"—")</f>
        <v>—</v>
      </c>
      <c r="H77" s="15" t="str" cm="1">
        <f t="array" ref="H77">IFERROR(SUMPRODUCT((DATOS!$G$2:$G$20000=CONFIG_METADATA!$B$4)*(DATOS!$D$2:$D$20000=A77)*(DATOS!$I$2:$I$20000&lt;&gt;"Lenguaje Musical")*(DATOS!$I$2:$I$20000&lt;&gt;"Coro")*(DATOS!$I$2:$I$20000&lt;&gt;"Conjunto")*(DATOS!$L$2:$L$20000="S"))/SUMPRODUCT((DATOS!$G$2:$G$20000=CONFIG_METADATA!$B$4)*(DATOS!$D$2:$D$20000=A77)*(DATOS!$I$2:$I$20000&lt;&gt;"Lenguaje Musical")*(DATOS!$I$2:$I$20000&lt;&gt;"Coro")*(DATOS!$I$2:$I$20000&lt;&gt;"Conjunto")*1),"—")</f>
        <v>—</v>
      </c>
      <c r="I77" s="15" t="str" cm="1">
        <f t="array" ref="I77">IFERROR(SUMPRODUCT((DATOS!$G$2:$G$20000=CONFIG_METADATA!$B$4)*(DATOS!$D$2:$D$20000=A77)*(DATOS!$I$2:$I$20000&lt;&gt;"Lenguaje Musical")*(DATOS!$I$2:$I$20000&lt;&gt;"Coro")*(DATOS!$I$2:$I$20000&lt;&gt;"Conjunto")*(DATOS!$L$2:$L$20000="N"))/SUMPRODUCT((DATOS!$G$2:$G$20000=CONFIG_METADATA!$B$4)*(DATOS!$D$2:$D$20000=A77)*(DATOS!$I$2:$I$20000&lt;&gt;"Lenguaje Musical")*(DATOS!$I$2:$I$20000&lt;&gt;"Coro")*(DATOS!$I$2:$I$20000&lt;&gt;"Conjunto")*1),"—")</f>
        <v>—</v>
      </c>
      <c r="J77" t="str" cm="1">
        <f t="array" ref="J77">IFERROR(_xlfn.MODE.SNGL(IF((DATOS!$G$2:$G$20000=CONFIG_METADATA!$B$4)*(DATOS!$D$2:$D$20000=A77)*(DATOS!$I$2:$I$20000&lt;&gt;"Lenguaje Musical")*(DATOS!$I$2:$I$20000&lt;&gt;"Coro")*(DATOS!$I$2:$I$20000&lt;&gt;"Conjunto")*(DATOS!$L$2:$L$20000="S"),DATOS!$K$2:$K$20000)),"—")</f>
        <v>—</v>
      </c>
      <c r="K77" t="str" cm="1">
        <f t="array" ref="K77">IFERROR(_xlfn.MODE.SNGL(IF((DATOS!$G$2:$G$20000=CONFIG_METADATA!$B$4)*(DATOS!$D$2:$D$20000=A77)*(DATOS!$I$2:$I$20000&lt;&gt;"Lenguaje Musical")*(DATOS!$I$2:$I$20000&lt;&gt;"Coro")*(DATOS!$I$2:$I$20000&lt;&gt;"Conjunto")*(DATOS!$L$2:$L$20000="N"),DATOS!$K$2:$K$20000)),"—")</f>
        <v>—</v>
      </c>
      <c r="L77" cm="1">
        <f t="array" ref="L77">SUMPRODUCT((DATOS!$G$2:$G$20000=CONFIG_METADATA!$B$4)*(DATOS!$D$2:$D$20000=A77)*(DATOS!$I$2:$I$20000&lt;&gt;"Lenguaje Musical")*(DATOS!$I$2:$I$20000&lt;&gt;"Coro")*(DATOS!$I$2:$I$20000&lt;&gt;"Conjunto")*(DATOS!$K$2:$K$20000=1))</f>
        <v>0</v>
      </c>
      <c r="M77" cm="1">
        <f t="array" ref="M77">SUMPRODUCT((DATOS!$G$2:$G$20000=CONFIG_METADATA!$B$4)*(DATOS!$D$2:$D$20000=A77)*(DATOS!$I$2:$I$20000&lt;&gt;"Lenguaje Musical")*(DATOS!$I$2:$I$20000&lt;&gt;"Coro")*(DATOS!$I$2:$I$20000&lt;&gt;"Conjunto")*(DATOS!$K$2:$K$20000=2))</f>
        <v>0</v>
      </c>
      <c r="N77" cm="1">
        <f t="array" ref="N77">SUMPRODUCT((DATOS!$G$2:$G$20000=CONFIG_METADATA!$B$4)*(DATOS!$D$2:$D$20000=A77)*(DATOS!$I$2:$I$20000&lt;&gt;"Lenguaje Musical")*(DATOS!$I$2:$I$20000&lt;&gt;"Coro")*(DATOS!$I$2:$I$20000&lt;&gt;"Conjunto")*(DATOS!$K$2:$K$20000=3))</f>
        <v>0</v>
      </c>
      <c r="O77" cm="1">
        <f t="array" ref="O77">SUMPRODUCT((DATOS!$G$2:$G$20000=CONFIG_METADATA!$B$4)*(DATOS!$D$2:$D$20000=A77)*(DATOS!$I$2:$I$20000&lt;&gt;"Lenguaje Musical")*(DATOS!$I$2:$I$20000&lt;&gt;"Coro")*(DATOS!$I$2:$I$20000&lt;&gt;"Conjunto")*(DATOS!$K$2:$K$20000=4))</f>
        <v>0</v>
      </c>
      <c r="P77" cm="1">
        <f t="array" ref="P77">SUMPRODUCT((DATOS!$G$2:$G$20000=CONFIG_METADATA!$B$4)*(DATOS!$D$2:$D$20000=A77)*(DATOS!$I$2:$I$20000&lt;&gt;"Lenguaje Musical")*(DATOS!$I$2:$I$20000&lt;&gt;"Coro")*(DATOS!$I$2:$I$20000&lt;&gt;"Conjunto")*(DATOS!$K$2:$K$20000=5))</f>
        <v>0</v>
      </c>
      <c r="Q77" cm="1">
        <f t="array" ref="Q77">SUMPRODUCT((DATOS!$G$2:$G$20000=CONFIG_METADATA!$B$4)*(DATOS!$D$2:$D$20000=A77)*(DATOS!$I$2:$I$20000&lt;&gt;"Lenguaje Musical")*(DATOS!$I$2:$I$20000&lt;&gt;"Coro")*(DATOS!$I$2:$I$20000&lt;&gt;"Conjunto")*(DATOS!$K$2:$K$20000=6))</f>
        <v>0</v>
      </c>
      <c r="R77" cm="1">
        <f t="array" ref="R77">SUMPRODUCT((DATOS!$G$2:$G$20000=CONFIG_METADATA!$B$4)*(DATOS!$D$2:$D$20000=A77)*(DATOS!$I$2:$I$20000&lt;&gt;"Lenguaje Musical")*(DATOS!$I$2:$I$20000&lt;&gt;"Coro")*(DATOS!$I$2:$I$20000&lt;&gt;"Conjunto")*(DATOS!$K$2:$K$20000=7))</f>
        <v>0</v>
      </c>
      <c r="S77" cm="1">
        <f t="array" ref="S77">SUMPRODUCT((DATOS!$G$2:$G$20000=CONFIG_METADATA!$B$4)*(DATOS!$D$2:$D$20000=A77)*(DATOS!$I$2:$I$20000&lt;&gt;"Lenguaje Musical")*(DATOS!$I$2:$I$20000&lt;&gt;"Coro")*(DATOS!$I$2:$I$20000&lt;&gt;"Conjunto")*(DATOS!$K$2:$K$20000=8))</f>
        <v>0</v>
      </c>
      <c r="T77" cm="1">
        <f t="array" ref="T77">SUMPRODUCT((DATOS!$G$2:$G$20000=CONFIG_METADATA!$B$4)*(DATOS!$D$2:$D$20000=A77)*(DATOS!$I$2:$I$20000&lt;&gt;"Lenguaje Musical")*(DATOS!$I$2:$I$20000&lt;&gt;"Coro")*(DATOS!$I$2:$I$20000&lt;&gt;"Conjunto")*(DATOS!$K$2:$K$20000=9))</f>
        <v>0</v>
      </c>
      <c r="U77" cm="1">
        <f t="array" ref="U77">SUMPRODUCT((DATOS!$G$2:$G$20000=CONFIG_METADATA!$B$4)*(DATOS!$D$2:$D$20000=A77)*(DATOS!$I$2:$I$20000&lt;&gt;"Lenguaje Musical")*(DATOS!$I$2:$I$20000&lt;&gt;"Coro")*(DATOS!$I$2:$I$20000&lt;&gt;"Conjunto")*(DATOS!$K$2:$K$20000=10))</f>
        <v>0</v>
      </c>
    </row>
    <row r="78" spans="1:22">
      <c r="A78" s="3" t="inlineStr">
        <is>
          <t xml:space="preserve">2EEM</t>
        </is>
      </c>
      <c r="B78" s="3" t="inlineStr">
        <is>
          <t xml:space="preserve">Total no Especialidad</t>
        </is>
      </c>
      <c r="C78" s="3" t="inlineStr">
        <is>
          <t xml:space="preserve">TotalNoEsp</t>
        </is>
      </c>
      <c r="D78">
        <f>SUMPRODUCT((DATOS!G:G=CONFIG_METADATA!$B$4)*(DATOS!D:D=A78)*((DATOS!I:I="Lenguaje Musical")+(DATOS!I:I="Coro")+(DATOS!I:I="Conjunto")))</f>
        <v>0</v>
      </c>
      <c r="E78" s="14" t="str" cm="1">
        <f t="array" ref="E78">IFERROR(AVERAGE(IF((DATOS!$G$2:$G$20000=CONFIG_METADATA!$B$4)*(DATOS!$D$2:$D$20000=A78)*((DATOS!$I$2:$I$20000="Lenguaje Musical")+(DATOS!$I$2:$I$20000="Coro")+(DATOS!$I$2:$I$20000="Conjunto")),DATOS!$K$2:$K$20000)),"—")</f>
        <v>—</v>
      </c>
      <c r="F78" s="14" t="str" cm="1">
        <f t="array" ref="F78">IFERROR(_xlfn.STDEV.P(IF((DATOS!$G$2:$G$20000=CONFIG_METADATA!$B$4)*(DATOS!$D$2:$D$20000=A78)*((DATOS!$I$2:$I$20000="Lenguaje Musical")+(DATOS!$I$2:$I$20000="Coro")+(DATOS!$I$2:$I$20000="Conjunto")),DATOS!$K$2:$K$20000)),"—")</f>
        <v>—</v>
      </c>
      <c r="G78" t="str" cm="1">
        <f t="array" ref="G78">IFERROR(_xlfn.MODE.SNGL(IF((DATOS!$G$2:$G$20000=CONFIG_METADATA!$B$4)*(DATOS!$D$2:$D$20000=A78)*((DATOS!$I$2:$I$20000="Lenguaje Musical")+(DATOS!$I$2:$I$20000="Coro")+(DATOS!$I$2:$I$20000="Conjunto")),DATOS!$K$2:$K$20000)),"—")</f>
        <v>—</v>
      </c>
      <c r="H78" s="15" t="str" cm="1">
        <f t="array" ref="H78">IFERROR(SUMPRODUCT((DATOS!$G$2:$G$20000=CONFIG_METADATA!$B$4)*(DATOS!$D$2:$D$20000=A78)*((DATOS!$I$2:$I$20000="Lenguaje Musical")+(DATOS!$I$2:$I$20000="Coro")+(DATOS!$I$2:$I$20000="Conjunto"))*(DATOS!$L$2:$L$20000="S"))/SUMPRODUCT((DATOS!$G$2:$G$20000=CONFIG_METADATA!$B$4)*(DATOS!$D$2:$D$20000=A78)*((DATOS!$I$2:$I$20000="Lenguaje Musical")+(DATOS!$I$2:$I$20000="Coro")+(DATOS!$I$2:$I$20000="Conjunto"))*1),"—")</f>
        <v>—</v>
      </c>
      <c r="I78" s="15" t="str" cm="1">
        <f t="array" ref="I78">IFERROR(SUMPRODUCT((DATOS!$G$2:$G$20000=CONFIG_METADATA!$B$4)*(DATOS!$D$2:$D$20000=A78)*((DATOS!$I$2:$I$20000="Lenguaje Musical")+(DATOS!$I$2:$I$20000="Coro")+(DATOS!$I$2:$I$20000="Conjunto"))*(DATOS!$L$2:$L$20000="N"))/SUMPRODUCT((DATOS!$G$2:$G$20000=CONFIG_METADATA!$B$4)*(DATOS!$D$2:$D$20000=A78)*((DATOS!$I$2:$I$20000="Lenguaje Musical")+(DATOS!$I$2:$I$20000="Coro")+(DATOS!$I$2:$I$20000="Conjunto"))*1),"—")</f>
        <v>—</v>
      </c>
      <c r="J78" t="str" cm="1">
        <f t="array" ref="J78">IFERROR(_xlfn.MODE.SNGL(IF((DATOS!$G$2:$G$20000=CONFIG_METADATA!$B$4)*(DATOS!$D$2:$D$20000=A78)*((DATOS!$I$2:$I$20000="Lenguaje Musical")+(DATOS!$I$2:$I$20000="Coro")+(DATOS!$I$2:$I$20000="Conjunto"))*(DATOS!$L$2:$L$20000="S"),DATOS!$K$2:$K$20000)),"—")</f>
        <v>—</v>
      </c>
      <c r="K78" t="str" cm="1">
        <f t="array" ref="K78">IFERROR(_xlfn.MODE.SNGL(IF((DATOS!$G$2:$G$20000=CONFIG_METADATA!$B$4)*(DATOS!$D$2:$D$20000=A78)*((DATOS!$I$2:$I$20000="Lenguaje Musical")+(DATOS!$I$2:$I$20000="Coro")+(DATOS!$I$2:$I$20000="Conjunto"))*(DATOS!$L$2:$L$20000="N"),DATOS!$K$2:$K$20000)),"—")</f>
        <v>—</v>
      </c>
      <c r="L78" cm="1">
        <f t="array" ref="L78">SUMPRODUCT((DATOS!$G$2:$G$20000=CONFIG_METADATA!$B$4)*(DATOS!$D$2:$D$20000=A78)*((DATOS!$I$2:$I$20000="Lenguaje Musical")+(DATOS!$I$2:$I$20000="Coro")+(DATOS!$I$2:$I$20000="Conjunto"))*(DATOS!$K$2:$K$20000=1))</f>
        <v>0</v>
      </c>
      <c r="M78" cm="1">
        <f t="array" ref="M78">SUMPRODUCT((DATOS!$G$2:$G$20000=CONFIG_METADATA!$B$4)*(DATOS!$D$2:$D$20000=A78)*((DATOS!$I$2:$I$20000="Lenguaje Musical")+(DATOS!$I$2:$I$20000="Coro")+(DATOS!$I$2:$I$20000="Conjunto"))*(DATOS!$K$2:$K$20000=2))</f>
        <v>0</v>
      </c>
      <c r="N78" cm="1">
        <f t="array" ref="N78">SUMPRODUCT((DATOS!$G$2:$G$20000=CONFIG_METADATA!$B$4)*(DATOS!$D$2:$D$20000=A78)*((DATOS!$I$2:$I$20000="Lenguaje Musical")+(DATOS!$I$2:$I$20000="Coro")+(DATOS!$I$2:$I$20000="Conjunto"))*(DATOS!$K$2:$K$20000=3))</f>
        <v>0</v>
      </c>
      <c r="O78" cm="1">
        <f t="array" ref="O78">SUMPRODUCT((DATOS!$G$2:$G$20000=CONFIG_METADATA!$B$4)*(DATOS!$D$2:$D$20000=A78)*((DATOS!$I$2:$I$20000="Lenguaje Musical")+(DATOS!$I$2:$I$20000="Coro")+(DATOS!$I$2:$I$20000="Conjunto"))*(DATOS!$K$2:$K$20000=4))</f>
        <v>0</v>
      </c>
      <c r="P78" cm="1">
        <f t="array" ref="P78">SUMPRODUCT((DATOS!$G$2:$G$20000=CONFIG_METADATA!$B$4)*(DATOS!$D$2:$D$20000=A78)*((DATOS!$I$2:$I$20000="Lenguaje Musical")+(DATOS!$I$2:$I$20000="Coro")+(DATOS!$I$2:$I$20000="Conjunto"))*(DATOS!$K$2:$K$20000=5))</f>
        <v>0</v>
      </c>
      <c r="Q78" cm="1">
        <f t="array" ref="Q78">SUMPRODUCT((DATOS!$G$2:$G$20000=CONFIG_METADATA!$B$4)*(DATOS!$D$2:$D$20000=A78)*((DATOS!$I$2:$I$20000="Lenguaje Musical")+(DATOS!$I$2:$I$20000="Coro")+(DATOS!$I$2:$I$20000="Conjunto"))*(DATOS!$K$2:$K$20000=6))</f>
        <v>0</v>
      </c>
      <c r="R78" cm="1">
        <f t="array" ref="R78">SUMPRODUCT((DATOS!$G$2:$G$20000=CONFIG_METADATA!$B$4)*(DATOS!$D$2:$D$20000=A78)*((DATOS!$I$2:$I$20000="Lenguaje Musical")+(DATOS!$I$2:$I$20000="Coro")+(DATOS!$I$2:$I$20000="Conjunto"))*(DATOS!$K$2:$K$20000=7))</f>
        <v>0</v>
      </c>
      <c r="S78" cm="1">
        <f t="array" ref="S78">SUMPRODUCT((DATOS!$G$2:$G$20000=CONFIG_METADATA!$B$4)*(DATOS!$D$2:$D$20000=A78)*((DATOS!$I$2:$I$20000="Lenguaje Musical")+(DATOS!$I$2:$I$20000="Coro")+(DATOS!$I$2:$I$20000="Conjunto"))*(DATOS!$K$2:$K$20000=8))</f>
        <v>0</v>
      </c>
      <c r="T78" cm="1">
        <f t="array" ref="T78">SUMPRODUCT((DATOS!$G$2:$G$20000=CONFIG_METADATA!$B$4)*(DATOS!$D$2:$D$20000=A78)*((DATOS!$I$2:$I$20000="Lenguaje Musical")+(DATOS!$I$2:$I$20000="Coro")+(DATOS!$I$2:$I$20000="Conjunto"))*(DATOS!$K$2:$K$20000=9))</f>
        <v>0</v>
      </c>
      <c r="U78" cm="1">
        <f t="array" ref="U78">SUMPRODUCT((DATOS!$G$2:$G$20000=CONFIG_METADATA!$B$4)*(DATOS!$D$2:$D$20000=A78)*((DATOS!$I$2:$I$20000="Lenguaje Musical")+(DATOS!$I$2:$I$20000="Coro")+(DATOS!$I$2:$I$20000="Conjunto"))*(DATOS!$K$2:$K$20000=10))</f>
        <v>0</v>
      </c>
    </row>
    <row r="79" spans="1:22">
      <c r="A79" s="3" t="inlineStr">
        <is>
          <t xml:space="preserve">2EEM</t>
        </is>
      </c>
      <c r="B79" s="3">
        <f>IFERROR(INDEX(_xlfn._xlws.FILTER(CONFIG_ASIGNATURAS!$B$2:$B$27,CONFIG_ASIGNATURAS!$G$2:$G$27="Sí"),1),"")</f>
      </c>
      <c r="C79" s="3">
        <f>IF(B79="","",IFERROR(IF(VLOOKUP(B79,CONFIG_ASIGNATURAS!$B$2:$F$27,5,FALSE())="Sí","Especialidad","Asignatura"),"Asignatura"))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2EEM</t>
        </is>
      </c>
      <c r="B80" s="3">
        <f>IFERROR(INDEX(_xlfn._xlws.FILTER(CONFIG_ASIGNATURAS!$B$2:$B$27,CONFIG_ASIGNATURAS!$G$2:$G$27="Sí"),2),"")</f>
      </c>
      <c r="C80" s="3">
        <f>IF(B80="","",IFERROR(IF(VLOOKUP(B80,CONFIG_ASIGNATURAS!$B$2:$F$27,5,FALSE())="Sí","Especialidad","Asignatura"),"Asignatura"))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2EEM</t>
        </is>
      </c>
      <c r="B81" s="3">
        <f>IFERROR(INDEX(_xlfn._xlws.FILTER(CONFIG_ASIGNATURAS!$B$2:$B$27,CONFIG_ASIGNATURAS!$G$2:$G$27="Sí"),3),"")</f>
      </c>
      <c r="C81" s="3">
        <f>IF(B81="","",IFERROR(IF(VLOOKUP(B81,CONFIG_ASIGNATURAS!$B$2:$F$27,5,FALSE())="Sí","Especialidad","Asignatura"),"Asignatura"))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2EEM</t>
        </is>
      </c>
      <c r="B82" s="3">
        <f>IFERROR(INDEX(_xlfn._xlws.FILTER(CONFIG_ASIGNATURAS!$B$2:$B$27,CONFIG_ASIGNATURAS!$G$2:$G$27="Sí"),4),"")</f>
      </c>
      <c r="C82" s="3">
        <f>IF(B82="","",IFERROR(IF(VLOOKUP(B82,CONFIG_ASIGNATURAS!$B$2:$F$27,5,FALSE())="Sí","Especialidad","Asignatura"),"Asignatura"))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2EEM</t>
        </is>
      </c>
      <c r="B83" s="3">
        <f>IFERROR(INDEX(_xlfn._xlws.FILTER(CONFIG_ASIGNATURAS!$B$2:$B$27,CONFIG_ASIGNATURAS!$G$2:$G$27="Sí"),5),"")</f>
      </c>
      <c r="C83" s="3">
        <f>IF(B83="","",IFERROR(IF(VLOOKUP(B83,CONFIG_ASIGNATURAS!$B$2:$F$27,5,FALSE())="Sí","Especialidad","Asignatura"),"Asignatura"))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2EEM</t>
        </is>
      </c>
      <c r="B84" s="3">
        <f>IFERROR(INDEX(_xlfn._xlws.FILTER(CONFIG_ASIGNATURAS!$B$2:$B$27,CONFIG_ASIGNATURAS!$G$2:$G$27="Sí"),6),"")</f>
      </c>
      <c r="C84" s="3">
        <f>IF(B84="","",IFERROR(IF(VLOOKUP(B84,CONFIG_ASIGNATURAS!$B$2:$F$27,5,FALSE())="Sí","Especialidad","Asignatura"),"Asignatura"))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2EEM</t>
        </is>
      </c>
      <c r="B85" s="3">
        <f>IFERROR(INDEX(_xlfn._xlws.FILTER(CONFIG_ASIGNATURAS!$B$2:$B$27,CONFIG_ASIGNATURAS!$G$2:$G$27="Sí"),7),"")</f>
      </c>
      <c r="C85" s="3">
        <f>IF(B85="","",IFERROR(IF(VLOOKUP(B85,CONFIG_ASIGNATURAS!$B$2:$F$27,5,FALSE())="Sí","Especialidad","Asignatura"),"Asignatura"))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2EEM</t>
        </is>
      </c>
      <c r="B86" s="3">
        <f>IFERROR(INDEX(_xlfn._xlws.FILTER(CONFIG_ASIGNATURAS!$B$2:$B$27,CONFIG_ASIGNATURAS!$G$2:$G$27="Sí"),8),"")</f>
      </c>
      <c r="C86" s="3">
        <f>IF(B86="","",IFERROR(IF(VLOOKUP(B86,CONFIG_ASIGNATURAS!$B$2:$F$27,5,FALSE())="Sí","Especialidad","Asignatura"),"Asignatura"))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2EEM</t>
        </is>
      </c>
      <c r="B87" s="3">
        <f>IFERROR(INDEX(_xlfn._xlws.FILTER(CONFIG_ASIGNATURAS!$B$2:$B$27,CONFIG_ASIGNATURAS!$G$2:$G$27="Sí"),9),"")</f>
      </c>
      <c r="C87" s="3">
        <f>IF(B87="","",IFERROR(IF(VLOOKUP(B87,CONFIG_ASIGNATURAS!$B$2:$F$27,5,FALSE())="Sí","Especialidad","Asignatura"),"Asignatura"))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2EEM</t>
        </is>
      </c>
      <c r="B88" s="3">
        <f>IFERROR(INDEX(_xlfn._xlws.FILTER(CONFIG_ASIGNATURAS!$B$2:$B$27,CONFIG_ASIGNATURAS!$G$2:$G$27="Sí"),10),"")</f>
      </c>
      <c r="C88" s="3">
        <f>IF(B88="","",IFERROR(IF(VLOOKUP(B88,CONFIG_ASIGNATURAS!$B$2:$F$27,5,FALSE())="Sí","Especialidad","Asignatura"),"Asignatura"))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2EEM</t>
        </is>
      </c>
      <c r="B89" s="3">
        <f>IFERROR(INDEX(_xlfn._xlws.FILTER(CONFIG_ASIGNATURAS!$B$2:$B$27,CONFIG_ASIGNATURAS!$G$2:$G$27="Sí"),11),"")</f>
      </c>
      <c r="C89" s="3">
        <f>IF(B89="","",IFERROR(IF(VLOOKUP(B89,CONFIG_ASIGNATURAS!$B$2:$F$27,5,FALSE())="Sí","Especialidad","Asignatura"),"Asignatura"))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2EEM</t>
        </is>
      </c>
      <c r="B90" s="3">
        <f>IFERROR(INDEX(_xlfn._xlws.FILTER(CONFIG_ASIGNATURAS!$B$2:$B$27,CONFIG_ASIGNATURAS!$G$2:$G$27="Sí"),12),"")</f>
      </c>
      <c r="C90" s="3">
        <f>IF(B90="","",IFERROR(IF(VLOOKUP(B90,CONFIG_ASIGNATURAS!$B$2:$F$27,5,FALSE())="Sí","Especialidad","Asignatura"),"Asignatura"))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2EEM</t>
        </is>
      </c>
      <c r="B91" s="3">
        <f>IFERROR(INDEX(_xlfn._xlws.FILTER(CONFIG_ASIGNATURAS!$B$2:$B$27,CONFIG_ASIGNATURAS!$G$2:$G$27="Sí"),13),"")</f>
      </c>
      <c r="C91" s="3">
        <f>IF(B91="","",IFERROR(IF(VLOOKUP(B91,CONFIG_ASIGNATURAS!$B$2:$F$27,5,FALSE())="Sí","Especialidad","Asignatura"),"Asignatura"))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2EEM</t>
        </is>
      </c>
      <c r="B92" s="3">
        <f>IFERROR(INDEX(_xlfn._xlws.FILTER(CONFIG_ASIGNATURAS!$B$2:$B$27,CONFIG_ASIGNATURAS!$G$2:$G$27="Sí"),14),"")</f>
      </c>
      <c r="C92" s="3">
        <f>IF(B92="","",IFERROR(IF(VLOOKUP(B92,CONFIG_ASIGNATURAS!$B$2:$F$27,5,FALSE())="Sí","Especialidad","Asignatura"),"Asignatura"))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2EEM</t>
        </is>
      </c>
      <c r="B93" s="3">
        <f>IFERROR(INDEX(_xlfn._xlws.FILTER(CONFIG_ASIGNATURAS!$B$2:$B$27,CONFIG_ASIGNATURAS!$G$2:$G$27="Sí"),15),"")</f>
      </c>
      <c r="C93" s="3">
        <f>IF(B93="","",IFERROR(IF(VLOOKUP(B93,CONFIG_ASIGNATURAS!$B$2:$F$27,5,FALSE())="Sí","Especialidad","Asignatura"),"Asignatura"))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2EEM</t>
        </is>
      </c>
      <c r="B94" s="3">
        <f>IFERROR(INDEX(_xlfn._xlws.FILTER(CONFIG_ASIGNATURAS!$B$2:$B$27,CONFIG_ASIGNATURAS!$G$2:$G$27="Sí"),16),"")</f>
      </c>
      <c r="C94" s="3">
        <f>IF(B94="","",IFERROR(IF(VLOOKUP(B94,CONFIG_ASIGNATURAS!$B$2:$F$27,5,FALSE())="Sí","Especialidad","Asignatura"),"Asignatura"))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2EEM</t>
        </is>
      </c>
      <c r="B95" s="3">
        <f>IFERROR(INDEX(_xlfn._xlws.FILTER(CONFIG_ASIGNATURAS!$B$2:$B$27,CONFIG_ASIGNATURAS!$G$2:$G$27="Sí"),17),"")</f>
      </c>
      <c r="C95" s="3">
        <f>IF(B95="","",IFERROR(IF(VLOOKUP(B95,CONFIG_ASIGNATURAS!$B$2:$F$27,5,FALSE())="Sí","Especialidad","Asignatura"),"Asignatura"))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2EEM</t>
        </is>
      </c>
      <c r="B96" s="3">
        <f>IFERROR(INDEX(_xlfn._xlws.FILTER(CONFIG_ASIGNATURAS!$B$2:$B$27,CONFIG_ASIGNATURAS!$G$2:$G$27="Sí"),18),"")</f>
      </c>
      <c r="C96" s="3">
        <f>IF(B96="","",IFERROR(IF(VLOOKUP(B96,CONFIG_ASIGNATURAS!$B$2:$F$27,5,FALSE())="Sí","Especialidad","Asignatura"),"Asignatura"))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2EEM</t>
        </is>
      </c>
      <c r="B97" s="3">
        <f>IFERROR(INDEX(_xlfn._xlws.FILTER(CONFIG_ASIGNATURAS!$B$2:$B$27,CONFIG_ASIGNATURAS!$G$2:$G$27="Sí"),19),"")</f>
      </c>
      <c r="C97" s="3">
        <f>IF(B97="","",IFERROR(IF(VLOOKUP(B97,CONFIG_ASIGNATURAS!$B$2:$F$27,5,FALSE())="Sí","Especialidad","Asignatura"),"Asignatura"))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2EEM</t>
        </is>
      </c>
      <c r="B98" s="3">
        <f>IFERROR(INDEX(_xlfn._xlws.FILTER(CONFIG_ASIGNATURAS!$B$2:$B$27,CONFIG_ASIGNATURAS!$G$2:$G$27="Sí"),20),"")</f>
      </c>
      <c r="C98" s="3">
        <f>IF(B98="","",IFERROR(IF(VLOOKUP(B98,CONFIG_ASIGNATURAS!$B$2:$F$27,5,FALSE())="Sí","Especialidad","Asignatura"),"Asignatura"))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2EEM</t>
        </is>
      </c>
      <c r="B99" s="3">
        <f>IFERROR(INDEX(_xlfn._xlws.FILTER(CONFIG_ASIGNATURAS!$B$2:$B$27,CONFIG_ASIGNATURAS!$G$2:$G$27="Sí"),21),"")</f>
      </c>
      <c r="C99" s="3">
        <f>IF(B99="","",IFERROR(IF(VLOOKUP(B99,CONFIG_ASIGNATURAS!$B$2:$F$27,5,FALSE())="Sí","Especialidad","Asignatura"),"Asignatura"))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2EEM</t>
        </is>
      </c>
      <c r="B100" s="3">
        <f>IFERROR(INDEX(_xlfn._xlws.FILTER(CONFIG_ASIGNATURAS!$B$2:$B$27,CONFIG_ASIGNATURAS!$G$2:$G$27="Sí"),22),"")</f>
      </c>
      <c r="C100" s="3">
        <f>IF(B100="","",IFERROR(IF(VLOOKUP(B100,CONFIG_ASIGNATURAS!$B$2:$F$27,5,FALSE())="Sí","Especialidad","Asignatura"),"Asignatura"))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2EEM</t>
        </is>
      </c>
      <c r="B101" s="3">
        <f>IFERROR(INDEX(_xlfn._xlws.FILTER(CONFIG_ASIGNATURAS!$B$2:$B$27,CONFIG_ASIGNATURAS!$G$2:$G$27="Sí"),23),"")</f>
      </c>
      <c r="C101" s="3">
        <f>IF(B101="","",IFERROR(IF(VLOOKUP(B101,CONFIG_ASIGNATURAS!$B$2:$F$27,5,FALSE())="Sí","Especialidad","Asignatura"),"Asignatura"))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2EEM</t>
        </is>
      </c>
      <c r="B102" s="3">
        <f>IFERROR(INDEX(_xlfn._xlws.FILTER(CONFIG_ASIGNATURAS!$B$2:$B$27,CONFIG_ASIGNATURAS!$G$2:$G$27="Sí"),24),"")</f>
      </c>
      <c r="C102" s="3">
        <f>IF(B102="","",IFERROR(IF(VLOOKUP(B102,CONFIG_ASIGNATURAS!$B$2:$F$27,5,FALSE())="Sí","Especialidad","Asignatura"),"Asignatura"))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2EEM</t>
        </is>
      </c>
      <c r="B103" s="3">
        <f>IFERROR(INDEX(_xlfn._xlws.FILTER(CONFIG_ASIGNATURAS!$B$2:$B$27,CONFIG_ASIGNATURAS!$G$2:$G$27="Sí"),25),"")</f>
      </c>
      <c r="C103" s="3">
        <f>IF(B103="","",IFERROR(IF(VLOOKUP(B103,CONFIG_ASIGNATURAS!$B$2:$F$27,5,FALSE())="Sí","Especialidad","Asignatura"),"Asignatura"))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2EEM</t>
        </is>
      </c>
      <c r="B104" s="3">
        <f>IFERROR(INDEX(_xlfn._xlws.FILTER(CONFIG_ASIGNATURAS!$B$2:$B$27,CONFIG_ASIGNATURAS!$G$2:$G$27="Sí"),26),"")</f>
      </c>
      <c r="C104" s="3">
        <f>IF(B104="","",IFERROR(IF(VLOOKUP(B104,CONFIG_ASIGNATURAS!$B$2:$F$27,5,FALSE())="Sí","Especialidad","Asignatura"),"Asignatura"))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2EEM</t>
        </is>
      </c>
      <c r="B105" s="3">
        <f>IFERROR(INDEX(_xlfn._xlws.FILTER(CONFIG_ASIGNATURAS!$B$2:$B$27,CONFIG_ASIGNATURAS!$G$2:$G$27="Sí"),27),"")</f>
      </c>
      <c r="C105" s="3">
        <f>IF(B105="","",IFERROR(IF(VLOOKUP(B105,CONFIG_ASIGNATURAS!$B$2:$F$27,5,FALSE())="Sí","Especialidad","Asignatura"),"Asignatura"))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2EEM</t>
        </is>
      </c>
      <c r="B106" s="3">
        <f>IFERROR(INDEX(_xlfn._xlws.FILTER(CONFIG_ASIGNATURAS!$B$2:$B$27,CONFIG_ASIGNATURAS!$G$2:$G$27="Sí"),28),"")</f>
      </c>
      <c r="C106" s="3">
        <f>IF(B106="","",IFERROR(IF(VLOOKUP(B106,CONFIG_ASIGNATURAS!$B$2:$F$27,5,FALSE())="Sí","Especialidad","Asignatura"),"Asignatura"))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2EEM</t>
        </is>
      </c>
      <c r="B107" s="3">
        <f>IFERROR(INDEX(_xlfn._xlws.FILTER(CONFIG_ASIGNATURAS!$B$2:$B$27,CONFIG_ASIGNATURAS!$G$2:$G$27="Sí"),29),"")</f>
      </c>
      <c r="C107" s="3">
        <f>IF(B107="","",IFERROR(IF(VLOOKUP(B107,CONFIG_ASIGNATURAS!$B$2:$F$27,5,FALSE())="Sí","Especialidad","Asignatura"),"Asignatura"))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2EEM</t>
        </is>
      </c>
      <c r="B108" s="3">
        <f>IFERROR(INDEX(_xlfn._xlws.FILTER(CONFIG_ASIGNATURAS!$B$2:$B$27,CONFIG_ASIGNATURAS!$G$2:$G$27="Sí"),30),"")</f>
      </c>
      <c r="C108" s="3">
        <f>IF(B108="","",IFERROR(IF(VLOOKUP(B108,CONFIG_ASIGNATURAS!$B$2:$F$27,5,FALSE())="Sí","Especialidad","Asignatura"),"Asignatura"))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2EEM</t>
        </is>
      </c>
      <c r="B109" s="3">
        <f>IFERROR(INDEX(_xlfn._xlws.FILTER(CONFIG_ASIGNATURAS!$B$2:$B$27,CONFIG_ASIGNATURAS!$G$2:$G$27="Sí"),31),"")</f>
      </c>
      <c r="C109" s="3">
        <f>IF(B109="","",IFERROR(IF(VLOOKUP(B109,CONFIG_ASIGNATURAS!$B$2:$F$27,5,FALSE())="Sí","Especialidad","Asignatura"),"Asignatura"))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2EEM</t>
        </is>
      </c>
      <c r="B110" s="3">
        <f>IFERROR(INDEX(_xlfn._xlws.FILTER(CONFIG_ASIGNATURAS!$B$2:$B$27,CONFIG_ASIGNATURAS!$G$2:$G$27="Sí"),32),"")</f>
      </c>
      <c r="C110" s="3">
        <f>IF(B110="","",IFERROR(IF(VLOOKUP(B110,CONFIG_ASIGNATURAS!$B$2:$F$27,5,FALSE())="Sí","Especialidad","Asignatura"),"Asignatura"))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2EEM</t>
        </is>
      </c>
      <c r="B111" s="3">
        <f>IFERROR(INDEX(_xlfn._xlws.FILTER(CONFIG_ASIGNATURAS!$B$2:$B$27,CONFIG_ASIGNATURAS!$G$2:$G$27="Sí"),33),"")</f>
      </c>
      <c r="C111" s="3">
        <f>IF(B111="","",IFERROR(IF(VLOOKUP(B111,CONFIG_ASIGNATURAS!$B$2:$F$27,5,FALSE())="Sí","Especialidad","Asignatura"),"Asignatura"))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2EEM</t>
        </is>
      </c>
      <c r="B112" s="3">
        <f>IFERROR(INDEX(_xlfn._xlws.FILTER(CONFIG_ASIGNATURAS!$B$2:$B$27,CONFIG_ASIGNATURAS!$G$2:$G$27="Sí"),34),"")</f>
      </c>
      <c r="C112" s="3">
        <f>IF(B112="","",IFERROR(IF(VLOOKUP(B112,CONFIG_ASIGNATURAS!$B$2:$F$27,5,FALSE())="Sí","Especialidad","Asignatura"),"Asignatura"))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3EEM</t>
        </is>
      </c>
      <c r="B113" s="3" t="inlineStr">
        <is>
          <t xml:space="preserve">Total</t>
        </is>
      </c>
      <c r="C113" s="3" t="inlineStr">
        <is>
          <t xml:space="preserve">Total</t>
        </is>
      </c>
      <c r="D113">
        <f>COUNTIFS(DATOS!G:G,CONFIG_METADATA!$B$4,DATOS!D:D,A113)</f>
        <v>0</v>
      </c>
      <c r="E113" s="14" t="str">
        <f>IFERROR(AVERAGEIFS(DATOS!K:K,DATOS!G:G,CONFIG_METADATA!$B$4,DATOS!D:D,A113),"—")</f>
        <v>—</v>
      </c>
      <c r="F113" s="14" t="str" cm="1">
        <f t="array" ref="F113">IFERROR(_xlfn.STDEV.P(IF((DATOS!$G$2:$G$20000=CONFIG_METADATA!$B$4)*(DATOS!$D$2:$D$20000=A113),DATOS!$K$2:$K$20000)),"—")</f>
        <v>—</v>
      </c>
      <c r="G113" t="str" cm="1">
        <f t="array" ref="G113">IFERROR(_xlfn.MODE.SNGL(IF((DATOS!$G$2:$G$20000=CONFIG_METADATA!$B$4)*(DATOS!$D$2:$D$20000=A113),DATOS!$K$2:$K$20000)),"—")</f>
        <v>—</v>
      </c>
      <c r="H113" s="15" t="str">
        <f>IFERROR(COUNTIFS(DATOS!$G$2:$G$20000,CONFIG_METADATA!$B$4,DATOS!$D$2:$D$20000,A113,DATOS!$L$2:$L$20000,"S")/COUNTIFS(DATOS!$G$2:$G$20000,CONFIG_METADATA!$B$4,DATOS!$D$2:$D$20000,A113),"—")</f>
        <v>—</v>
      </c>
      <c r="I113" s="15" t="str">
        <f>IFERROR(COUNTIFS(DATOS!$G$2:$G$20000,CONFIG_METADATA!$B$4,DATOS!$D$2:$D$20000,A113,DATOS!$L$2:$L$20000,"N")/COUNTIFS(DATOS!$G$2:$G$20000,CONFIG_METADATA!$B$4,DATOS!$D$2:$D$20000,A113),"—")</f>
        <v>—</v>
      </c>
      <c r="J113" t="str" cm="1">
        <f t="array" ref="J113">IFERROR(_xlfn.MODE.SNGL(IF((DATOS!$G$2:$G$20000=CONFIG_METADATA!$B$4)*(DATOS!$D$2:$D$20000=A113)*(DATOS!$L$2:$L$20000="S"),DATOS!$K$2:$K$20000)),"—")</f>
        <v>—</v>
      </c>
      <c r="K113" t="str" cm="1">
        <f t="array" ref="K113">IFERROR(_xlfn.MODE.SNGL(IF((DATOS!$G$2:$G$20000=CONFIG_METADATA!$B$4)*(DATOS!$D$2:$D$20000=A113)*(DATOS!$L$2:$L$20000="N"),DATOS!$K$2:$K$20000)),"—")</f>
        <v>—</v>
      </c>
      <c r="L113" cm="1">
        <f t="array" ref="L113">SUMPRODUCT((DATOS!$G$2:$G$20000=CONFIG_METADATA!$B$4)*(DATOS!$D$2:$D$20000=A113)*(DATOS!$K$2:$K$20000=1))</f>
        <v>0</v>
      </c>
      <c r="M113" cm="1">
        <f t="array" ref="M113">SUMPRODUCT((DATOS!$G$2:$G$20000=CONFIG_METADATA!$B$4)*(DATOS!$D$2:$D$20000=A113)*(DATOS!$K$2:$K$20000=2))</f>
        <v>0</v>
      </c>
      <c r="N113" cm="1">
        <f t="array" ref="N113">SUMPRODUCT((DATOS!$G$2:$G$20000=CONFIG_METADATA!$B$4)*(DATOS!$D$2:$D$20000=A113)*(DATOS!$K$2:$K$20000=3))</f>
        <v>0</v>
      </c>
      <c r="O113" cm="1">
        <f t="array" ref="O113">SUMPRODUCT((DATOS!$G$2:$G$20000=CONFIG_METADATA!$B$4)*(DATOS!$D$2:$D$20000=A113)*(DATOS!$K$2:$K$20000=4))</f>
        <v>0</v>
      </c>
      <c r="P113" cm="1">
        <f t="array" ref="P113">SUMPRODUCT((DATOS!$G$2:$G$20000=CONFIG_METADATA!$B$4)*(DATOS!$D$2:$D$20000=A113)*(DATOS!$K$2:$K$20000=5))</f>
        <v>0</v>
      </c>
      <c r="Q113" cm="1">
        <f t="array" ref="Q113">SUMPRODUCT((DATOS!$G$2:$G$20000=CONFIG_METADATA!$B$4)*(DATOS!$D$2:$D$20000=A113)*(DATOS!$K$2:$K$20000=6))</f>
        <v>0</v>
      </c>
      <c r="R113" cm="1">
        <f t="array" ref="R113">SUMPRODUCT((DATOS!$G$2:$G$20000=CONFIG_METADATA!$B$4)*(DATOS!$D$2:$D$20000=A113)*(DATOS!$K$2:$K$20000=7))</f>
        <v>0</v>
      </c>
      <c r="S113" cm="1">
        <f t="array" ref="S113">SUMPRODUCT((DATOS!$G$2:$G$20000=CONFIG_METADATA!$B$4)*(DATOS!$D$2:$D$20000=A113)*(DATOS!$K$2:$K$20000=8))</f>
        <v>0</v>
      </c>
      <c r="T113" cm="1">
        <f t="array" ref="T113">SUMPRODUCT((DATOS!$G$2:$G$20000=CONFIG_METADATA!$B$4)*(DATOS!$D$2:$D$20000=A113)*(DATOS!$K$2:$K$20000=9))</f>
        <v>0</v>
      </c>
      <c r="U113" cm="1">
        <f t="array" ref="U113">SUMPRODUCT((DATOS!$G$2:$G$20000=CONFIG_METADATA!$B$4)*(DATOS!$D$2:$D$20000=A113)*(DATOS!$K$2:$K$20000=10))</f>
        <v>0</v>
      </c>
    </row>
    <row r="114" spans="1:22">
      <c r="A114" s="3" t="inlineStr">
        <is>
          <t xml:space="preserve">3EEM</t>
        </is>
      </c>
      <c r="B114" s="3" t="inlineStr">
        <is>
          <t xml:space="preserve">Total Especialidad</t>
        </is>
      </c>
      <c r="C114" s="3" t="inlineStr">
        <is>
          <t xml:space="preserve">TotalEsp</t>
        </is>
      </c>
      <c r="D114">
        <f>COUNTIFS(DATOS!G:G,CONFIG_METADATA!$B$4,DATOS!D:D,A114,DATOS!I:I,"&lt;&gt;Lenguaje Musical",DATOS!I:I,"&lt;&gt;Coro",DATOS!I:I,"&lt;&gt;Conjunto")</f>
        <v>0</v>
      </c>
      <c r="E114" s="14" t="str">
        <f>IFERROR(AVERAGEIFS(DATOS!K:K,DATOS!G:G,CONFIG_METADATA!$B$4,DATOS!D:D,A114,DATOS!I:I,"&lt;&gt;Lenguaje Musical",DATOS!I:I,"&lt;&gt;Coro",DATOS!I:I,"&lt;&gt;Conjunto"),"—")</f>
        <v>—</v>
      </c>
      <c r="F114" s="14" t="str" cm="1">
        <f t="array" ref="F114">IFERROR(_xlfn.STDEV.P(IF((DATOS!$G$2:$G$20000=CONFIG_METADATA!$B$4)*(DATOS!$D$2:$D$20000=A114)*(DATOS!$I$2:$I$20000&lt;&gt;"Lenguaje Musical")*(DATOS!$I$2:$I$20000&lt;&gt;"Coro")*(DATOS!$I$2:$I$20000&lt;&gt;"Conjunto"),DATOS!$K$2:$K$20000)),"—")</f>
        <v>—</v>
      </c>
      <c r="G114" t="str" cm="1">
        <f t="array" ref="G114">IFERROR(_xlfn.MODE.SNGL(IF((DATOS!$G$2:$G$20000=CONFIG_METADATA!$B$4)*(DATOS!$D$2:$D$20000=A114)*(DATOS!$I$2:$I$20000&lt;&gt;"Lenguaje Musical")*(DATOS!$I$2:$I$20000&lt;&gt;"Coro")*(DATOS!$I$2:$I$20000&lt;&gt;"Conjunto"),DATOS!$K$2:$K$20000)),"—")</f>
        <v>—</v>
      </c>
      <c r="H114" s="15" t="str" cm="1">
        <f t="array" ref="H114">IFERROR(SUMPRODUCT((DATOS!$G$2:$G$20000=CONFIG_METADATA!$B$4)*(DATOS!$D$2:$D$20000=A114)*(DATOS!$I$2:$I$20000&lt;&gt;"Lenguaje Musical")*(DATOS!$I$2:$I$20000&lt;&gt;"Coro")*(DATOS!$I$2:$I$20000&lt;&gt;"Conjunto")*(DATOS!$L$2:$L$20000="S"))/SUMPRODUCT((DATOS!$G$2:$G$20000=CONFIG_METADATA!$B$4)*(DATOS!$D$2:$D$20000=A114)*(DATOS!$I$2:$I$20000&lt;&gt;"Lenguaje Musical")*(DATOS!$I$2:$I$20000&lt;&gt;"Coro")*(DATOS!$I$2:$I$20000&lt;&gt;"Conjunto")*1),"—")</f>
        <v>—</v>
      </c>
      <c r="I114" s="15" t="str" cm="1">
        <f t="array" ref="I114">IFERROR(SUMPRODUCT((DATOS!$G$2:$G$20000=CONFIG_METADATA!$B$4)*(DATOS!$D$2:$D$20000=A114)*(DATOS!$I$2:$I$20000&lt;&gt;"Lenguaje Musical")*(DATOS!$I$2:$I$20000&lt;&gt;"Coro")*(DATOS!$I$2:$I$20000&lt;&gt;"Conjunto")*(DATOS!$L$2:$L$20000="N"))/SUMPRODUCT((DATOS!$G$2:$G$20000=CONFIG_METADATA!$B$4)*(DATOS!$D$2:$D$20000=A114)*(DATOS!$I$2:$I$20000&lt;&gt;"Lenguaje Musical")*(DATOS!$I$2:$I$20000&lt;&gt;"Coro")*(DATOS!$I$2:$I$20000&lt;&gt;"Conjunto")*1),"—")</f>
        <v>—</v>
      </c>
      <c r="J114" t="str" cm="1">
        <f t="array" ref="J114">IFERROR(_xlfn.MODE.SNGL(IF((DATOS!$G$2:$G$20000=CONFIG_METADATA!$B$4)*(DATOS!$D$2:$D$20000=A114)*(DATOS!$I$2:$I$20000&lt;&gt;"Lenguaje Musical")*(DATOS!$I$2:$I$20000&lt;&gt;"Coro")*(DATOS!$I$2:$I$20000&lt;&gt;"Conjunto")*(DATOS!$L$2:$L$20000="S"),DATOS!$K$2:$K$20000)),"—")</f>
        <v>—</v>
      </c>
      <c r="K114" t="str" cm="1">
        <f t="array" ref="K114">IFERROR(_xlfn.MODE.SNGL(IF((DATOS!$G$2:$G$20000=CONFIG_METADATA!$B$4)*(DATOS!$D$2:$D$20000=A114)*(DATOS!$I$2:$I$20000&lt;&gt;"Lenguaje Musical")*(DATOS!$I$2:$I$20000&lt;&gt;"Coro")*(DATOS!$I$2:$I$20000&lt;&gt;"Conjunto")*(DATOS!$L$2:$L$20000="N"),DATOS!$K$2:$K$20000)),"—")</f>
        <v>—</v>
      </c>
      <c r="L114" cm="1">
        <f t="array" ref="L114">SUMPRODUCT((DATOS!$G$2:$G$20000=CONFIG_METADATA!$B$4)*(DATOS!$D$2:$D$20000=A114)*(DATOS!$I$2:$I$20000&lt;&gt;"Lenguaje Musical")*(DATOS!$I$2:$I$20000&lt;&gt;"Coro")*(DATOS!$I$2:$I$20000&lt;&gt;"Conjunto")*(DATOS!$K$2:$K$20000=1))</f>
        <v>0</v>
      </c>
      <c r="M114" cm="1">
        <f t="array" ref="M114">SUMPRODUCT((DATOS!$G$2:$G$20000=CONFIG_METADATA!$B$4)*(DATOS!$D$2:$D$20000=A114)*(DATOS!$I$2:$I$20000&lt;&gt;"Lenguaje Musical")*(DATOS!$I$2:$I$20000&lt;&gt;"Coro")*(DATOS!$I$2:$I$20000&lt;&gt;"Conjunto")*(DATOS!$K$2:$K$20000=2))</f>
        <v>0</v>
      </c>
      <c r="N114" cm="1">
        <f t="array" ref="N114">SUMPRODUCT((DATOS!$G$2:$G$20000=CONFIG_METADATA!$B$4)*(DATOS!$D$2:$D$20000=A114)*(DATOS!$I$2:$I$20000&lt;&gt;"Lenguaje Musical")*(DATOS!$I$2:$I$20000&lt;&gt;"Coro")*(DATOS!$I$2:$I$20000&lt;&gt;"Conjunto")*(DATOS!$K$2:$K$20000=3))</f>
        <v>0</v>
      </c>
      <c r="O114" cm="1">
        <f t="array" ref="O114">SUMPRODUCT((DATOS!$G$2:$G$20000=CONFIG_METADATA!$B$4)*(DATOS!$D$2:$D$20000=A114)*(DATOS!$I$2:$I$20000&lt;&gt;"Lenguaje Musical")*(DATOS!$I$2:$I$20000&lt;&gt;"Coro")*(DATOS!$I$2:$I$20000&lt;&gt;"Conjunto")*(DATOS!$K$2:$K$20000=4))</f>
        <v>0</v>
      </c>
      <c r="P114" cm="1">
        <f t="array" ref="P114">SUMPRODUCT((DATOS!$G$2:$G$20000=CONFIG_METADATA!$B$4)*(DATOS!$D$2:$D$20000=A114)*(DATOS!$I$2:$I$20000&lt;&gt;"Lenguaje Musical")*(DATOS!$I$2:$I$20000&lt;&gt;"Coro")*(DATOS!$I$2:$I$20000&lt;&gt;"Conjunto")*(DATOS!$K$2:$K$20000=5))</f>
        <v>0</v>
      </c>
      <c r="Q114" cm="1">
        <f t="array" ref="Q114">SUMPRODUCT((DATOS!$G$2:$G$20000=CONFIG_METADATA!$B$4)*(DATOS!$D$2:$D$20000=A114)*(DATOS!$I$2:$I$20000&lt;&gt;"Lenguaje Musical")*(DATOS!$I$2:$I$20000&lt;&gt;"Coro")*(DATOS!$I$2:$I$20000&lt;&gt;"Conjunto")*(DATOS!$K$2:$K$20000=6))</f>
        <v>0</v>
      </c>
      <c r="R114" cm="1">
        <f t="array" ref="R114">SUMPRODUCT((DATOS!$G$2:$G$20000=CONFIG_METADATA!$B$4)*(DATOS!$D$2:$D$20000=A114)*(DATOS!$I$2:$I$20000&lt;&gt;"Lenguaje Musical")*(DATOS!$I$2:$I$20000&lt;&gt;"Coro")*(DATOS!$I$2:$I$20000&lt;&gt;"Conjunto")*(DATOS!$K$2:$K$20000=7))</f>
        <v>0</v>
      </c>
      <c r="S114" cm="1">
        <f t="array" ref="S114">SUMPRODUCT((DATOS!$G$2:$G$20000=CONFIG_METADATA!$B$4)*(DATOS!$D$2:$D$20000=A114)*(DATOS!$I$2:$I$20000&lt;&gt;"Lenguaje Musical")*(DATOS!$I$2:$I$20000&lt;&gt;"Coro")*(DATOS!$I$2:$I$20000&lt;&gt;"Conjunto")*(DATOS!$K$2:$K$20000=8))</f>
        <v>0</v>
      </c>
      <c r="T114" cm="1">
        <f t="array" ref="T114">SUMPRODUCT((DATOS!$G$2:$G$20000=CONFIG_METADATA!$B$4)*(DATOS!$D$2:$D$20000=A114)*(DATOS!$I$2:$I$20000&lt;&gt;"Lenguaje Musical")*(DATOS!$I$2:$I$20000&lt;&gt;"Coro")*(DATOS!$I$2:$I$20000&lt;&gt;"Conjunto")*(DATOS!$K$2:$K$20000=9))</f>
        <v>0</v>
      </c>
      <c r="U114" cm="1">
        <f t="array" ref="U114">SUMPRODUCT((DATOS!$G$2:$G$20000=CONFIG_METADATA!$B$4)*(DATOS!$D$2:$D$20000=A114)*(DATOS!$I$2:$I$20000&lt;&gt;"Lenguaje Musical")*(DATOS!$I$2:$I$20000&lt;&gt;"Coro")*(DATOS!$I$2:$I$20000&lt;&gt;"Conjunto")*(DATOS!$K$2:$K$20000=10))</f>
        <v>0</v>
      </c>
    </row>
    <row r="115" spans="1:22">
      <c r="A115" s="3" t="inlineStr">
        <is>
          <t xml:space="preserve">3EEM</t>
        </is>
      </c>
      <c r="B115" s="3" t="inlineStr">
        <is>
          <t xml:space="preserve">Total no Especialidad</t>
        </is>
      </c>
      <c r="C115" s="3" t="inlineStr">
        <is>
          <t xml:space="preserve">TotalNoEsp</t>
        </is>
      </c>
      <c r="D115">
        <f>SUMPRODUCT((DATOS!G:G=CONFIG_METADATA!$B$4)*(DATOS!D:D=A115)*((DATOS!I:I="Lenguaje Musical")+(DATOS!I:I="Coro")+(DATOS!I:I="Conjunto")))</f>
        <v>0</v>
      </c>
      <c r="E115" s="14" t="str" cm="1">
        <f t="array" ref="E115">IFERROR(AVERAGE(IF((DATOS!$G$2:$G$20000=CONFIG_METADATA!$B$4)*(DATOS!$D$2:$D$20000=A115)*((DATOS!$I$2:$I$20000="Lenguaje Musical")+(DATOS!$I$2:$I$20000="Coro")+(DATOS!$I$2:$I$20000="Conjunto")),DATOS!$K$2:$K$20000)),"—")</f>
        <v>—</v>
      </c>
      <c r="F115" s="14" t="str" cm="1">
        <f t="array" ref="F115">IFERROR(_xlfn.STDEV.P(IF((DATOS!$G$2:$G$20000=CONFIG_METADATA!$B$4)*(DATOS!$D$2:$D$20000=A115)*((DATOS!$I$2:$I$20000="Lenguaje Musical")+(DATOS!$I$2:$I$20000="Coro")+(DATOS!$I$2:$I$20000="Conjunto")),DATOS!$K$2:$K$20000)),"—")</f>
        <v>—</v>
      </c>
      <c r="G115" t="str" cm="1">
        <f t="array" ref="G115">IFERROR(_xlfn.MODE.SNGL(IF((DATOS!$G$2:$G$20000=CONFIG_METADATA!$B$4)*(DATOS!$D$2:$D$20000=A115)*((DATOS!$I$2:$I$20000="Lenguaje Musical")+(DATOS!$I$2:$I$20000="Coro")+(DATOS!$I$2:$I$20000="Conjunto")),DATOS!$K$2:$K$20000)),"—")</f>
        <v>—</v>
      </c>
      <c r="H115" s="15" t="str" cm="1">
        <f t="array" ref="H115">IFERROR(SUMPRODUCT((DATOS!$G$2:$G$20000=CONFIG_METADATA!$B$4)*(DATOS!$D$2:$D$20000=A115)*((DATOS!$I$2:$I$20000="Lenguaje Musical")+(DATOS!$I$2:$I$20000="Coro")+(DATOS!$I$2:$I$20000="Conjunto"))*(DATOS!$L$2:$L$20000="S"))/SUMPRODUCT((DATOS!$G$2:$G$20000=CONFIG_METADATA!$B$4)*(DATOS!$D$2:$D$20000=A115)*((DATOS!$I$2:$I$20000="Lenguaje Musical")+(DATOS!$I$2:$I$20000="Coro")+(DATOS!$I$2:$I$20000="Conjunto"))*1),"—")</f>
        <v>—</v>
      </c>
      <c r="I115" s="15" t="str" cm="1">
        <f t="array" ref="I115">IFERROR(SUMPRODUCT((DATOS!$G$2:$G$20000=CONFIG_METADATA!$B$4)*(DATOS!$D$2:$D$20000=A115)*((DATOS!$I$2:$I$20000="Lenguaje Musical")+(DATOS!$I$2:$I$20000="Coro")+(DATOS!$I$2:$I$20000="Conjunto"))*(DATOS!$L$2:$L$20000="N"))/SUMPRODUCT((DATOS!$G$2:$G$20000=CONFIG_METADATA!$B$4)*(DATOS!$D$2:$D$20000=A115)*((DATOS!$I$2:$I$20000="Lenguaje Musical")+(DATOS!$I$2:$I$20000="Coro")+(DATOS!$I$2:$I$20000="Conjunto"))*1),"—")</f>
        <v>—</v>
      </c>
      <c r="J115" t="str" cm="1">
        <f t="array" ref="J115">IFERROR(_xlfn.MODE.SNGL(IF((DATOS!$G$2:$G$20000=CONFIG_METADATA!$B$4)*(DATOS!$D$2:$D$20000=A115)*((DATOS!$I$2:$I$20000="Lenguaje Musical")+(DATOS!$I$2:$I$20000="Coro")+(DATOS!$I$2:$I$20000="Conjunto"))*(DATOS!$L$2:$L$20000="S"),DATOS!$K$2:$K$20000)),"—")</f>
        <v>—</v>
      </c>
      <c r="K115" t="str" cm="1">
        <f t="array" ref="K115">IFERROR(_xlfn.MODE.SNGL(IF((DATOS!$G$2:$G$20000=CONFIG_METADATA!$B$4)*(DATOS!$D$2:$D$20000=A115)*((DATOS!$I$2:$I$20000="Lenguaje Musical")+(DATOS!$I$2:$I$20000="Coro")+(DATOS!$I$2:$I$20000="Conjunto"))*(DATOS!$L$2:$L$20000="N"),DATOS!$K$2:$K$20000)),"—")</f>
        <v>—</v>
      </c>
      <c r="L115" cm="1">
        <f t="array" ref="L115">SUMPRODUCT((DATOS!$G$2:$G$20000=CONFIG_METADATA!$B$4)*(DATOS!$D$2:$D$20000=A115)*((DATOS!$I$2:$I$20000="Lenguaje Musical")+(DATOS!$I$2:$I$20000="Coro")+(DATOS!$I$2:$I$20000="Conjunto"))*(DATOS!$K$2:$K$20000=1))</f>
        <v>0</v>
      </c>
      <c r="M115" cm="1">
        <f t="array" ref="M115">SUMPRODUCT((DATOS!$G$2:$G$20000=CONFIG_METADATA!$B$4)*(DATOS!$D$2:$D$20000=A115)*((DATOS!$I$2:$I$20000="Lenguaje Musical")+(DATOS!$I$2:$I$20000="Coro")+(DATOS!$I$2:$I$20000="Conjunto"))*(DATOS!$K$2:$K$20000=2))</f>
        <v>0</v>
      </c>
      <c r="N115" cm="1">
        <f t="array" ref="N115">SUMPRODUCT((DATOS!$G$2:$G$20000=CONFIG_METADATA!$B$4)*(DATOS!$D$2:$D$20000=A115)*((DATOS!$I$2:$I$20000="Lenguaje Musical")+(DATOS!$I$2:$I$20000="Coro")+(DATOS!$I$2:$I$20000="Conjunto"))*(DATOS!$K$2:$K$20000=3))</f>
        <v>0</v>
      </c>
      <c r="O115" cm="1">
        <f t="array" ref="O115">SUMPRODUCT((DATOS!$G$2:$G$20000=CONFIG_METADATA!$B$4)*(DATOS!$D$2:$D$20000=A115)*((DATOS!$I$2:$I$20000="Lenguaje Musical")+(DATOS!$I$2:$I$20000="Coro")+(DATOS!$I$2:$I$20000="Conjunto"))*(DATOS!$K$2:$K$20000=4))</f>
        <v>0</v>
      </c>
      <c r="P115" cm="1">
        <f t="array" ref="P115">SUMPRODUCT((DATOS!$G$2:$G$20000=CONFIG_METADATA!$B$4)*(DATOS!$D$2:$D$20000=A115)*((DATOS!$I$2:$I$20000="Lenguaje Musical")+(DATOS!$I$2:$I$20000="Coro")+(DATOS!$I$2:$I$20000="Conjunto"))*(DATOS!$K$2:$K$20000=5))</f>
        <v>0</v>
      </c>
      <c r="Q115" cm="1">
        <f t="array" ref="Q115">SUMPRODUCT((DATOS!$G$2:$G$20000=CONFIG_METADATA!$B$4)*(DATOS!$D$2:$D$20000=A115)*((DATOS!$I$2:$I$20000="Lenguaje Musical")+(DATOS!$I$2:$I$20000="Coro")+(DATOS!$I$2:$I$20000="Conjunto"))*(DATOS!$K$2:$K$20000=6))</f>
        <v>0</v>
      </c>
      <c r="R115" cm="1">
        <f t="array" ref="R115">SUMPRODUCT((DATOS!$G$2:$G$20000=CONFIG_METADATA!$B$4)*(DATOS!$D$2:$D$20000=A115)*((DATOS!$I$2:$I$20000="Lenguaje Musical")+(DATOS!$I$2:$I$20000="Coro")+(DATOS!$I$2:$I$20000="Conjunto"))*(DATOS!$K$2:$K$20000=7))</f>
        <v>0</v>
      </c>
      <c r="S115" cm="1">
        <f t="array" ref="S115">SUMPRODUCT((DATOS!$G$2:$G$20000=CONFIG_METADATA!$B$4)*(DATOS!$D$2:$D$20000=A115)*((DATOS!$I$2:$I$20000="Lenguaje Musical")+(DATOS!$I$2:$I$20000="Coro")+(DATOS!$I$2:$I$20000="Conjunto"))*(DATOS!$K$2:$K$20000=8))</f>
        <v>0</v>
      </c>
      <c r="T115" cm="1">
        <f t="array" ref="T115">SUMPRODUCT((DATOS!$G$2:$G$20000=CONFIG_METADATA!$B$4)*(DATOS!$D$2:$D$20000=A115)*((DATOS!$I$2:$I$20000="Lenguaje Musical")+(DATOS!$I$2:$I$20000="Coro")+(DATOS!$I$2:$I$20000="Conjunto"))*(DATOS!$K$2:$K$20000=9))</f>
        <v>0</v>
      </c>
      <c r="U115" cm="1">
        <f t="array" ref="U115">SUMPRODUCT((DATOS!$G$2:$G$20000=CONFIG_METADATA!$B$4)*(DATOS!$D$2:$D$20000=A115)*((DATOS!$I$2:$I$20000="Lenguaje Musical")+(DATOS!$I$2:$I$20000="Coro")+(DATOS!$I$2:$I$20000="Conjunto"))*(DATOS!$K$2:$K$20000=10))</f>
        <v>0</v>
      </c>
    </row>
    <row r="116" spans="1:22">
      <c r="A116" s="3" t="inlineStr">
        <is>
          <t xml:space="preserve">3EEM</t>
        </is>
      </c>
      <c r="B116" s="3">
        <f>IFERROR(INDEX(_xlfn._xlws.FILTER(CONFIG_ASIGNATURAS!$B$2:$B$27,CONFIG_ASIGNATURAS!$G$2:$G$27="Sí"),1),"")</f>
      </c>
      <c r="C116" s="3">
        <f>IF(B116="","",IFERROR(IF(VLOOKUP(B116,CONFIG_ASIGNATURAS!$B$2:$F$27,5,FALSE())="Sí","Especialidad","Asignatura"),"Asignatura"))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3EEM</t>
        </is>
      </c>
      <c r="B117" s="3">
        <f>IFERROR(INDEX(_xlfn._xlws.FILTER(CONFIG_ASIGNATURAS!$B$2:$B$27,CONFIG_ASIGNATURAS!$G$2:$G$27="Sí"),2),"")</f>
      </c>
      <c r="C117" s="3">
        <f>IF(B117="","",IFERROR(IF(VLOOKUP(B117,CONFIG_ASIGNATURAS!$B$2:$F$27,5,FALSE())="Sí","Especialidad","Asignatura"),"Asignatura"))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3EEM</t>
        </is>
      </c>
      <c r="B118" s="3">
        <f>IFERROR(INDEX(_xlfn._xlws.FILTER(CONFIG_ASIGNATURAS!$B$2:$B$27,CONFIG_ASIGNATURAS!$G$2:$G$27="Sí"),3),"")</f>
      </c>
      <c r="C118" s="3">
        <f>IF(B118="","",IFERROR(IF(VLOOKUP(B118,CONFIG_ASIGNATURAS!$B$2:$F$27,5,FALSE())="Sí","Especialidad","Asignatura"),"Asignatura"))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3EEM</t>
        </is>
      </c>
      <c r="B119" s="3">
        <f>IFERROR(INDEX(_xlfn._xlws.FILTER(CONFIG_ASIGNATURAS!$B$2:$B$27,CONFIG_ASIGNATURAS!$G$2:$G$27="Sí"),4),"")</f>
      </c>
      <c r="C119" s="3">
        <f>IF(B119="","",IFERROR(IF(VLOOKUP(B119,CONFIG_ASIGNATURAS!$B$2:$F$27,5,FALSE())="Sí","Especialidad","Asignatura"),"Asignatura"))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3EEM</t>
        </is>
      </c>
      <c r="B120" s="3">
        <f>IFERROR(INDEX(_xlfn._xlws.FILTER(CONFIG_ASIGNATURAS!$B$2:$B$27,CONFIG_ASIGNATURAS!$G$2:$G$27="Sí"),5),"")</f>
      </c>
      <c r="C120" s="3">
        <f>IF(B120="","",IFERROR(IF(VLOOKUP(B120,CONFIG_ASIGNATURAS!$B$2:$F$27,5,FALSE())="Sí","Especialidad","Asignatura"),"Asignatura"))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3EEM</t>
        </is>
      </c>
      <c r="B121" s="3">
        <f>IFERROR(INDEX(_xlfn._xlws.FILTER(CONFIG_ASIGNATURAS!$B$2:$B$27,CONFIG_ASIGNATURAS!$G$2:$G$27="Sí"),6),"")</f>
      </c>
      <c r="C121" s="3">
        <f>IF(B121="","",IFERROR(IF(VLOOKUP(B121,CONFIG_ASIGNATURAS!$B$2:$F$27,5,FALSE())="Sí","Especialidad","Asignatura"),"Asignatura"))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3EEM</t>
        </is>
      </c>
      <c r="B122" s="3">
        <f>IFERROR(INDEX(_xlfn._xlws.FILTER(CONFIG_ASIGNATURAS!$B$2:$B$27,CONFIG_ASIGNATURAS!$G$2:$G$27="Sí"),7),"")</f>
      </c>
      <c r="C122" s="3">
        <f>IF(B122="","",IFERROR(IF(VLOOKUP(B122,CONFIG_ASIGNATURAS!$B$2:$F$27,5,FALSE())="Sí","Especialidad","Asignatura"),"Asignatura"))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3EEM</t>
        </is>
      </c>
      <c r="B123" s="3">
        <f>IFERROR(INDEX(_xlfn._xlws.FILTER(CONFIG_ASIGNATURAS!$B$2:$B$27,CONFIG_ASIGNATURAS!$G$2:$G$27="Sí"),8),"")</f>
      </c>
      <c r="C123" s="3">
        <f>IF(B123="","",IFERROR(IF(VLOOKUP(B123,CONFIG_ASIGNATURAS!$B$2:$F$27,5,FALSE())="Sí","Especialidad","Asignatura"),"Asignatura"))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3EEM</t>
        </is>
      </c>
      <c r="B124" s="3">
        <f>IFERROR(INDEX(_xlfn._xlws.FILTER(CONFIG_ASIGNATURAS!$B$2:$B$27,CONFIG_ASIGNATURAS!$G$2:$G$27="Sí"),9),"")</f>
      </c>
      <c r="C124" s="3">
        <f>IF(B124="","",IFERROR(IF(VLOOKUP(B124,CONFIG_ASIGNATURAS!$B$2:$F$27,5,FALSE())="Sí","Especialidad","Asignatura"),"Asignatura"))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3EEM</t>
        </is>
      </c>
      <c r="B125" s="3">
        <f>IFERROR(INDEX(_xlfn._xlws.FILTER(CONFIG_ASIGNATURAS!$B$2:$B$27,CONFIG_ASIGNATURAS!$G$2:$G$27="Sí"),10),"")</f>
      </c>
      <c r="C125" s="3">
        <f>IF(B125="","",IFERROR(IF(VLOOKUP(B125,CONFIG_ASIGNATURAS!$B$2:$F$27,5,FALSE())="Sí","Especialidad","Asignatura"),"Asignatura"))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3EEM</t>
        </is>
      </c>
      <c r="B126" s="3">
        <f>IFERROR(INDEX(_xlfn._xlws.FILTER(CONFIG_ASIGNATURAS!$B$2:$B$27,CONFIG_ASIGNATURAS!$G$2:$G$27="Sí"),11),"")</f>
      </c>
      <c r="C126" s="3">
        <f>IF(B126="","",IFERROR(IF(VLOOKUP(B126,CONFIG_ASIGNATURAS!$B$2:$F$27,5,FALSE())="Sí","Especialidad","Asignatura"),"Asignatura"))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3EEM</t>
        </is>
      </c>
      <c r="B127" s="3">
        <f>IFERROR(INDEX(_xlfn._xlws.FILTER(CONFIG_ASIGNATURAS!$B$2:$B$27,CONFIG_ASIGNATURAS!$G$2:$G$27="Sí"),12),"")</f>
      </c>
      <c r="C127" s="3">
        <f>IF(B127="","",IFERROR(IF(VLOOKUP(B127,CONFIG_ASIGNATURAS!$B$2:$F$27,5,FALSE())="Sí","Especialidad","Asignatura"),"Asignatura"))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3EEM</t>
        </is>
      </c>
      <c r="B128" s="3">
        <f>IFERROR(INDEX(_xlfn._xlws.FILTER(CONFIG_ASIGNATURAS!$B$2:$B$27,CONFIG_ASIGNATURAS!$G$2:$G$27="Sí"),13),"")</f>
      </c>
      <c r="C128" s="3">
        <f>IF(B128="","",IFERROR(IF(VLOOKUP(B128,CONFIG_ASIGNATURAS!$B$2:$F$27,5,FALSE())="Sí","Especialidad","Asignatura"),"Asignatura"))</f>
      </c>
      <c r="D128">
        <f>IF(V128="Sí",COUNTIFS(DATOS!G:G,CONFIG_METADATA!$B$4,DATOS!D:D,A128,DATOS!I:I,B128),"")</f>
        <v>0</v>
      </c>
      <c r="E128" s="14" t="str">
        <f>IF(V128="Sí",IFERROR(AVERAGEIFS(DATOS!K:K,DATOS!G:G,CONFIG_METADATA!$B$4,DATOS!D:D,A128,DATOS!I:I,B128),"—"),"")</f>
        <v>—</v>
      </c>
      <c r="F128" s="14" t="str" cm="1">
        <f t="array" ref="F128">IF(V128="Sí",IFERROR(_xlfn.STDEV.P(IF((DATOS!$G$2:$G$20000=CONFIG_METADATA!$B$4)*(DATOS!$D$2:$D$20000=A128)*(DATOS!$I$2:$I$20000=B128),DATOS!$K$2:$K$20000)),"—"),"")</f>
        <v>—</v>
      </c>
      <c r="G128" t="str" cm="1">
        <f t="array" ref="G128">IF(V128="Sí",IFERROR(_xlfn.MODE.SNGL(IF((DATOS!$G$2:$G$20000=CONFIG_METADATA!$B$4)*(DATOS!$D$2:$D$20000=A128)*(DATOS!$I$2:$I$20000=B128),DATOS!$K$2:$K$20000)),"—"),"")</f>
        <v>—</v>
      </c>
      <c r="H128" s="15" t="str">
        <f>IF(V128="Sí",IFERROR(COUNTIFS(DATOS!G:G,CONFIG_METADATA!$B$4,DATOS!D:D,A128,DATOS!I:I,B128,DATOS!L:L,"S")/COUNTIFS(DATOS!G:G,CONFIG_METADATA!$B$4,DATOS!D:D,A128,DATOS!I:I,B128),"—"),"")</f>
        <v>—</v>
      </c>
      <c r="I128" s="15" t="str">
        <f>IF(V128="Sí",IFERROR(COUNTIFS(DATOS!G:G,CONFIG_METADATA!$B$4,DATOS!D:D,A128,DATOS!I:I,B128,DATOS!L:L,"N")/COUNTIFS(DATOS!G:G,CONFIG_METADATA!$B$4,DATOS!D:D,A128,DATOS!I:I,B128),"—"),"")</f>
        <v>—</v>
      </c>
      <c r="J128" t="str" cm="1">
        <f t="array" ref="J128">IF(V128="Sí",IFERROR(_xlfn.MODE.SNGL(IF((DATOS!$G$2:$G$20000=CONFIG_METADATA!$B$4)*(DATOS!$D$2:$D$20000=A128)*(DATOS!$I$2:$I$20000=B128)*(DATOS!$L$2:$L$20000="S"),DATOS!$K$2:$K$20000)),"—"),"")</f>
        <v>—</v>
      </c>
      <c r="K128" t="str" cm="1">
        <f t="array" ref="K128">IF(V128="Sí",IFERROR(_xlfn.MODE.SNGL(IF((DATOS!$G$2:$G$20000=CONFIG_METADATA!$B$4)*(DATOS!$D$2:$D$20000=A128)*(DATOS!$I$2:$I$20000=B128)*(DATOS!$L$2:$L$20000="N"),DATOS!$K$2:$K$20000)),"—"),"")</f>
        <v>—</v>
      </c>
      <c r="L128">
        <f>IF(V128="Sí",COUNTIFS(DATOS!G:G,CONFIG_METADATA!$B$4,DATOS!D:D,A128,DATOS!I:I,B128,DATOS!K:K,1),"")</f>
        <v>0</v>
      </c>
      <c r="M128">
        <f>IF(V128="Sí",COUNTIFS(DATOS!G:G,CONFIG_METADATA!$B$4,DATOS!D:D,A128,DATOS!I:I,B128,DATOS!K:K,2),"")</f>
        <v>0</v>
      </c>
      <c r="N128">
        <f>IF(V128="Sí",COUNTIFS(DATOS!G:G,CONFIG_METADATA!$B$4,DATOS!D:D,A128,DATOS!I:I,B128,DATOS!K:K,3),"")</f>
        <v>0</v>
      </c>
      <c r="O128">
        <f>IF(V128="Sí",COUNTIFS(DATOS!G:G,CONFIG_METADATA!$B$4,DATOS!D:D,A128,DATOS!I:I,B128,DATOS!K:K,4),"")</f>
        <v>0</v>
      </c>
      <c r="P128">
        <f>IF(V128="Sí",COUNTIFS(DATOS!G:G,CONFIG_METADATA!$B$4,DATOS!D:D,A128,DATOS!I:I,B128,DATOS!K:K,5),"")</f>
        <v>0</v>
      </c>
      <c r="Q128">
        <f>IF(V128="Sí",COUNTIFS(DATOS!G:G,CONFIG_METADATA!$B$4,DATOS!D:D,A128,DATOS!I:I,B128,DATOS!K:K,6),"")</f>
        <v>0</v>
      </c>
      <c r="R128">
        <f>IF(V128="Sí",COUNTIFS(DATOS!G:G,CONFIG_METADATA!$B$4,DATOS!D:D,A128,DATOS!I:I,B128,DATOS!K:K,7),"")</f>
        <v>0</v>
      </c>
      <c r="S128">
        <f>IF(V128="Sí",COUNTIFS(DATOS!G:G,CONFIG_METADATA!$B$4,DATOS!D:D,A128,DATOS!I:I,B128,DATOS!K:K,8),"")</f>
        <v>0</v>
      </c>
      <c r="T128">
        <f>IF(V128="Sí",COUNTIFS(DATOS!G:G,CONFIG_METADATA!$B$4,DATOS!D:D,A128,DATOS!I:I,B128,DATOS!K:K,9),"")</f>
        <v>0</v>
      </c>
      <c r="U128">
        <f>IF(V128="Sí",COUNTIFS(DATOS!G:G,CONFIG_METADATA!$B$4,DATOS!D:D,A128,DATOS!I:I,B128,DATOS!K:K,10),"")</f>
        <v>0</v>
      </c>
      <c r="V128" t="str">
        <f>IFERROR(IF(ISERROR(FIND(A128,VLOOKUP(B128,CONFIG_ASIGNATURAS!B:C,2,FALSE()))),"No","Sí"),"No")</f>
        <v>Sí</v>
      </c>
    </row>
    <row r="129" spans="1:22">
      <c r="A129" s="3" t="inlineStr">
        <is>
          <t xml:space="preserve">3EEM</t>
        </is>
      </c>
      <c r="B129" s="3">
        <f>IFERROR(INDEX(_xlfn._xlws.FILTER(CONFIG_ASIGNATURAS!$B$2:$B$27,CONFIG_ASIGNATURAS!$G$2:$G$27="Sí"),14),"")</f>
      </c>
      <c r="C129" s="3">
        <f>IF(B129="","",IFERROR(IF(VLOOKUP(B129,CONFIG_ASIGNATURAS!$B$2:$F$27,5,FALSE())="Sí","Especialidad","Asignatura"),"Asignatura"))</f>
      </c>
      <c r="D129">
        <f>IF(V129="Sí",COUNTIFS(DATOS!G:G,CONFIG_METADATA!$B$4,DATOS!D:D,A129,DATOS!I:I,B129),"")</f>
        <v>0</v>
      </c>
      <c r="E129" s="14" t="str">
        <f>IF(V129="Sí",IFERROR(AVERAGEIFS(DATOS!K:K,DATOS!G:G,CONFIG_METADATA!$B$4,DATOS!D:D,A129,DATOS!I:I,B129),"—"),"")</f>
        <v>—</v>
      </c>
      <c r="F129" s="14" t="str" cm="1">
        <f t="array" ref="F129">IF(V129="Sí",IFERROR(_xlfn.STDEV.P(IF((DATOS!$G$2:$G$20000=CONFIG_METADATA!$B$4)*(DATOS!$D$2:$D$20000=A129)*(DATOS!$I$2:$I$20000=B129),DATOS!$K$2:$K$20000)),"—"),"")</f>
        <v>—</v>
      </c>
      <c r="G129" t="str" cm="1">
        <f t="array" ref="G129">IF(V129="Sí",IFERROR(_xlfn.MODE.SNGL(IF((DATOS!$G$2:$G$20000=CONFIG_METADATA!$B$4)*(DATOS!$D$2:$D$20000=A129)*(DATOS!$I$2:$I$20000=B129),DATOS!$K$2:$K$20000)),"—"),"")</f>
        <v>—</v>
      </c>
      <c r="H129" s="15" t="str">
        <f>IF(V129="Sí",IFERROR(COUNTIFS(DATOS!G:G,CONFIG_METADATA!$B$4,DATOS!D:D,A129,DATOS!I:I,B129,DATOS!L:L,"S")/COUNTIFS(DATOS!G:G,CONFIG_METADATA!$B$4,DATOS!D:D,A129,DATOS!I:I,B129),"—"),"")</f>
        <v>—</v>
      </c>
      <c r="I129" s="15" t="str">
        <f>IF(V129="Sí",IFERROR(COUNTIFS(DATOS!G:G,CONFIG_METADATA!$B$4,DATOS!D:D,A129,DATOS!I:I,B129,DATOS!L:L,"N")/COUNTIFS(DATOS!G:G,CONFIG_METADATA!$B$4,DATOS!D:D,A129,DATOS!I:I,B129),"—"),"")</f>
        <v>—</v>
      </c>
      <c r="J129" t="str" cm="1">
        <f t="array" ref="J129">IF(V129="Sí",IFERROR(_xlfn.MODE.SNGL(IF((DATOS!$G$2:$G$20000=CONFIG_METADATA!$B$4)*(DATOS!$D$2:$D$20000=A129)*(DATOS!$I$2:$I$20000=B129)*(DATOS!$L$2:$L$20000="S"),DATOS!$K$2:$K$20000)),"—"),"")</f>
        <v>—</v>
      </c>
      <c r="K129" t="str" cm="1">
        <f t="array" ref="K129">IF(V129="Sí",IFERROR(_xlfn.MODE.SNGL(IF((DATOS!$G$2:$G$20000=CONFIG_METADATA!$B$4)*(DATOS!$D$2:$D$20000=A129)*(DATOS!$I$2:$I$20000=B129)*(DATOS!$L$2:$L$20000="N"),DATOS!$K$2:$K$20000)),"—"),"")</f>
        <v>—</v>
      </c>
      <c r="L129">
        <f>IF(V129="Sí",COUNTIFS(DATOS!G:G,CONFIG_METADATA!$B$4,DATOS!D:D,A129,DATOS!I:I,B129,DATOS!K:K,1),"")</f>
        <v>0</v>
      </c>
      <c r="M129">
        <f>IF(V129="Sí",COUNTIFS(DATOS!G:G,CONFIG_METADATA!$B$4,DATOS!D:D,A129,DATOS!I:I,B129,DATOS!K:K,2),"")</f>
        <v>0</v>
      </c>
      <c r="N129">
        <f>IF(V129="Sí",COUNTIFS(DATOS!G:G,CONFIG_METADATA!$B$4,DATOS!D:D,A129,DATOS!I:I,B129,DATOS!K:K,3),"")</f>
        <v>0</v>
      </c>
      <c r="O129">
        <f>IF(V129="Sí",COUNTIFS(DATOS!G:G,CONFIG_METADATA!$B$4,DATOS!D:D,A129,DATOS!I:I,B129,DATOS!K:K,4),"")</f>
        <v>0</v>
      </c>
      <c r="P129">
        <f>IF(V129="Sí",COUNTIFS(DATOS!G:G,CONFIG_METADATA!$B$4,DATOS!D:D,A129,DATOS!I:I,B129,DATOS!K:K,5),"")</f>
        <v>0</v>
      </c>
      <c r="Q129">
        <f>IF(V129="Sí",COUNTIFS(DATOS!G:G,CONFIG_METADATA!$B$4,DATOS!D:D,A129,DATOS!I:I,B129,DATOS!K:K,6),"")</f>
        <v>0</v>
      </c>
      <c r="R129">
        <f>IF(V129="Sí",COUNTIFS(DATOS!G:G,CONFIG_METADATA!$B$4,DATOS!D:D,A129,DATOS!I:I,B129,DATOS!K:K,7),"")</f>
        <v>0</v>
      </c>
      <c r="S129">
        <f>IF(V129="Sí",COUNTIFS(DATOS!G:G,CONFIG_METADATA!$B$4,DATOS!D:D,A129,DATOS!I:I,B129,DATOS!K:K,8),"")</f>
        <v>0</v>
      </c>
      <c r="T129">
        <f>IF(V129="Sí",COUNTIFS(DATOS!G:G,CONFIG_METADATA!$B$4,DATOS!D:D,A129,DATOS!I:I,B129,DATOS!K:K,9),"")</f>
        <v>0</v>
      </c>
      <c r="U129">
        <f>IF(V129="Sí",COUNTIFS(DATOS!G:G,CONFIG_METADATA!$B$4,DATOS!D:D,A129,DATOS!I:I,B129,DATOS!K:K,10),"")</f>
        <v>0</v>
      </c>
      <c r="V129" t="str">
        <f>IFERROR(IF(ISERROR(FIND(A129,VLOOKUP(B129,CONFIG_ASIGNATURAS!B:C,2,FALSE()))),"No","Sí"),"No")</f>
        <v>Sí</v>
      </c>
    </row>
    <row r="130" spans="1:22">
      <c r="A130" s="3" t="inlineStr">
        <is>
          <t xml:space="preserve">3EEM</t>
        </is>
      </c>
      <c r="B130" s="3">
        <f>IFERROR(INDEX(_xlfn._xlws.FILTER(CONFIG_ASIGNATURAS!$B$2:$B$27,CONFIG_ASIGNATURAS!$G$2:$G$27="Sí"),15),"")</f>
      </c>
      <c r="C130" s="3">
        <f>IF(B130="","",IFERROR(IF(VLOOKUP(B130,CONFIG_ASIGNATURAS!$B$2:$F$27,5,FALSE())="Sí","Especialidad","Asignatura"),"Asignatura"))</f>
      </c>
      <c r="D130">
        <f>IF(V130="Sí",COUNTIFS(DATOS!G:G,CONFIG_METADATA!$B$4,DATOS!D:D,A130,DATOS!I:I,B130),"")</f>
        <v>0</v>
      </c>
      <c r="E130" s="14" t="str">
        <f>IF(V130="Sí",IFERROR(AVERAGEIFS(DATOS!K:K,DATOS!G:G,CONFIG_METADATA!$B$4,DATOS!D:D,A130,DATOS!I:I,B130),"—"),"")</f>
        <v>—</v>
      </c>
      <c r="F130" s="14" t="str" cm="1">
        <f t="array" ref="F130">IF(V130="Sí",IFERROR(_xlfn.STDEV.P(IF((DATOS!$G$2:$G$20000=CONFIG_METADATA!$B$4)*(DATOS!$D$2:$D$20000=A130)*(DATOS!$I$2:$I$20000=B130),DATOS!$K$2:$K$20000)),"—"),"")</f>
        <v>—</v>
      </c>
      <c r="G130" t="str" cm="1">
        <f t="array" ref="G130">IF(V130="Sí",IFERROR(_xlfn.MODE.SNGL(IF((DATOS!$G$2:$G$20000=CONFIG_METADATA!$B$4)*(DATOS!$D$2:$D$20000=A130)*(DATOS!$I$2:$I$20000=B130),DATOS!$K$2:$K$20000)),"—"),"")</f>
        <v>—</v>
      </c>
      <c r="H130" s="15" t="str">
        <f>IF(V130="Sí",IFERROR(COUNTIFS(DATOS!G:G,CONFIG_METADATA!$B$4,DATOS!D:D,A130,DATOS!I:I,B130,DATOS!L:L,"S")/COUNTIFS(DATOS!G:G,CONFIG_METADATA!$B$4,DATOS!D:D,A130,DATOS!I:I,B130),"—"),"")</f>
        <v>—</v>
      </c>
      <c r="I130" s="15" t="str">
        <f>IF(V130="Sí",IFERROR(COUNTIFS(DATOS!G:G,CONFIG_METADATA!$B$4,DATOS!D:D,A130,DATOS!I:I,B130,DATOS!L:L,"N")/COUNTIFS(DATOS!G:G,CONFIG_METADATA!$B$4,DATOS!D:D,A130,DATOS!I:I,B130),"—"),"")</f>
        <v>—</v>
      </c>
      <c r="J130" t="str" cm="1">
        <f t="array" ref="J130">IF(V130="Sí",IFERROR(_xlfn.MODE.SNGL(IF((DATOS!$G$2:$G$20000=CONFIG_METADATA!$B$4)*(DATOS!$D$2:$D$20000=A130)*(DATOS!$I$2:$I$20000=B130)*(DATOS!$L$2:$L$20000="S"),DATOS!$K$2:$K$20000)),"—"),"")</f>
        <v>—</v>
      </c>
      <c r="K130" t="str" cm="1">
        <f t="array" ref="K130">IF(V130="Sí",IFERROR(_xlfn.MODE.SNGL(IF((DATOS!$G$2:$G$20000=CONFIG_METADATA!$B$4)*(DATOS!$D$2:$D$20000=A130)*(DATOS!$I$2:$I$20000=B130)*(DATOS!$L$2:$L$20000="N"),DATOS!$K$2:$K$20000)),"—"),"")</f>
        <v>—</v>
      </c>
      <c r="L130">
        <f>IF(V130="Sí",COUNTIFS(DATOS!G:G,CONFIG_METADATA!$B$4,DATOS!D:D,A130,DATOS!I:I,B130,DATOS!K:K,1),"")</f>
        <v>0</v>
      </c>
      <c r="M130">
        <f>IF(V130="Sí",COUNTIFS(DATOS!G:G,CONFIG_METADATA!$B$4,DATOS!D:D,A130,DATOS!I:I,B130,DATOS!K:K,2),"")</f>
        <v>0</v>
      </c>
      <c r="N130">
        <f>IF(V130="Sí",COUNTIFS(DATOS!G:G,CONFIG_METADATA!$B$4,DATOS!D:D,A130,DATOS!I:I,B130,DATOS!K:K,3),"")</f>
        <v>0</v>
      </c>
      <c r="O130">
        <f>IF(V130="Sí",COUNTIFS(DATOS!G:G,CONFIG_METADATA!$B$4,DATOS!D:D,A130,DATOS!I:I,B130,DATOS!K:K,4),"")</f>
        <v>0</v>
      </c>
      <c r="P130">
        <f>IF(V130="Sí",COUNTIFS(DATOS!G:G,CONFIG_METADATA!$B$4,DATOS!D:D,A130,DATOS!I:I,B130,DATOS!K:K,5),"")</f>
        <v>0</v>
      </c>
      <c r="Q130">
        <f>IF(V130="Sí",COUNTIFS(DATOS!G:G,CONFIG_METADATA!$B$4,DATOS!D:D,A130,DATOS!I:I,B130,DATOS!K:K,6),"")</f>
        <v>0</v>
      </c>
      <c r="R130">
        <f>IF(V130="Sí",COUNTIFS(DATOS!G:G,CONFIG_METADATA!$B$4,DATOS!D:D,A130,DATOS!I:I,B130,DATOS!K:K,7),"")</f>
        <v>0</v>
      </c>
      <c r="S130">
        <f>IF(V130="Sí",COUNTIFS(DATOS!G:G,CONFIG_METADATA!$B$4,DATOS!D:D,A130,DATOS!I:I,B130,DATOS!K:K,8),"")</f>
        <v>0</v>
      </c>
      <c r="T130">
        <f>IF(V130="Sí",COUNTIFS(DATOS!G:G,CONFIG_METADATA!$B$4,DATOS!D:D,A130,DATOS!I:I,B130,DATOS!K:K,9),"")</f>
        <v>0</v>
      </c>
      <c r="U130">
        <f>IF(V130="Sí",COUNTIFS(DATOS!G:G,CONFIG_METADATA!$B$4,DATOS!D:D,A130,DATOS!I:I,B130,DATOS!K:K,10),"")</f>
        <v>0</v>
      </c>
      <c r="V130" t="str">
        <f>IFERROR(IF(ISERROR(FIND(A130,VLOOKUP(B130,CONFIG_ASIGNATURAS!B:C,2,FALSE()))),"No","Sí"),"No")</f>
        <v>Sí</v>
      </c>
    </row>
    <row r="131" spans="1:22">
      <c r="A131" s="3" t="inlineStr">
        <is>
          <t xml:space="preserve">3EEM</t>
        </is>
      </c>
      <c r="B131" s="3">
        <f>IFERROR(INDEX(_xlfn._xlws.FILTER(CONFIG_ASIGNATURAS!$B$2:$B$27,CONFIG_ASIGNATURAS!$G$2:$G$27="Sí"),16),"")</f>
      </c>
      <c r="C131" s="3">
        <f>IF(B131="","",IFERROR(IF(VLOOKUP(B131,CONFIG_ASIGNATURAS!$B$2:$F$27,5,FALSE())="Sí","Especialidad","Asignatura"),"Asignatura"))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3EEM</t>
        </is>
      </c>
      <c r="B132" s="3">
        <f>IFERROR(INDEX(_xlfn._xlws.FILTER(CONFIG_ASIGNATURAS!$B$2:$B$27,CONFIG_ASIGNATURAS!$G$2:$G$27="Sí"),17),"")</f>
      </c>
      <c r="C132" s="3">
        <f>IF(B132="","",IFERROR(IF(VLOOKUP(B132,CONFIG_ASIGNATURAS!$B$2:$F$27,5,FALSE())="Sí","Especialidad","Asignatura"),"Asignatura"))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3EEM</t>
        </is>
      </c>
      <c r="B133" s="3">
        <f>IFERROR(INDEX(_xlfn._xlws.FILTER(CONFIG_ASIGNATURAS!$B$2:$B$27,CONFIG_ASIGNATURAS!$G$2:$G$27="Sí"),18),"")</f>
      </c>
      <c r="C133" s="3">
        <f>IF(B133="","",IFERROR(IF(VLOOKUP(B133,CONFIG_ASIGNATURAS!$B$2:$F$27,5,FALSE())="Sí","Especialidad","Asignatura"),"Asignatura"))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3EEM</t>
        </is>
      </c>
      <c r="B134" s="3">
        <f>IFERROR(INDEX(_xlfn._xlws.FILTER(CONFIG_ASIGNATURAS!$B$2:$B$27,CONFIG_ASIGNATURAS!$G$2:$G$27="Sí"),19),"")</f>
      </c>
      <c r="C134" s="3">
        <f>IF(B134="","",IFERROR(IF(VLOOKUP(B134,CONFIG_ASIGNATURAS!$B$2:$F$27,5,FALSE())="Sí","Especialidad","Asignatura"),"Asignatura"))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3EEM</t>
        </is>
      </c>
      <c r="B135" s="3">
        <f>IFERROR(INDEX(_xlfn._xlws.FILTER(CONFIG_ASIGNATURAS!$B$2:$B$27,CONFIG_ASIGNATURAS!$G$2:$G$27="Sí"),20),"")</f>
      </c>
      <c r="C135" s="3">
        <f>IF(B135="","",IFERROR(IF(VLOOKUP(B135,CONFIG_ASIGNATURAS!$B$2:$F$27,5,FALSE())="Sí","Especialidad","Asignatura"),"Asignatura"))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3EEM</t>
        </is>
      </c>
      <c r="B136" s="3">
        <f>IFERROR(INDEX(_xlfn._xlws.FILTER(CONFIG_ASIGNATURAS!$B$2:$B$27,CONFIG_ASIGNATURAS!$G$2:$G$27="Sí"),21),"")</f>
      </c>
      <c r="C136" s="3">
        <f>IF(B136="","",IFERROR(IF(VLOOKUP(B136,CONFIG_ASIGNATURAS!$B$2:$F$27,5,FALSE())="Sí","Especialidad","Asignatura"),"Asignatura"))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3EEM</t>
        </is>
      </c>
      <c r="B137" s="3">
        <f>IFERROR(INDEX(_xlfn._xlws.FILTER(CONFIG_ASIGNATURAS!$B$2:$B$27,CONFIG_ASIGNATURAS!$G$2:$G$27="Sí"),22),"")</f>
      </c>
      <c r="C137" s="3">
        <f>IF(B137="","",IFERROR(IF(VLOOKUP(B137,CONFIG_ASIGNATURAS!$B$2:$F$27,5,FALSE())="Sí","Especialidad","Asignatura"),"Asignatura"))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3EEM</t>
        </is>
      </c>
      <c r="B138" s="3">
        <f>IFERROR(INDEX(_xlfn._xlws.FILTER(CONFIG_ASIGNATURAS!$B$2:$B$27,CONFIG_ASIGNATURAS!$G$2:$G$27="Sí"),23),"")</f>
      </c>
      <c r="C138" s="3">
        <f>IF(B138="","",IFERROR(IF(VLOOKUP(B138,CONFIG_ASIGNATURAS!$B$2:$F$27,5,FALSE())="Sí","Especialidad","Asignatura"),"Asignatura"))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3EEM</t>
        </is>
      </c>
      <c r="B139" s="3">
        <f>IFERROR(INDEX(_xlfn._xlws.FILTER(CONFIG_ASIGNATURAS!$B$2:$B$27,CONFIG_ASIGNATURAS!$G$2:$G$27="Sí"),24),"")</f>
      </c>
      <c r="C139" s="3">
        <f>IF(B139="","",IFERROR(IF(VLOOKUP(B139,CONFIG_ASIGNATURAS!$B$2:$F$27,5,FALSE())="Sí","Especialidad","Asignatura"),"Asignatura"))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3EEM</t>
        </is>
      </c>
      <c r="B140" s="3">
        <f>IFERROR(INDEX(_xlfn._xlws.FILTER(CONFIG_ASIGNATURAS!$B$2:$B$27,CONFIG_ASIGNATURAS!$G$2:$G$27="Sí"),25),"")</f>
      </c>
      <c r="C140" s="3">
        <f>IF(B140="","",IFERROR(IF(VLOOKUP(B140,CONFIG_ASIGNATURAS!$B$2:$F$27,5,FALSE())="Sí","Especialidad","Asignatura"),"Asignatura"))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3EEM</t>
        </is>
      </c>
      <c r="B141" s="3">
        <f>IFERROR(INDEX(_xlfn._xlws.FILTER(CONFIG_ASIGNATURAS!$B$2:$B$27,CONFIG_ASIGNATURAS!$G$2:$G$27="Sí"),26),"")</f>
      </c>
      <c r="C141" s="3">
        <f>IF(B141="","",IFERROR(IF(VLOOKUP(B141,CONFIG_ASIGNATURAS!$B$2:$F$27,5,FALSE())="Sí","Especialidad","Asignatura"),"Asignatura"))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3EEM</t>
        </is>
      </c>
      <c r="B142" s="3">
        <f>IFERROR(INDEX(_xlfn._xlws.FILTER(CONFIG_ASIGNATURAS!$B$2:$B$27,CONFIG_ASIGNATURAS!$G$2:$G$27="Sí"),27),"")</f>
      </c>
      <c r="C142" s="3">
        <f>IF(B142="","",IFERROR(IF(VLOOKUP(B142,CONFIG_ASIGNATURAS!$B$2:$F$27,5,FALSE())="Sí","Especialidad","Asignatura"),"Asignatura"))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3EEM</t>
        </is>
      </c>
      <c r="B143" s="3">
        <f>IFERROR(INDEX(_xlfn._xlws.FILTER(CONFIG_ASIGNATURAS!$B$2:$B$27,CONFIG_ASIGNATURAS!$G$2:$G$27="Sí"),28),"")</f>
      </c>
      <c r="C143" s="3">
        <f>IF(B143="","",IFERROR(IF(VLOOKUP(B143,CONFIG_ASIGNATURAS!$B$2:$F$27,5,FALSE())="Sí","Especialidad","Asignatura"),"Asignatura"))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3EEM</t>
        </is>
      </c>
      <c r="B144" s="3">
        <f>IFERROR(INDEX(_xlfn._xlws.FILTER(CONFIG_ASIGNATURAS!$B$2:$B$27,CONFIG_ASIGNATURAS!$G$2:$G$27="Sí"),29),"")</f>
      </c>
      <c r="C144" s="3">
        <f>IF(B144="","",IFERROR(IF(VLOOKUP(B144,CONFIG_ASIGNATURAS!$B$2:$F$27,5,FALSE())="Sí","Especialidad","Asignatura"),"Asignatura"))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3EEM</t>
        </is>
      </c>
      <c r="B145" s="3">
        <f>IFERROR(INDEX(_xlfn._xlws.FILTER(CONFIG_ASIGNATURAS!$B$2:$B$27,CONFIG_ASIGNATURAS!$G$2:$G$27="Sí"),30),"")</f>
      </c>
      <c r="C145" s="3">
        <f>IF(B145="","",IFERROR(IF(VLOOKUP(B145,CONFIG_ASIGNATURAS!$B$2:$F$27,5,FALSE())="Sí","Especialidad","Asignatura"),"Asignatura"))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3EEM</t>
        </is>
      </c>
      <c r="B146" s="3">
        <f>IFERROR(INDEX(_xlfn._xlws.FILTER(CONFIG_ASIGNATURAS!$B$2:$B$27,CONFIG_ASIGNATURAS!$G$2:$G$27="Sí"),31),"")</f>
      </c>
      <c r="C146" s="3">
        <f>IF(B146="","",IFERROR(IF(VLOOKUP(B146,CONFIG_ASIGNATURAS!$B$2:$F$27,5,FALSE())="Sí","Especialidad","Asignatura"),"Asignatura"))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3EEM</t>
        </is>
      </c>
      <c r="B147" s="3">
        <f>IFERROR(INDEX(_xlfn._xlws.FILTER(CONFIG_ASIGNATURAS!$B$2:$B$27,CONFIG_ASIGNATURAS!$G$2:$G$27="Sí"),32),"")</f>
      </c>
      <c r="C147" s="3">
        <f>IF(B147="","",IFERROR(IF(VLOOKUP(B147,CONFIG_ASIGNATURAS!$B$2:$F$27,5,FALSE())="Sí","Especialidad","Asignatura"),"Asignatura"))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3EEM</t>
        </is>
      </c>
      <c r="B148" s="3">
        <f>IFERROR(INDEX(_xlfn._xlws.FILTER(CONFIG_ASIGNATURAS!$B$2:$B$27,CONFIG_ASIGNATURAS!$G$2:$G$27="Sí"),33),"")</f>
      </c>
      <c r="C148" s="3">
        <f>IF(B148="","",IFERROR(IF(VLOOKUP(B148,CONFIG_ASIGNATURAS!$B$2:$F$27,5,FALSE())="Sí","Especialidad","Asignatura"),"Asignatura"))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3EEM</t>
        </is>
      </c>
      <c r="B149" s="3">
        <f>IFERROR(INDEX(_xlfn._xlws.FILTER(CONFIG_ASIGNATURAS!$B$2:$B$27,CONFIG_ASIGNATURAS!$G$2:$G$27="Sí"),34),"")</f>
      </c>
      <c r="C149" s="3">
        <f>IF(B149="","",IFERROR(IF(VLOOKUP(B149,CONFIG_ASIGNATURAS!$B$2:$F$27,5,FALSE())="Sí","Especialidad","Asignatura"),"Asignatura"))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4EEM</t>
        </is>
      </c>
      <c r="B150" s="3" t="inlineStr">
        <is>
          <t xml:space="preserve">Total</t>
        </is>
      </c>
      <c r="C150" s="3" t="inlineStr">
        <is>
          <t xml:space="preserve">Total</t>
        </is>
      </c>
      <c r="D150">
        <f>COUNTIFS(DATOS!G:G,CONFIG_METADATA!$B$4,DATOS!D:D,A150)</f>
        <v>0</v>
      </c>
      <c r="E150" s="14" t="str">
        <f>IFERROR(AVERAGEIFS(DATOS!K:K,DATOS!G:G,CONFIG_METADATA!$B$4,DATOS!D:D,A150),"—")</f>
        <v>—</v>
      </c>
      <c r="F150" s="14" t="str" cm="1">
        <f t="array" ref="F150">IFERROR(_xlfn.STDEV.P(IF((DATOS!$G$2:$G$20000=CONFIG_METADATA!$B$4)*(DATOS!$D$2:$D$20000=A150),DATOS!$K$2:$K$20000)),"—")</f>
        <v>—</v>
      </c>
      <c r="G150" t="str" cm="1">
        <f t="array" ref="G150">IFERROR(_xlfn.MODE.SNGL(IF((DATOS!$G$2:$G$20000=CONFIG_METADATA!$B$4)*(DATOS!$D$2:$D$20000=A150),DATOS!$K$2:$K$20000)),"—")</f>
        <v>—</v>
      </c>
      <c r="H150" s="15" t="str">
        <f>IFERROR(COUNTIFS(DATOS!$G$2:$G$20000,CONFIG_METADATA!$B$4,DATOS!$D$2:$D$20000,A150,DATOS!$L$2:$L$20000,"S")/COUNTIFS(DATOS!$G$2:$G$20000,CONFIG_METADATA!$B$4,DATOS!$D$2:$D$20000,A150),"—")</f>
        <v>—</v>
      </c>
      <c r="I150" s="15" t="str">
        <f>IFERROR(COUNTIFS(DATOS!$G$2:$G$20000,CONFIG_METADATA!$B$4,DATOS!$D$2:$D$20000,A150,DATOS!$L$2:$L$20000,"N")/COUNTIFS(DATOS!$G$2:$G$20000,CONFIG_METADATA!$B$4,DATOS!$D$2:$D$20000,A150),"—")</f>
        <v>—</v>
      </c>
      <c r="J150" t="str" cm="1">
        <f t="array" ref="J150">IFERROR(_xlfn.MODE.SNGL(IF((DATOS!$G$2:$G$20000=CONFIG_METADATA!$B$4)*(DATOS!$D$2:$D$20000=A150)*(DATOS!$L$2:$L$20000="S"),DATOS!$K$2:$K$20000)),"—")</f>
        <v>—</v>
      </c>
      <c r="K150" t="str" cm="1">
        <f t="array" ref="K150">IFERROR(_xlfn.MODE.SNGL(IF((DATOS!$G$2:$G$20000=CONFIG_METADATA!$B$4)*(DATOS!$D$2:$D$20000=A150)*(DATOS!$L$2:$L$20000="N"),DATOS!$K$2:$K$20000)),"—")</f>
        <v>—</v>
      </c>
      <c r="L150" cm="1">
        <f t="array" ref="L150">SUMPRODUCT((DATOS!$G$2:$G$20000=CONFIG_METADATA!$B$4)*(DATOS!$D$2:$D$20000=A150)*(DATOS!$K$2:$K$20000=1))</f>
        <v>0</v>
      </c>
      <c r="M150" cm="1">
        <f t="array" ref="M150">SUMPRODUCT((DATOS!$G$2:$G$20000=CONFIG_METADATA!$B$4)*(DATOS!$D$2:$D$20000=A150)*(DATOS!$K$2:$K$20000=2))</f>
        <v>0</v>
      </c>
      <c r="N150" cm="1">
        <f t="array" ref="N150">SUMPRODUCT((DATOS!$G$2:$G$20000=CONFIG_METADATA!$B$4)*(DATOS!$D$2:$D$20000=A150)*(DATOS!$K$2:$K$20000=3))</f>
        <v>0</v>
      </c>
      <c r="O150" cm="1">
        <f t="array" ref="O150">SUMPRODUCT((DATOS!$G$2:$G$20000=CONFIG_METADATA!$B$4)*(DATOS!$D$2:$D$20000=A150)*(DATOS!$K$2:$K$20000=4))</f>
        <v>0</v>
      </c>
      <c r="P150" cm="1">
        <f t="array" ref="P150">SUMPRODUCT((DATOS!$G$2:$G$20000=CONFIG_METADATA!$B$4)*(DATOS!$D$2:$D$20000=A150)*(DATOS!$K$2:$K$20000=5))</f>
        <v>0</v>
      </c>
      <c r="Q150" cm="1">
        <f t="array" ref="Q150">SUMPRODUCT((DATOS!$G$2:$G$20000=CONFIG_METADATA!$B$4)*(DATOS!$D$2:$D$20000=A150)*(DATOS!$K$2:$K$20000=6))</f>
        <v>0</v>
      </c>
      <c r="R150" cm="1">
        <f t="array" ref="R150">SUMPRODUCT((DATOS!$G$2:$G$20000=CONFIG_METADATA!$B$4)*(DATOS!$D$2:$D$20000=A150)*(DATOS!$K$2:$K$20000=7))</f>
        <v>0</v>
      </c>
      <c r="S150" cm="1">
        <f t="array" ref="S150">SUMPRODUCT((DATOS!$G$2:$G$20000=CONFIG_METADATA!$B$4)*(DATOS!$D$2:$D$20000=A150)*(DATOS!$K$2:$K$20000=8))</f>
        <v>0</v>
      </c>
      <c r="T150" cm="1">
        <f t="array" ref="T150">SUMPRODUCT((DATOS!$G$2:$G$20000=CONFIG_METADATA!$B$4)*(DATOS!$D$2:$D$20000=A150)*(DATOS!$K$2:$K$20000=9))</f>
        <v>0</v>
      </c>
      <c r="U150" cm="1">
        <f t="array" ref="U150">SUMPRODUCT((DATOS!$G$2:$G$20000=CONFIG_METADATA!$B$4)*(DATOS!$D$2:$D$20000=A150)*(DATOS!$K$2:$K$20000=10))</f>
        <v>0</v>
      </c>
    </row>
    <row r="151" spans="1:22">
      <c r="A151" s="3" t="inlineStr">
        <is>
          <t xml:space="preserve">4EEM</t>
        </is>
      </c>
      <c r="B151" s="3" t="inlineStr">
        <is>
          <t xml:space="preserve">Total Especialidad</t>
        </is>
      </c>
      <c r="C151" s="3" t="inlineStr">
        <is>
          <t xml:space="preserve">TotalEsp</t>
        </is>
      </c>
      <c r="D151">
        <f>COUNTIFS(DATOS!G:G,CONFIG_METADATA!$B$4,DATOS!D:D,A151,DATOS!I:I,"&lt;&gt;Lenguaje Musical",DATOS!I:I,"&lt;&gt;Coro",DATOS!I:I,"&lt;&gt;Conjunto")</f>
        <v>0</v>
      </c>
      <c r="E151" s="14" t="str">
        <f>IFERROR(AVERAGEIFS(DATOS!K:K,DATOS!G:G,CONFIG_METADATA!$B$4,DATOS!D:D,A151,DATOS!I:I,"&lt;&gt;Lenguaje Musical",DATOS!I:I,"&lt;&gt;Coro",DATOS!I:I,"&lt;&gt;Conjunto"),"—")</f>
        <v>—</v>
      </c>
      <c r="F151" s="14" t="str" cm="1">
        <f t="array" ref="F151">IFERROR(_xlfn.STDEV.P(IF((DATOS!$G$2:$G$20000=CONFIG_METADATA!$B$4)*(DATOS!$D$2:$D$20000=A151)*(DATOS!$I$2:$I$20000&lt;&gt;"Lenguaje Musical")*(DATOS!$I$2:$I$20000&lt;&gt;"Coro")*(DATOS!$I$2:$I$20000&lt;&gt;"Conjunto"),DATOS!$K$2:$K$20000)),"—")</f>
        <v>—</v>
      </c>
      <c r="G151" t="str" cm="1">
        <f t="array" ref="G151">IFERROR(_xlfn.MODE.SNGL(IF((DATOS!$G$2:$G$20000=CONFIG_METADATA!$B$4)*(DATOS!$D$2:$D$20000=A151)*(DATOS!$I$2:$I$20000&lt;&gt;"Lenguaje Musical")*(DATOS!$I$2:$I$20000&lt;&gt;"Coro")*(DATOS!$I$2:$I$20000&lt;&gt;"Conjunto"),DATOS!$K$2:$K$20000)),"—")</f>
        <v>—</v>
      </c>
      <c r="H151" s="15" t="str" cm="1">
        <f t="array" ref="H151">IFERROR(SUMPRODUCT((DATOS!$G$2:$G$20000=CONFIG_METADATA!$B$4)*(DATOS!$D$2:$D$20000=A151)*(DATOS!$I$2:$I$20000&lt;&gt;"Lenguaje Musical")*(DATOS!$I$2:$I$20000&lt;&gt;"Coro")*(DATOS!$I$2:$I$20000&lt;&gt;"Conjunto")*(DATOS!$L$2:$L$20000="S"))/SUMPRODUCT((DATOS!$G$2:$G$20000=CONFIG_METADATA!$B$4)*(DATOS!$D$2:$D$20000=A151)*(DATOS!$I$2:$I$20000&lt;&gt;"Lenguaje Musical")*(DATOS!$I$2:$I$20000&lt;&gt;"Coro")*(DATOS!$I$2:$I$20000&lt;&gt;"Conjunto")*1),"—")</f>
        <v>—</v>
      </c>
      <c r="I151" s="15" t="str" cm="1">
        <f t="array" ref="I151">IFERROR(SUMPRODUCT((DATOS!$G$2:$G$20000=CONFIG_METADATA!$B$4)*(DATOS!$D$2:$D$20000=A151)*(DATOS!$I$2:$I$20000&lt;&gt;"Lenguaje Musical")*(DATOS!$I$2:$I$20000&lt;&gt;"Coro")*(DATOS!$I$2:$I$20000&lt;&gt;"Conjunto")*(DATOS!$L$2:$L$20000="N"))/SUMPRODUCT((DATOS!$G$2:$G$20000=CONFIG_METADATA!$B$4)*(DATOS!$D$2:$D$20000=A151)*(DATOS!$I$2:$I$20000&lt;&gt;"Lenguaje Musical")*(DATOS!$I$2:$I$20000&lt;&gt;"Coro")*(DATOS!$I$2:$I$20000&lt;&gt;"Conjunto")*1),"—")</f>
        <v>—</v>
      </c>
      <c r="J151" t="str" cm="1">
        <f t="array" ref="J151">IFERROR(_xlfn.MODE.SNGL(IF((DATOS!$G$2:$G$20000=CONFIG_METADATA!$B$4)*(DATOS!$D$2:$D$20000=A151)*(DATOS!$I$2:$I$20000&lt;&gt;"Lenguaje Musical")*(DATOS!$I$2:$I$20000&lt;&gt;"Coro")*(DATOS!$I$2:$I$20000&lt;&gt;"Conjunto")*(DATOS!$L$2:$L$20000="S"),DATOS!$K$2:$K$20000)),"—")</f>
        <v>—</v>
      </c>
      <c r="K151" t="str" cm="1">
        <f t="array" ref="K151">IFERROR(_xlfn.MODE.SNGL(IF((DATOS!$G$2:$G$20000=CONFIG_METADATA!$B$4)*(DATOS!$D$2:$D$20000=A151)*(DATOS!$I$2:$I$20000&lt;&gt;"Lenguaje Musical")*(DATOS!$I$2:$I$20000&lt;&gt;"Coro")*(DATOS!$I$2:$I$20000&lt;&gt;"Conjunto")*(DATOS!$L$2:$L$20000="N"),DATOS!$K$2:$K$20000)),"—")</f>
        <v>—</v>
      </c>
      <c r="L151" cm="1">
        <f t="array" ref="L151">SUMPRODUCT((DATOS!$G$2:$G$20000=CONFIG_METADATA!$B$4)*(DATOS!$D$2:$D$20000=A151)*(DATOS!$I$2:$I$20000&lt;&gt;"Lenguaje Musical")*(DATOS!$I$2:$I$20000&lt;&gt;"Coro")*(DATOS!$I$2:$I$20000&lt;&gt;"Conjunto")*(DATOS!$K$2:$K$20000=1))</f>
        <v>0</v>
      </c>
      <c r="M151" cm="1">
        <f t="array" ref="M151">SUMPRODUCT((DATOS!$G$2:$G$20000=CONFIG_METADATA!$B$4)*(DATOS!$D$2:$D$20000=A151)*(DATOS!$I$2:$I$20000&lt;&gt;"Lenguaje Musical")*(DATOS!$I$2:$I$20000&lt;&gt;"Coro")*(DATOS!$I$2:$I$20000&lt;&gt;"Conjunto")*(DATOS!$K$2:$K$20000=2))</f>
        <v>0</v>
      </c>
      <c r="N151" cm="1">
        <f t="array" ref="N151">SUMPRODUCT((DATOS!$G$2:$G$20000=CONFIG_METADATA!$B$4)*(DATOS!$D$2:$D$20000=A151)*(DATOS!$I$2:$I$20000&lt;&gt;"Lenguaje Musical")*(DATOS!$I$2:$I$20000&lt;&gt;"Coro")*(DATOS!$I$2:$I$20000&lt;&gt;"Conjunto")*(DATOS!$K$2:$K$20000=3))</f>
        <v>0</v>
      </c>
      <c r="O151" cm="1">
        <f t="array" ref="O151">SUMPRODUCT((DATOS!$G$2:$G$20000=CONFIG_METADATA!$B$4)*(DATOS!$D$2:$D$20000=A151)*(DATOS!$I$2:$I$20000&lt;&gt;"Lenguaje Musical")*(DATOS!$I$2:$I$20000&lt;&gt;"Coro")*(DATOS!$I$2:$I$20000&lt;&gt;"Conjunto")*(DATOS!$K$2:$K$20000=4))</f>
        <v>0</v>
      </c>
      <c r="P151" cm="1">
        <f t="array" ref="P151">SUMPRODUCT((DATOS!$G$2:$G$20000=CONFIG_METADATA!$B$4)*(DATOS!$D$2:$D$20000=A151)*(DATOS!$I$2:$I$20000&lt;&gt;"Lenguaje Musical")*(DATOS!$I$2:$I$20000&lt;&gt;"Coro")*(DATOS!$I$2:$I$20000&lt;&gt;"Conjunto")*(DATOS!$K$2:$K$20000=5))</f>
        <v>0</v>
      </c>
      <c r="Q151" cm="1">
        <f t="array" ref="Q151">SUMPRODUCT((DATOS!$G$2:$G$20000=CONFIG_METADATA!$B$4)*(DATOS!$D$2:$D$20000=A151)*(DATOS!$I$2:$I$20000&lt;&gt;"Lenguaje Musical")*(DATOS!$I$2:$I$20000&lt;&gt;"Coro")*(DATOS!$I$2:$I$20000&lt;&gt;"Conjunto")*(DATOS!$K$2:$K$20000=6))</f>
        <v>0</v>
      </c>
      <c r="R151" cm="1">
        <f t="array" ref="R151">SUMPRODUCT((DATOS!$G$2:$G$20000=CONFIG_METADATA!$B$4)*(DATOS!$D$2:$D$20000=A151)*(DATOS!$I$2:$I$20000&lt;&gt;"Lenguaje Musical")*(DATOS!$I$2:$I$20000&lt;&gt;"Coro")*(DATOS!$I$2:$I$20000&lt;&gt;"Conjunto")*(DATOS!$K$2:$K$20000=7))</f>
        <v>0</v>
      </c>
      <c r="S151" cm="1">
        <f t="array" ref="S151">SUMPRODUCT((DATOS!$G$2:$G$20000=CONFIG_METADATA!$B$4)*(DATOS!$D$2:$D$20000=A151)*(DATOS!$I$2:$I$20000&lt;&gt;"Lenguaje Musical")*(DATOS!$I$2:$I$20000&lt;&gt;"Coro")*(DATOS!$I$2:$I$20000&lt;&gt;"Conjunto")*(DATOS!$K$2:$K$20000=8))</f>
        <v>0</v>
      </c>
      <c r="T151" cm="1">
        <f t="array" ref="T151">SUMPRODUCT((DATOS!$G$2:$G$20000=CONFIG_METADATA!$B$4)*(DATOS!$D$2:$D$20000=A151)*(DATOS!$I$2:$I$20000&lt;&gt;"Lenguaje Musical")*(DATOS!$I$2:$I$20000&lt;&gt;"Coro")*(DATOS!$I$2:$I$20000&lt;&gt;"Conjunto")*(DATOS!$K$2:$K$20000=9))</f>
        <v>0</v>
      </c>
      <c r="U151" cm="1">
        <f t="array" ref="U151">SUMPRODUCT((DATOS!$G$2:$G$20000=CONFIG_METADATA!$B$4)*(DATOS!$D$2:$D$20000=A151)*(DATOS!$I$2:$I$20000&lt;&gt;"Lenguaje Musical")*(DATOS!$I$2:$I$20000&lt;&gt;"Coro")*(DATOS!$I$2:$I$20000&lt;&gt;"Conjunto")*(DATOS!$K$2:$K$20000=10))</f>
        <v>0</v>
      </c>
    </row>
    <row r="152" spans="1:22">
      <c r="A152" s="3" t="inlineStr">
        <is>
          <t xml:space="preserve">4EEM</t>
        </is>
      </c>
      <c r="B152" s="3" t="inlineStr">
        <is>
          <t xml:space="preserve">Total no Especialidad</t>
        </is>
      </c>
      <c r="C152" s="3" t="inlineStr">
        <is>
          <t xml:space="preserve">TotalNoEsp</t>
        </is>
      </c>
      <c r="D152">
        <f>SUMPRODUCT((DATOS!G:G=CONFIG_METADATA!$B$4)*(DATOS!D:D=A152)*((DATOS!I:I="Lenguaje Musical")+(DATOS!I:I="Coro")+(DATOS!I:I="Conjunto")))</f>
        <v>0</v>
      </c>
      <c r="E152" s="14" t="str" cm="1">
        <f t="array" ref="E152">IFERROR(AVERAGE(IF((DATOS!$G$2:$G$20000=CONFIG_METADATA!$B$4)*(DATOS!$D$2:$D$20000=A152)*((DATOS!$I$2:$I$20000="Lenguaje Musical")+(DATOS!$I$2:$I$20000="Coro")+(DATOS!$I$2:$I$20000="Conjunto")),DATOS!$K$2:$K$20000)),"—")</f>
        <v>—</v>
      </c>
      <c r="F152" s="14" t="str" cm="1">
        <f t="array" ref="F152">IFERROR(_xlfn.STDEV.P(IF((DATOS!$G$2:$G$20000=CONFIG_METADATA!$B$4)*(DATOS!$D$2:$D$20000=A152)*((DATOS!$I$2:$I$20000="Lenguaje Musical")+(DATOS!$I$2:$I$20000="Coro")+(DATOS!$I$2:$I$20000="Conjunto")),DATOS!$K$2:$K$20000)),"—")</f>
        <v>—</v>
      </c>
      <c r="G152" t="str" cm="1">
        <f t="array" ref="G152">IFERROR(_xlfn.MODE.SNGL(IF((DATOS!$G$2:$G$20000=CONFIG_METADATA!$B$4)*(DATOS!$D$2:$D$20000=A152)*((DATOS!$I$2:$I$20000="Lenguaje Musical")+(DATOS!$I$2:$I$20000="Coro")+(DATOS!$I$2:$I$20000="Conjunto")),DATOS!$K$2:$K$20000)),"—")</f>
        <v>—</v>
      </c>
      <c r="H152" s="15" t="str" cm="1">
        <f t="array" ref="H152">IFERROR(SUMPRODUCT((DATOS!$G$2:$G$20000=CONFIG_METADATA!$B$4)*(DATOS!$D$2:$D$20000=A152)*((DATOS!$I$2:$I$20000="Lenguaje Musical")+(DATOS!$I$2:$I$20000="Coro")+(DATOS!$I$2:$I$20000="Conjunto"))*(DATOS!$L$2:$L$20000="S"))/SUMPRODUCT((DATOS!$G$2:$G$20000=CONFIG_METADATA!$B$4)*(DATOS!$D$2:$D$20000=A152)*((DATOS!$I$2:$I$20000="Lenguaje Musical")+(DATOS!$I$2:$I$20000="Coro")+(DATOS!$I$2:$I$20000="Conjunto"))*1),"—")</f>
        <v>—</v>
      </c>
      <c r="I152" s="15" t="str" cm="1">
        <f t="array" ref="I152">IFERROR(SUMPRODUCT((DATOS!$G$2:$G$20000=CONFIG_METADATA!$B$4)*(DATOS!$D$2:$D$20000=A152)*((DATOS!$I$2:$I$20000="Lenguaje Musical")+(DATOS!$I$2:$I$20000="Coro")+(DATOS!$I$2:$I$20000="Conjunto"))*(DATOS!$L$2:$L$20000="N"))/SUMPRODUCT((DATOS!$G$2:$G$20000=CONFIG_METADATA!$B$4)*(DATOS!$D$2:$D$20000=A152)*((DATOS!$I$2:$I$20000="Lenguaje Musical")+(DATOS!$I$2:$I$20000="Coro")+(DATOS!$I$2:$I$20000="Conjunto"))*1),"—")</f>
        <v>—</v>
      </c>
      <c r="J152" t="str" cm="1">
        <f t="array" ref="J152">IFERROR(_xlfn.MODE.SNGL(IF((DATOS!$G$2:$G$20000=CONFIG_METADATA!$B$4)*(DATOS!$D$2:$D$20000=A152)*((DATOS!$I$2:$I$20000="Lenguaje Musical")+(DATOS!$I$2:$I$20000="Coro")+(DATOS!$I$2:$I$20000="Conjunto"))*(DATOS!$L$2:$L$20000="S"),DATOS!$K$2:$K$20000)),"—")</f>
        <v>—</v>
      </c>
      <c r="K152" t="str" cm="1">
        <f t="array" ref="K152">IFERROR(_xlfn.MODE.SNGL(IF((DATOS!$G$2:$G$20000=CONFIG_METADATA!$B$4)*(DATOS!$D$2:$D$20000=A152)*((DATOS!$I$2:$I$20000="Lenguaje Musical")+(DATOS!$I$2:$I$20000="Coro")+(DATOS!$I$2:$I$20000="Conjunto"))*(DATOS!$L$2:$L$20000="N"),DATOS!$K$2:$K$20000)),"—")</f>
        <v>—</v>
      </c>
      <c r="L152" cm="1">
        <f t="array" ref="L152">SUMPRODUCT((DATOS!$G$2:$G$20000=CONFIG_METADATA!$B$4)*(DATOS!$D$2:$D$20000=A152)*((DATOS!$I$2:$I$20000="Lenguaje Musical")+(DATOS!$I$2:$I$20000="Coro")+(DATOS!$I$2:$I$20000="Conjunto"))*(DATOS!$K$2:$K$20000=1))</f>
        <v>0</v>
      </c>
      <c r="M152" cm="1">
        <f t="array" ref="M152">SUMPRODUCT((DATOS!$G$2:$G$20000=CONFIG_METADATA!$B$4)*(DATOS!$D$2:$D$20000=A152)*((DATOS!$I$2:$I$20000="Lenguaje Musical")+(DATOS!$I$2:$I$20000="Coro")+(DATOS!$I$2:$I$20000="Conjunto"))*(DATOS!$K$2:$K$20000=2))</f>
        <v>0</v>
      </c>
      <c r="N152" cm="1">
        <f t="array" ref="N152">SUMPRODUCT((DATOS!$G$2:$G$20000=CONFIG_METADATA!$B$4)*(DATOS!$D$2:$D$20000=A152)*((DATOS!$I$2:$I$20000="Lenguaje Musical")+(DATOS!$I$2:$I$20000="Coro")+(DATOS!$I$2:$I$20000="Conjunto"))*(DATOS!$K$2:$K$20000=3))</f>
        <v>0</v>
      </c>
      <c r="O152" cm="1">
        <f t="array" ref="O152">SUMPRODUCT((DATOS!$G$2:$G$20000=CONFIG_METADATA!$B$4)*(DATOS!$D$2:$D$20000=A152)*((DATOS!$I$2:$I$20000="Lenguaje Musical")+(DATOS!$I$2:$I$20000="Coro")+(DATOS!$I$2:$I$20000="Conjunto"))*(DATOS!$K$2:$K$20000=4))</f>
        <v>0</v>
      </c>
      <c r="P152" cm="1">
        <f t="array" ref="P152">SUMPRODUCT((DATOS!$G$2:$G$20000=CONFIG_METADATA!$B$4)*(DATOS!$D$2:$D$20000=A152)*((DATOS!$I$2:$I$20000="Lenguaje Musical")+(DATOS!$I$2:$I$20000="Coro")+(DATOS!$I$2:$I$20000="Conjunto"))*(DATOS!$K$2:$K$20000=5))</f>
        <v>0</v>
      </c>
      <c r="Q152" cm="1">
        <f t="array" ref="Q152">SUMPRODUCT((DATOS!$G$2:$G$20000=CONFIG_METADATA!$B$4)*(DATOS!$D$2:$D$20000=A152)*((DATOS!$I$2:$I$20000="Lenguaje Musical")+(DATOS!$I$2:$I$20000="Coro")+(DATOS!$I$2:$I$20000="Conjunto"))*(DATOS!$K$2:$K$20000=6))</f>
        <v>0</v>
      </c>
      <c r="R152" cm="1">
        <f t="array" ref="R152">SUMPRODUCT((DATOS!$G$2:$G$20000=CONFIG_METADATA!$B$4)*(DATOS!$D$2:$D$20000=A152)*((DATOS!$I$2:$I$20000="Lenguaje Musical")+(DATOS!$I$2:$I$20000="Coro")+(DATOS!$I$2:$I$20000="Conjunto"))*(DATOS!$K$2:$K$20000=7))</f>
        <v>0</v>
      </c>
      <c r="S152" cm="1">
        <f t="array" ref="S152">SUMPRODUCT((DATOS!$G$2:$G$20000=CONFIG_METADATA!$B$4)*(DATOS!$D$2:$D$20000=A152)*((DATOS!$I$2:$I$20000="Lenguaje Musical")+(DATOS!$I$2:$I$20000="Coro")+(DATOS!$I$2:$I$20000="Conjunto"))*(DATOS!$K$2:$K$20000=8))</f>
        <v>0</v>
      </c>
      <c r="T152" cm="1">
        <f t="array" ref="T152">SUMPRODUCT((DATOS!$G$2:$G$20000=CONFIG_METADATA!$B$4)*(DATOS!$D$2:$D$20000=A152)*((DATOS!$I$2:$I$20000="Lenguaje Musical")+(DATOS!$I$2:$I$20000="Coro")+(DATOS!$I$2:$I$20000="Conjunto"))*(DATOS!$K$2:$K$20000=9))</f>
        <v>0</v>
      </c>
      <c r="U152" cm="1">
        <f t="array" ref="U152">SUMPRODUCT((DATOS!$G$2:$G$20000=CONFIG_METADATA!$B$4)*(DATOS!$D$2:$D$20000=A152)*((DATOS!$I$2:$I$20000="Lenguaje Musical")+(DATOS!$I$2:$I$20000="Coro")+(DATOS!$I$2:$I$20000="Conjunto"))*(DATOS!$K$2:$K$20000=10))</f>
        <v>0</v>
      </c>
    </row>
    <row r="153" spans="1:22">
      <c r="A153" s="3" t="inlineStr">
        <is>
          <t xml:space="preserve">4EEM</t>
        </is>
      </c>
      <c r="B153" s="3">
        <f>IFERROR(INDEX(_xlfn._xlws.FILTER(CONFIG_ASIGNATURAS!$B$2:$B$27,CONFIG_ASIGNATURAS!$G$2:$G$27="Sí"),1),"")</f>
      </c>
      <c r="C153" s="3">
        <f>IF(B153="","",IFERROR(IF(VLOOKUP(B153,CONFIG_ASIGNATURAS!$B$2:$F$27,5,FALSE())="Sí","Especialidad","Asignatura"),"Asignatura"))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4EEM</t>
        </is>
      </c>
      <c r="B154" s="3">
        <f>IFERROR(INDEX(_xlfn._xlws.FILTER(CONFIG_ASIGNATURAS!$B$2:$B$27,CONFIG_ASIGNATURAS!$G$2:$G$27="Sí"),2),"")</f>
      </c>
      <c r="C154" s="3">
        <f>IF(B154="","",IFERROR(IF(VLOOKUP(B154,CONFIG_ASIGNATURAS!$B$2:$F$27,5,FALSE())="Sí","Especialidad","Asignatura"),"Asignatura"))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4EEM</t>
        </is>
      </c>
      <c r="B155" s="3">
        <f>IFERROR(INDEX(_xlfn._xlws.FILTER(CONFIG_ASIGNATURAS!$B$2:$B$27,CONFIG_ASIGNATURAS!$G$2:$G$27="Sí"),3),"")</f>
      </c>
      <c r="C155" s="3">
        <f>IF(B155="","",IFERROR(IF(VLOOKUP(B155,CONFIG_ASIGNATURAS!$B$2:$F$27,5,FALSE())="Sí","Especialidad","Asignatura"),"Asignatura"))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4EEM</t>
        </is>
      </c>
      <c r="B156" s="3">
        <f>IFERROR(INDEX(_xlfn._xlws.FILTER(CONFIG_ASIGNATURAS!$B$2:$B$27,CONFIG_ASIGNATURAS!$G$2:$G$27="Sí"),4),"")</f>
      </c>
      <c r="C156" s="3">
        <f>IF(B156="","",IFERROR(IF(VLOOKUP(B156,CONFIG_ASIGNATURAS!$B$2:$F$27,5,FALSE())="Sí","Especialidad","Asignatura"),"Asignatura"))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4EEM</t>
        </is>
      </c>
      <c r="B157" s="3">
        <f>IFERROR(INDEX(_xlfn._xlws.FILTER(CONFIG_ASIGNATURAS!$B$2:$B$27,CONFIG_ASIGNATURAS!$G$2:$G$27="Sí"),5),"")</f>
      </c>
      <c r="C157" s="3">
        <f>IF(B157="","",IFERROR(IF(VLOOKUP(B157,CONFIG_ASIGNATURAS!$B$2:$F$27,5,FALSE())="Sí","Especialidad","Asignatura"),"Asignatura"))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4EEM</t>
        </is>
      </c>
      <c r="B158" s="3">
        <f>IFERROR(INDEX(_xlfn._xlws.FILTER(CONFIG_ASIGNATURAS!$B$2:$B$27,CONFIG_ASIGNATURAS!$G$2:$G$27="Sí"),6),"")</f>
      </c>
      <c r="C158" s="3">
        <f>IF(B158="","",IFERROR(IF(VLOOKUP(B158,CONFIG_ASIGNATURAS!$B$2:$F$27,5,FALSE())="Sí","Especialidad","Asignatura"),"Asignatura"))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4EEM</t>
        </is>
      </c>
      <c r="B159" s="3">
        <f>IFERROR(INDEX(_xlfn._xlws.FILTER(CONFIG_ASIGNATURAS!$B$2:$B$27,CONFIG_ASIGNATURAS!$G$2:$G$27="Sí"),7),"")</f>
      </c>
      <c r="C159" s="3">
        <f>IF(B159="","",IFERROR(IF(VLOOKUP(B159,CONFIG_ASIGNATURAS!$B$2:$F$27,5,FALSE())="Sí","Especialidad","Asignatura"),"Asignatura"))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4EEM</t>
        </is>
      </c>
      <c r="B160" s="3">
        <f>IFERROR(INDEX(_xlfn._xlws.FILTER(CONFIG_ASIGNATURAS!$B$2:$B$27,CONFIG_ASIGNATURAS!$G$2:$G$27="Sí"),8),"")</f>
      </c>
      <c r="C160" s="3">
        <f>IF(B160="","",IFERROR(IF(VLOOKUP(B160,CONFIG_ASIGNATURAS!$B$2:$F$27,5,FALSE())="Sí","Especialidad","Asignatura"),"Asignatura"))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4EEM</t>
        </is>
      </c>
      <c r="B161" s="3">
        <f>IFERROR(INDEX(_xlfn._xlws.FILTER(CONFIG_ASIGNATURAS!$B$2:$B$27,CONFIG_ASIGNATURAS!$G$2:$G$27="Sí"),9),"")</f>
      </c>
      <c r="C161" s="3">
        <f>IF(B161="","",IFERROR(IF(VLOOKUP(B161,CONFIG_ASIGNATURAS!$B$2:$F$27,5,FALSE())="Sí","Especialidad","Asignatura"),"Asignatura"))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4EEM</t>
        </is>
      </c>
      <c r="B162" s="3">
        <f>IFERROR(INDEX(_xlfn._xlws.FILTER(CONFIG_ASIGNATURAS!$B$2:$B$27,CONFIG_ASIGNATURAS!$G$2:$G$27="Sí"),10),"")</f>
      </c>
      <c r="C162" s="3">
        <f>IF(B162="","",IFERROR(IF(VLOOKUP(B162,CONFIG_ASIGNATURAS!$B$2:$F$27,5,FALSE())="Sí","Especialidad","Asignatura"),"Asignatura"))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4EEM</t>
        </is>
      </c>
      <c r="B163" s="3">
        <f>IFERROR(INDEX(_xlfn._xlws.FILTER(CONFIG_ASIGNATURAS!$B$2:$B$27,CONFIG_ASIGNATURAS!$G$2:$G$27="Sí"),11),"")</f>
      </c>
      <c r="C163" s="3">
        <f>IF(B163="","",IFERROR(IF(VLOOKUP(B163,CONFIG_ASIGNATURAS!$B$2:$F$27,5,FALSE())="Sí","Especialidad","Asignatura"),"Asignatura"))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4EEM</t>
        </is>
      </c>
      <c r="B164" s="3">
        <f>IFERROR(INDEX(_xlfn._xlws.FILTER(CONFIG_ASIGNATURAS!$B$2:$B$27,CONFIG_ASIGNATURAS!$G$2:$G$27="Sí"),12),"")</f>
      </c>
      <c r="C164" s="3">
        <f>IF(B164="","",IFERROR(IF(VLOOKUP(B164,CONFIG_ASIGNATURAS!$B$2:$F$27,5,FALSE())="Sí","Especialidad","Asignatura"),"Asignatura"))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4EEM</t>
        </is>
      </c>
      <c r="B165" s="3">
        <f>IFERROR(INDEX(_xlfn._xlws.FILTER(CONFIG_ASIGNATURAS!$B$2:$B$27,CONFIG_ASIGNATURAS!$G$2:$G$27="Sí"),13),"")</f>
      </c>
      <c r="C165" s="3">
        <f>IF(B165="","",IFERROR(IF(VLOOKUP(B165,CONFIG_ASIGNATURAS!$B$2:$F$27,5,FALSE())="Sí","Especialidad","Asignatura"),"Asignatura"))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4EEM</t>
        </is>
      </c>
      <c r="B166" s="3">
        <f>IFERROR(INDEX(_xlfn._xlws.FILTER(CONFIG_ASIGNATURAS!$B$2:$B$27,CONFIG_ASIGNATURAS!$G$2:$G$27="Sí"),14),"")</f>
      </c>
      <c r="C166" s="3">
        <f>IF(B166="","",IFERROR(IF(VLOOKUP(B166,CONFIG_ASIGNATURAS!$B$2:$F$27,5,FALSE())="Sí","Especialidad","Asignatura"),"Asignatura"))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4EEM</t>
        </is>
      </c>
      <c r="B167" s="3">
        <f>IFERROR(INDEX(_xlfn._xlws.FILTER(CONFIG_ASIGNATURAS!$B$2:$B$27,CONFIG_ASIGNATURAS!$G$2:$G$27="Sí"),15),"")</f>
      </c>
      <c r="C167" s="3">
        <f>IF(B167="","",IFERROR(IF(VLOOKUP(B167,CONFIG_ASIGNATURAS!$B$2:$F$27,5,FALSE())="Sí","Especialidad","Asignatura"),"Asignatura"))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4EEM</t>
        </is>
      </c>
      <c r="B168" s="3">
        <f>IFERROR(INDEX(_xlfn._xlws.FILTER(CONFIG_ASIGNATURAS!$B$2:$B$27,CONFIG_ASIGNATURAS!$G$2:$G$27="Sí"),16),"")</f>
      </c>
      <c r="C168" s="3">
        <f>IF(B168="","",IFERROR(IF(VLOOKUP(B168,CONFIG_ASIGNATURAS!$B$2:$F$27,5,FALSE())="Sí","Especialidad","Asignatura"),"Asignatura"))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4EEM</t>
        </is>
      </c>
      <c r="B169" s="3">
        <f>IFERROR(INDEX(_xlfn._xlws.FILTER(CONFIG_ASIGNATURAS!$B$2:$B$27,CONFIG_ASIGNATURAS!$G$2:$G$27="Sí"),17),"")</f>
      </c>
      <c r="C169" s="3">
        <f>IF(B169="","",IFERROR(IF(VLOOKUP(B169,CONFIG_ASIGNATURAS!$B$2:$F$27,5,FALSE())="Sí","Especialidad","Asignatura"),"Asignatura"))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4EEM</t>
        </is>
      </c>
      <c r="B170" s="3">
        <f>IFERROR(INDEX(_xlfn._xlws.FILTER(CONFIG_ASIGNATURAS!$B$2:$B$27,CONFIG_ASIGNATURAS!$G$2:$G$27="Sí"),18),"")</f>
      </c>
      <c r="C170" s="3">
        <f>IF(B170="","",IFERROR(IF(VLOOKUP(B170,CONFIG_ASIGNATURAS!$B$2:$F$27,5,FALSE())="Sí","Especialidad","Asignatura"),"Asignatura"))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4EEM</t>
        </is>
      </c>
      <c r="B171" s="3">
        <f>IFERROR(INDEX(_xlfn._xlws.FILTER(CONFIG_ASIGNATURAS!$B$2:$B$27,CONFIG_ASIGNATURAS!$G$2:$G$27="Sí"),19),"")</f>
      </c>
      <c r="C171" s="3">
        <f>IF(B171="","",IFERROR(IF(VLOOKUP(B171,CONFIG_ASIGNATURAS!$B$2:$F$27,5,FALSE())="Sí","Especialidad","Asignatura"),"Asignatura"))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4EEM</t>
        </is>
      </c>
      <c r="B172" s="3">
        <f>IFERROR(INDEX(_xlfn._xlws.FILTER(CONFIG_ASIGNATURAS!$B$2:$B$27,CONFIG_ASIGNATURAS!$G$2:$G$27="Sí"),20),"")</f>
      </c>
      <c r="C172" s="3">
        <f>IF(B172="","",IFERROR(IF(VLOOKUP(B172,CONFIG_ASIGNATURAS!$B$2:$F$27,5,FALSE())="Sí","Especialidad","Asignatura"),"Asignatura"))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4EEM</t>
        </is>
      </c>
      <c r="B173" s="3">
        <f>IFERROR(INDEX(_xlfn._xlws.FILTER(CONFIG_ASIGNATURAS!$B$2:$B$27,CONFIG_ASIGNATURAS!$G$2:$G$27="Sí"),21),"")</f>
      </c>
      <c r="C173" s="3">
        <f>IF(B173="","",IFERROR(IF(VLOOKUP(B173,CONFIG_ASIGNATURAS!$B$2:$F$27,5,FALSE())="Sí","Especialidad","Asignatura"),"Asignatura"))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4EEM</t>
        </is>
      </c>
      <c r="B174" s="3">
        <f>IFERROR(INDEX(_xlfn._xlws.FILTER(CONFIG_ASIGNATURAS!$B$2:$B$27,CONFIG_ASIGNATURAS!$G$2:$G$27="Sí"),22),"")</f>
      </c>
      <c r="C174" s="3">
        <f>IF(B174="","",IFERROR(IF(VLOOKUP(B174,CONFIG_ASIGNATURAS!$B$2:$F$27,5,FALSE())="Sí","Especialidad","Asignatura"),"Asignatura"))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4EEM</t>
        </is>
      </c>
      <c r="B175" s="3">
        <f>IFERROR(INDEX(_xlfn._xlws.FILTER(CONFIG_ASIGNATURAS!$B$2:$B$27,CONFIG_ASIGNATURAS!$G$2:$G$27="Sí"),23),"")</f>
      </c>
      <c r="C175" s="3">
        <f>IF(B175="","",IFERROR(IF(VLOOKUP(B175,CONFIG_ASIGNATURAS!$B$2:$F$27,5,FALSE())="Sí","Especialidad","Asignatura"),"Asignatura"))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4EEM</t>
        </is>
      </c>
      <c r="B176" s="3">
        <f>IFERROR(INDEX(_xlfn._xlws.FILTER(CONFIG_ASIGNATURAS!$B$2:$B$27,CONFIG_ASIGNATURAS!$G$2:$G$27="Sí"),24),"")</f>
      </c>
      <c r="C176" s="3">
        <f>IF(B176="","",IFERROR(IF(VLOOKUP(B176,CONFIG_ASIGNATURAS!$B$2:$F$27,5,FALSE())="Sí","Especialidad","Asignatura"),"Asignatura"))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4EEM</t>
        </is>
      </c>
      <c r="B177" s="3">
        <f>IFERROR(INDEX(_xlfn._xlws.FILTER(CONFIG_ASIGNATURAS!$B$2:$B$27,CONFIG_ASIGNATURAS!$G$2:$G$27="Sí"),25),"")</f>
      </c>
      <c r="C177" s="3">
        <f>IF(B177="","",IFERROR(IF(VLOOKUP(B177,CONFIG_ASIGNATURAS!$B$2:$F$27,5,FALSE())="Sí","Especialidad","Asignatura"),"Asignatura"))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4EEM</t>
        </is>
      </c>
      <c r="B178" s="3">
        <f>IFERROR(INDEX(_xlfn._xlws.FILTER(CONFIG_ASIGNATURAS!$B$2:$B$27,CONFIG_ASIGNATURAS!$G$2:$G$27="Sí"),26),"")</f>
      </c>
      <c r="C178" s="3">
        <f>IF(B178="","",IFERROR(IF(VLOOKUP(B178,CONFIG_ASIGNATURAS!$B$2:$F$27,5,FALSE())="Sí","Especialidad","Asignatura"),"Asignatura"))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4EEM</t>
        </is>
      </c>
      <c r="B179" s="3">
        <f>IFERROR(INDEX(_xlfn._xlws.FILTER(CONFIG_ASIGNATURAS!$B$2:$B$27,CONFIG_ASIGNATURAS!$G$2:$G$27="Sí"),27),"")</f>
      </c>
      <c r="C179" s="3">
        <f>IF(B179="","",IFERROR(IF(VLOOKUP(B179,CONFIG_ASIGNATURAS!$B$2:$F$27,5,FALSE())="Sí","Especialidad","Asignatura"),"Asignatura"))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4EEM</t>
        </is>
      </c>
      <c r="B180" s="3">
        <f>IFERROR(INDEX(_xlfn._xlws.FILTER(CONFIG_ASIGNATURAS!$B$2:$B$27,CONFIG_ASIGNATURAS!$G$2:$G$27="Sí"),28),"")</f>
      </c>
      <c r="C180" s="3">
        <f>IF(B180="","",IFERROR(IF(VLOOKUP(B180,CONFIG_ASIGNATURAS!$B$2:$F$27,5,FALSE())="Sí","Especialidad","Asignatura"),"Asignatura"))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4EEM</t>
        </is>
      </c>
      <c r="B181" s="3">
        <f>IFERROR(INDEX(_xlfn._xlws.FILTER(CONFIG_ASIGNATURAS!$B$2:$B$27,CONFIG_ASIGNATURAS!$G$2:$G$27="Sí"),29),"")</f>
      </c>
      <c r="C181" s="3">
        <f>IF(B181="","",IFERROR(IF(VLOOKUP(B181,CONFIG_ASIGNATURAS!$B$2:$F$27,5,FALSE())="Sí","Especialidad","Asignatura"),"Asignatura"))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4EEM</t>
        </is>
      </c>
      <c r="B182" s="3">
        <f>IFERROR(INDEX(_xlfn._xlws.FILTER(CONFIG_ASIGNATURAS!$B$2:$B$27,CONFIG_ASIGNATURAS!$G$2:$G$27="Sí"),30),"")</f>
      </c>
      <c r="C182" s="3">
        <f>IF(B182="","",IFERROR(IF(VLOOKUP(B182,CONFIG_ASIGNATURAS!$B$2:$F$27,5,FALSE())="Sí","Especialidad","Asignatura"),"Asignatura"))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4EEM</t>
        </is>
      </c>
      <c r="B183" s="3">
        <f>IFERROR(INDEX(_xlfn._xlws.FILTER(CONFIG_ASIGNATURAS!$B$2:$B$27,CONFIG_ASIGNATURAS!$G$2:$G$27="Sí"),31),"")</f>
      </c>
      <c r="C183" s="3">
        <f>IF(B183="","",IFERROR(IF(VLOOKUP(B183,CONFIG_ASIGNATURAS!$B$2:$F$27,5,FALSE())="Sí","Especialidad","Asignatura"),"Asignatura"))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4EEM</t>
        </is>
      </c>
      <c r="B184" s="3">
        <f>IFERROR(INDEX(_xlfn._xlws.FILTER(CONFIG_ASIGNATURAS!$B$2:$B$27,CONFIG_ASIGNATURAS!$G$2:$G$27="Sí"),32),"")</f>
      </c>
      <c r="C184" s="3">
        <f>IF(B184="","",IFERROR(IF(VLOOKUP(B184,CONFIG_ASIGNATURAS!$B$2:$F$27,5,FALSE())="Sí","Especialidad","Asignatura"),"Asignatura"))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4EEM</t>
        </is>
      </c>
      <c r="B185" s="3">
        <f>IFERROR(INDEX(_xlfn._xlws.FILTER(CONFIG_ASIGNATURAS!$B$2:$B$27,CONFIG_ASIGNATURAS!$G$2:$G$27="Sí"),33),"")</f>
      </c>
      <c r="C185" s="3">
        <f>IF(B185="","",IFERROR(IF(VLOOKUP(B185,CONFIG_ASIGNATURAS!$B$2:$F$27,5,FALSE())="Sí","Especialidad","Asignatura"),"Asignatura"))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4EEM</t>
        </is>
      </c>
      <c r="B186" s="3">
        <f>IFERROR(INDEX(_xlfn._xlws.FILTER(CONFIG_ASIGNATURAS!$B$2:$B$27,CONFIG_ASIGNATURAS!$G$2:$G$27="Sí"),34),"")</f>
      </c>
      <c r="C186" s="3">
        <f>IF(B186="","",IFERROR(IF(VLOOKUP(B186,CONFIG_ASIGNATURAS!$B$2:$F$27,5,FALSE())="Sí","Especialidad","Asignatura"),"Asignatura"))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42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4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4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4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Total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4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Total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4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Total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4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Total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4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Total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4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Total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4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Total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4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Total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4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Total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4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Total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4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Total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4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Total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4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Total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4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Total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4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Total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4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Total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4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Total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4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Total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4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Total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4">
      <c r="A31" t="str">
        <f>IF(CALC_EEM!A24="","",IF(CALC_EEM!A24="GLOBAL","GLOBAL",IF(CALC_EEM!C24="Total","CURSO_TOTAL",IF(CALC_EEM!C24="TotalEsp","CURSO_ESP",IF(CALC_EEM!C24="TotalNoEsp","CURSO_NOESP","CURSO_ASIG")))))</f>
        <v>GLOBAL</v>
      </c>
      <c r="B31" t="str">
        <f>IF(CALC_EEM!A24="","",CALC_EEM!A24)</f>
        <v>GLOBAL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4">
      <c r="A32" t="str">
        <f>IF(CALC_EEM!A25="","",IF(CALC_EEM!A25="GLOBAL","GLOBAL",IF(CALC_EEM!C25="Total","CURSO_TOTAL",IF(CALC_EEM!C25="TotalEsp","CURSO_ESP",IF(CALC_EEM!C25="TotalNoEsp","CURSO_NOESP","CURSO_ASIG")))))</f>
        <v>GLOBAL</v>
      </c>
      <c r="B32" t="str">
        <f>IF(CALC_EEM!A25="","",CALC_EEM!A25)</f>
        <v>GLOBAL</v>
      </c>
      <c r="C32" t="str">
        <f>IF(CALC_EEM!B25="","",CALC_EEM!B25)</f>
        <v>Total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4">
      <c r="A33" t="str">
        <f>IF(CALC_EEM!A26="","",IF(CALC_EEM!A26="GLOBAL","GLOBAL",IF(CALC_EEM!C26="Total","CURSO_TOTAL",IF(CALC_EEM!C26="TotalEsp","CURSO_ESP",IF(CALC_EEM!C26="TotalNoEsp","CURSO_NOESP","CURSO_ASIG")))))</f>
        <v>GLOBAL</v>
      </c>
      <c r="B33" t="str">
        <f>IF(CALC_EEM!A26="","",CALC_EEM!A26)</f>
        <v>GLOBAL</v>
      </c>
      <c r="C33" t="str">
        <f>IF(CALC_EEM!B26="","",CALC_EEM!B26)</f>
        <v>Total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4">
      <c r="A34" t="str">
        <f>IF(CALC_EEM!A27="","",IF(CALC_EEM!A27="GLOBAL","GLOBAL",IF(CALC_EEM!C27="Total","CURSO_TOTAL",IF(CALC_EEM!C27="TotalEsp","CURSO_ESP",IF(CALC_EEM!C27="TotalNoEsp","CURSO_NOESP","CURSO_ASIG")))))</f>
        <v>GLOBAL</v>
      </c>
      <c r="B34" t="str">
        <f>IF(CALC_EEM!A27="","",CALC_EEM!A27)</f>
        <v>GLOBAL</v>
      </c>
      <c r="C34" t="str">
        <f>IF(CALC_EEM!B27="","",CALC_EEM!B27)</f>
        <v>Total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4">
      <c r="A35" t="str">
        <f>IF(CALC_EEM!A28="","",IF(CALC_EEM!A28="GLOBAL","GLOBAL",IF(CALC_EEM!C28="Total","CURSO_TOTAL",IF(CALC_EEM!C28="TotalEsp","CURSO_ESP",IF(CALC_EEM!C28="TotalNoEsp","CURSO_NOESP","CURSO_ASIG")))))</f>
        <v>GLOBAL</v>
      </c>
      <c r="B35" t="str">
        <f>IF(CALC_EEM!A28="","",CALC_EEM!A28)</f>
        <v>GLOBAL</v>
      </c>
      <c r="C35" t="str">
        <f>IF(CALC_EEM!B28="","",CALC_EEM!B28)</f>
        <v>Total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4">
      <c r="A36" t="str">
        <f>IF(CALC_EEM!A29="","",IF(CALC_EEM!A29="GLOBAL","GLOBAL",IF(CALC_EEM!C29="Total","CURSO_TOTAL",IF(CALC_EEM!C29="TotalEsp","CURSO_ESP",IF(CALC_EEM!C29="TotalNoEsp","CURSO_NOESP","CURSO_ASIG")))))</f>
        <v>GLOBAL</v>
      </c>
      <c r="B36" t="str">
        <f>IF(CALC_EEM!A29="","",CALC_EEM!A29)</f>
        <v>GLOBAL</v>
      </c>
      <c r="C36" t="str">
        <f>IF(CALC_EEM!B29="","",CALC_EEM!B29)</f>
        <v>Total</v>
      </c>
      <c r="D36">
        <f>IF(CALC_EEM!D29="","",CALC_EEM!D29)</f>
        <v>0</v>
      </c>
      <c r="E36" s="14" t="str">
        <f>IF(CALC_EEM!E29="","",CALC_EEM!E29)</f>
        <v>—</v>
      </c>
      <c r="F36" s="14" t="str">
        <f>IF(CALC_EEM!F29="","",CALC_EEM!F29)</f>
        <v>—</v>
      </c>
      <c r="G36" t="str">
        <f>IF(CALC_EEM!G29="","",CALC_EEM!G29)</f>
        <v>—</v>
      </c>
      <c r="H36" s="16" t="str">
        <f>IF(CALC_EEM!H29="","",CALC_EEM!H29)</f>
        <v>—</v>
      </c>
      <c r="I36" s="16" t="str">
        <f>IF(CALC_EEM!I29="","",CALC_EEM!I29)</f>
        <v>—</v>
      </c>
      <c r="J36" t="str">
        <f>IF(CALC_EEM!J29="","",CALC_EEM!J29)</f>
        <v>—</v>
      </c>
      <c r="K36" t="str">
        <f>IF(CALC_EEM!K29="","",CALC_EEM!K29)</f>
        <v>—</v>
      </c>
      <c r="L36">
        <f>IF(CALC_EEM!L29="","",CALC_EEM!L29)</f>
        <v>0</v>
      </c>
      <c r="M36">
        <f>IF(CALC_EEM!M29="","",CALC_EEM!M29)</f>
        <v>0</v>
      </c>
      <c r="N36">
        <f>IF(CALC_EEM!N29="","",CALC_EEM!N29)</f>
        <v>0</v>
      </c>
      <c r="O36">
        <f>IF(CALC_EEM!O29="","",CALC_EEM!O29)</f>
        <v>0</v>
      </c>
      <c r="P36">
        <f>IF(CALC_EEM!P29="","",CALC_EEM!P29)</f>
        <v>0</v>
      </c>
      <c r="Q36">
        <f>IF(CALC_EEM!Q29="","",CALC_EEM!Q29)</f>
        <v>0</v>
      </c>
      <c r="R36">
        <f>IF(CALC_EEM!R29="","",CALC_EEM!R29)</f>
        <v>0</v>
      </c>
      <c r="S36">
        <f>IF(CALC_EEM!S29="","",CALC_EEM!S29)</f>
        <v>0</v>
      </c>
      <c r="T36">
        <f>IF(CALC_EEM!T29="","",CALC_EEM!T29)</f>
        <v>0</v>
      </c>
      <c r="U36">
        <f>IF(CALC_EEM!U29="","",CALC_EEM!U29)</f>
        <v>0</v>
      </c>
    </row>
    <row r="37" spans="1:24">
      <c r="A37" t="str">
        <f>IF(CALC_EEM!A30="","",IF(CALC_EEM!A30="GLOBAL","GLOBAL",IF(CALC_EEM!C30="Total","CURSO_TOTAL",IF(CALC_EEM!C30="TotalEsp","CURSO_ESP",IF(CALC_EEM!C30="TotalNoEsp","CURSO_NOESP","CURSO_ASIG")))))</f>
        <v>GLOBAL</v>
      </c>
      <c r="B37" t="str">
        <f>IF(CALC_EEM!A30="","",CALC_EEM!A30)</f>
        <v>GLOBAL</v>
      </c>
      <c r="C37" t="str">
        <f>IF(CALC_EEM!B30="","",CALC_EEM!B30)</f>
        <v>Total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4">
      <c r="A38" t="str">
        <f>IF(CALC_EEM!A31="","",IF(CALC_EEM!A31="GLOBAL","GLOBAL",IF(CALC_EEM!C31="Total","CURSO_TOTAL",IF(CALC_EEM!C31="TotalEsp","CURSO_ESP",IF(CALC_EEM!C31="TotalNoEsp","CURSO_NOESP","CURSO_ASIG")))))</f>
        <v>GLOBAL</v>
      </c>
      <c r="B38" t="str">
        <f>IF(CALC_EEM!A31="","",CALC_EEM!A31)</f>
        <v>GLOBAL</v>
      </c>
      <c r="C38" t="str">
        <f>IF(CALC_EEM!B31="","",CALC_EEM!B31)</f>
        <v>Total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4">
      <c r="A39" t="str">
        <f>IF(CALC_EEM!A32="","",IF(CALC_EEM!A32="GLOBAL","GLOBAL",IF(CALC_EEM!C32="Total","CURSO_TOTAL",IF(CALC_EEM!C32="TotalEsp","CURSO_ESP",IF(CALC_EEM!C32="TotalNoEsp","CURSO_NOESP","CURSO_ASIG")))))</f>
        <v>GLOBAL</v>
      </c>
      <c r="B39" t="str">
        <f>IF(CALC_EEM!A32="","",CALC_EEM!A32)</f>
        <v>GLOBAL</v>
      </c>
      <c r="C39" t="str">
        <f>IF(CALC_EEM!B32="","",CALC_EEM!B32)</f>
        <v>Total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4">
      <c r="A40" t="str">
        <f>IF(CALC_EEM!A33="","",IF(CALC_EEM!A33="GLOBAL","GLOBAL",IF(CALC_EEM!C33="Total","CURSO_TOTAL",IF(CALC_EEM!C33="TotalEsp","CURSO_ESP",IF(CALC_EEM!C33="TotalNoEsp","CURSO_NOESP","CURSO_ASIG")))))</f>
        <v>GLOBAL</v>
      </c>
      <c r="B40" t="str">
        <f>IF(CALC_EEM!A33="","",CALC_EEM!A33)</f>
        <v>GLOBAL</v>
      </c>
      <c r="C40" t="str">
        <f>IF(CALC_EEM!B33="","",CALC_EEM!B33)</f>
        <v>Total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4">
      <c r="A41" t="str">
        <f>IF(CALC_EEM!A34="","",IF(CALC_EEM!A34="GLOBAL","GLOBAL",IF(CALC_EEM!C34="Total","CURSO_TOTAL",IF(CALC_EEM!C34="TotalEsp","CURSO_ESP",IF(CALC_EEM!C34="TotalNoEsp","CURSO_NOESP","CURSO_ASIG")))))</f>
        <v>GLOBAL</v>
      </c>
      <c r="B41" t="str">
        <f>IF(CALC_EEM!A34="","",CALC_EEM!A34)</f>
        <v>GLOBAL</v>
      </c>
      <c r="C41" t="str">
        <f>IF(CALC_EEM!B34="","",CALC_EEM!B34)</f>
        <v>Total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4">
      <c r="A42" t="str">
        <f>IF(CALC_EEM!A35="","",IF(CALC_EEM!A35="GLOBAL","GLOBAL",IF(CALC_EEM!C35="Total","CURSO_TOTAL",IF(CALC_EEM!C35="TotalEsp","CURSO_ESP",IF(CALC_EEM!C35="TotalNoEsp","CURSO_NOESP","CURSO_ASIG")))))</f>
        <v>GLOBAL</v>
      </c>
      <c r="B42" t="str">
        <f>IF(CALC_EEM!A35="","",CALC_EEM!A35)</f>
        <v>GLOBAL</v>
      </c>
      <c r="C42" t="str">
        <f>IF(CALC_EEM!B35="","",CALC_EEM!B35)</f>
        <v>Total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4">
      <c r="A43" t="str">
        <f>IF(CALC_EEM!A36="","",IF(CALC_EEM!A36="GLOBAL","GLOBAL",IF(CALC_EEM!C36="Total","CURSO_TOTAL",IF(CALC_EEM!C36="TotalEsp","CURSO_ESP",IF(CALC_EEM!C36="TotalNoEsp","CURSO_NOESP","CURSO_ASIG")))))</f>
        <v>GLOBAL</v>
      </c>
      <c r="B43" t="str">
        <f>IF(CALC_EEM!A36="","",CALC_EEM!A36)</f>
        <v>GLOBAL</v>
      </c>
      <c r="C43" t="str">
        <f>IF(CALC_EEM!B36="","",CALC_EEM!B36)</f>
        <v>Total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4">
      <c r="A44" t="str">
        <f>IF(CALC_EEM!A37="","",IF(CALC_EEM!A37="GLOBAL","GLOBAL",IF(CALC_EEM!C37="Total","CURSO_TOTAL",IF(CALC_EEM!C37="TotalEsp","CURSO_ESP",IF(CALC_EEM!C37="TotalNoEsp","CURSO_NOESP","CURSO_ASIG")))))</f>
        <v>GLOBAL</v>
      </c>
      <c r="B44" t="str">
        <f>IF(CALC_EEM!A37="","",CALC_EEM!A37)</f>
        <v>GLOBAL</v>
      </c>
      <c r="C44" t="str">
        <f>IF(CALC_EEM!B37="","",CALC_EEM!B37)</f>
        <v>Total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4">
      <c r="A45" t="str">
        <f>IF(CALC_EEM!A38="","",IF(CALC_EEM!A38="GLOBAL","GLOBAL",IF(CALC_EEM!C38="Total","CURSO_TOTAL",IF(CALC_EEM!C38="TotalEsp","CURSO_ESP",IF(CALC_EEM!C38="TotalNoEsp","CURSO_NOESP","CURSO_ASIG")))))</f>
        <v>GLOBAL</v>
      </c>
      <c r="B45" t="str">
        <f>IF(CALC_EEM!A38="","",CALC_EEM!A38)</f>
        <v>GLOBAL</v>
      </c>
      <c r="C45" t="str">
        <f>IF(CALC_EEM!B38="","",CALC_EEM!B38)</f>
        <v>Total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4">
      <c r="A46" t="str">
        <f>IF(CALC_EEM!A39="","",IF(CALC_EEM!A39="GLOBAL","GLOBAL",IF(CALC_EEM!C39="Total","CURSO_TOTAL",IF(CALC_EEM!C39="TotalEsp","CURSO_ESP",IF(CALC_EEM!C39="TotalNoEsp","CURSO_NOESP","CURSO_ASIG")))))</f>
        <v>GLOBAL</v>
      </c>
      <c r="B46" t="str">
        <f>IF(CALC_EEM!A39="","",CALC_EEM!A39)</f>
        <v>GLOBAL</v>
      </c>
      <c r="C46" t="str">
        <f>IF(CALC_EEM!B39="","",CALC_EEM!B39)</f>
        <v>Total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4">
      <c r="A47" t="str">
        <f>IF(CALC_EEM!A40="","",IF(CALC_EEM!A40="GLOBAL","GLOBAL",IF(CALC_EEM!C40="Total","CURSO_TOTAL",IF(CALC_EEM!C40="TotalEsp","CURSO_ESP",IF(CALC_EEM!C40="TotalNoEsp","CURSO_NOESP","CURSO_ASIG")))))</f>
        <v>GLOBAL</v>
      </c>
      <c r="B47" t="str">
        <f>IF(CALC_EEM!A40="","",CALC_EEM!A40)</f>
        <v>GLOBAL</v>
      </c>
      <c r="C47" t="str">
        <f>IF(CALC_EEM!B40="","",CALC_EEM!B40)</f>
        <v>Total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4">
      <c r="A48" t="str">
        <f>IF(CALC_EEM!A41="","",IF(CALC_EEM!A41="GLOBAL","GLOBAL",IF(CALC_EEM!C41="Total","CURSO_TOTAL",IF(CALC_EEM!C41="TotalEsp","CURSO_ESP",IF(CALC_EEM!C41="TotalNoEsp","CURSO_NOESP","CURSO_ASIG")))))</f>
        <v>GLOBAL</v>
      </c>
      <c r="B48" t="str">
        <f>IF(CALC_EEM!A41="","",CALC_EEM!A41)</f>
        <v>GLOBAL</v>
      </c>
      <c r="C48" t="str">
        <f>IF(CALC_EEM!B41="","",CALC_EEM!B41)</f>
        <v>Total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4">
      <c r="A49" t="str">
        <f>IF(CALC_EEM!A42="","",IF(CALC_EEM!A42="GLOBAL","GLOBAL",IF(CALC_EEM!C42="Total","CURSO_TOTAL",IF(CALC_EEM!C42="TotalEsp","CURSO_ESP",IF(CALC_EEM!C42="TotalNoEsp","CURSO_NOESP","CURSO_ASIG")))))</f>
        <v>GLOBAL</v>
      </c>
      <c r="B49" t="str">
        <f>IF(CALC_EEM!A42="","",CALC_EEM!A42)</f>
        <v>GLOBAL</v>
      </c>
      <c r="C49" t="str">
        <f>IF(CALC_EEM!B42="","",CALC_EEM!B42)</f>
        <v>Total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4">
      <c r="A50" t="str">
        <f>IF(CALC_EEM!A43="","",IF(CALC_EEM!A43="GLOBAL","GLOBAL",IF(CALC_EEM!C43="Total","CURSO_TOTAL",IF(CALC_EEM!C43="TotalEsp","CURSO_ESP",IF(CALC_EEM!C43="TotalNoEsp","CURSO_NOESP","CURSO_ASIG")))))</f>
        <v>GLOBAL</v>
      </c>
      <c r="B50" t="str">
        <f>IF(CALC_EEM!A43="","",CALC_EEM!A43)</f>
        <v>GLOBAL</v>
      </c>
      <c r="C50" t="str">
        <f>IF(CALC_EEM!B43="","",CALC_EEM!B43)</f>
        <v>Total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4">
      <c r="A51" t="str">
        <f>IF(CALC_EEM!A44="","",IF(CALC_EEM!A44="GLOBAL","GLOBAL",IF(CALC_EEM!C44="Total","CURSO_TOTAL",IF(CALC_EEM!C44="TotalEsp","CURSO_ESP",IF(CALC_EEM!C44="TotalNoEsp","CURSO_NOESP","CURSO_ASIG")))))</f>
        <v>GLOBAL</v>
      </c>
      <c r="B51" t="str">
        <f>IF(CALC_EEM!A44="","",CALC_EEM!A44)</f>
        <v>GLOBAL</v>
      </c>
      <c r="C51" t="str">
        <f>IF(CALC_EEM!B44="","",CALC_EEM!B44)</f>
        <v>Total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4">
      <c r="A52" t="str">
        <f>IF(CALC_EEM!A45="","",IF(CALC_EEM!A45="GLOBAL","GLOBAL",IF(CALC_EEM!C45="Total","CURSO_TOTAL",IF(CALC_EEM!C45="TotalEsp","CURSO_ESP",IF(CALC_EEM!C45="TotalNoEsp","CURSO_NOESP","CURSO_ASIG")))))</f>
        <v>GLOBAL</v>
      </c>
      <c r="B52" t="str">
        <f>IF(CALC_EEM!A45="","",CALC_EEM!A45)</f>
        <v>GLOBAL</v>
      </c>
      <c r="C52" t="str">
        <f>IF(CALC_EEM!B45="","",CALC_EEM!B45)</f>
        <v>Total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4">
      <c r="A53" t="str">
        <f>IF(CALC_EEM!A46="","",IF(CALC_EEM!A46="GLOBAL","GLOBAL",IF(CALC_EEM!C46="Total","CURSO_TOTAL",IF(CALC_EEM!C46="TotalEsp","CURSO_ESP",IF(CALC_EEM!C46="TotalNoEsp","CURSO_NOESP","CURSO_ASIG")))))</f>
        <v>GLOBAL</v>
      </c>
      <c r="B53" t="str">
        <f>IF(CALC_EEM!A46="","",CALC_EEM!A46)</f>
        <v>GLOBAL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4">
      <c r="A54" t="str">
        <f>IF(CALC_EEM!A47="","",IF(CALC_EEM!A47="GLOBAL","GLOBAL",IF(CALC_EEM!C47="Total","CURSO_TOTAL",IF(CALC_EEM!C47="TotalEsp","CURSO_ESP",IF(CALC_EEM!C47="TotalNoEsp","CURSO_NOESP","CURSO_ASIG")))))</f>
        <v>GLOBAL</v>
      </c>
      <c r="B54" t="str">
        <f>IF(CALC_EEM!A47="","",CALC_EEM!A47)</f>
        <v>GLOBAL</v>
      </c>
      <c r="C54" t="str">
        <f>IF(CALC_EEM!B47="","",CALC_EEM!B47)</f>
        <v>Total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4">
      <c r="A55" t="str">
        <f>IF(CALC_EEM!A48="","",IF(CALC_EEM!A48="GLOBAL","GLOBAL",IF(CALC_EEM!C48="Total","CURSO_TOTAL",IF(CALC_EEM!C48="TotalEsp","CURSO_ESP",IF(CALC_EEM!C48="TotalNoEsp","CURSO_NOESP","CURSO_ASIG")))))</f>
        <v>GLOBAL</v>
      </c>
      <c r="B55" t="str">
        <f>IF(CALC_EEM!A48="","",CALC_EEM!A48)</f>
        <v>GLOBAL</v>
      </c>
      <c r="C55" t="str">
        <f>IF(CALC_EEM!B48="","",CALC_EEM!B48)</f>
        <v>Total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4">
      <c r="A56" t="str">
        <f>IF(CALC_EEM!A49="","",IF(CALC_EEM!A49="GLOBAL","GLOBAL",IF(CALC_EEM!C49="Total","CURSO_TOTAL",IF(CALC_EEM!C49="TotalEsp","CURSO_ESP",IF(CALC_EEM!C49="TotalNoEsp","CURSO_NOESP","CURSO_ASIG")))))</f>
        <v>GLOBAL</v>
      </c>
      <c r="B56" t="str">
        <f>IF(CALC_EEM!A49="","",CALC_EEM!A49)</f>
        <v>GLOBAL</v>
      </c>
      <c r="C56" t="str">
        <f>IF(CALC_EEM!B49="","",CALC_EEM!B49)</f>
        <v>Total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4">
      <c r="A57" t="str">
        <f>IF(CALC_EEM!A50="","",IF(CALC_EEM!A50="GLOBAL","GLOBAL",IF(CALC_EEM!C50="Total","CURSO_TOTAL",IF(CALC_EEM!C50="TotalEsp","CURSO_ESP",IF(CALC_EEM!C50="TotalNoEsp","CURSO_NOESP","CURSO_ASIG")))))</f>
        <v>GLOBAL</v>
      </c>
      <c r="B57" t="str">
        <f>IF(CALC_EEM!A50="","",CALC_EEM!A50)</f>
        <v>GLOBAL</v>
      </c>
      <c r="C57" t="str">
        <f>IF(CALC_EEM!B50="","",CALC_EEM!B50)</f>
        <v>Total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4">
      <c r="A58" t="str">
        <f>IF(CALC_EEM!A51="","",IF(CALC_EEM!A51="GLOBAL","GLOBAL",IF(CALC_EEM!C51="Total","CURSO_TOTAL",IF(CALC_EEM!C51="TotalEsp","CURSO_ESP",IF(CALC_EEM!C51="TotalNoEsp","CURSO_NOESP","CURSO_ASIG")))))</f>
        <v>GLOBAL</v>
      </c>
      <c r="B58" t="str">
        <f>IF(CALC_EEM!A51="","",CALC_EEM!A51)</f>
        <v>GLOBAL</v>
      </c>
      <c r="C58" t="str">
        <f>IF(CALC_EEM!B51="","",CALC_EEM!B51)</f>
        <v>Total</v>
      </c>
      <c r="D58">
        <f>IF(CALC_EEM!D51="","",CALC_EEM!D51)</f>
        <v>0</v>
      </c>
      <c r="E58" s="14" t="str">
        <f>IF(CALC_EEM!E51="","",CALC_EEM!E51)</f>
        <v>—</v>
      </c>
      <c r="F58" s="14" t="str">
        <f>IF(CALC_EEM!F51="","",CALC_EEM!F51)</f>
        <v>—</v>
      </c>
      <c r="G58" t="str">
        <f>IF(CALC_EEM!G51="","",CALC_EEM!G51)</f>
        <v>—</v>
      </c>
      <c r="H58" s="16" t="str">
        <f>IF(CALC_EEM!H51="","",CALC_EEM!H51)</f>
        <v>—</v>
      </c>
      <c r="I58" s="16" t="str">
        <f>IF(CALC_EEM!I51="","",CALC_EEM!I51)</f>
        <v>—</v>
      </c>
      <c r="J58" t="str">
        <f>IF(CALC_EEM!J51="","",CALC_EEM!J51)</f>
        <v>—</v>
      </c>
      <c r="K58" t="str">
        <f>IF(CALC_EEM!K51="","",CALC_EEM!K51)</f>
        <v>—</v>
      </c>
      <c r="L58">
        <f>IF(CALC_EEM!L51="","",CALC_EEM!L51)</f>
        <v>0</v>
      </c>
      <c r="M58">
        <f>IF(CALC_EEM!M51="","",CALC_EEM!M51)</f>
        <v>0</v>
      </c>
      <c r="N58">
        <f>IF(CALC_EEM!N51="","",CALC_EEM!N51)</f>
        <v>0</v>
      </c>
      <c r="O58">
        <f>IF(CALC_EEM!O51="","",CALC_EEM!O51)</f>
        <v>0</v>
      </c>
      <c r="P58">
        <f>IF(CALC_EEM!P51="","",CALC_EEM!P51)</f>
        <v>0</v>
      </c>
      <c r="Q58">
        <f>IF(CALC_EEM!Q51="","",CALC_EEM!Q51)</f>
        <v>0</v>
      </c>
      <c r="R58">
        <f>IF(CALC_EEM!R51="","",CALC_EEM!R51)</f>
        <v>0</v>
      </c>
      <c r="S58">
        <f>IF(CALC_EEM!S51="","",CALC_EEM!S51)</f>
        <v>0</v>
      </c>
      <c r="T58">
        <f>IF(CALC_EEM!T51="","",CALC_EEM!T51)</f>
        <v>0</v>
      </c>
      <c r="U58">
        <f>IF(CALC_EEM!U51="","",CALC_EEM!U51)</f>
        <v>0</v>
      </c>
    </row>
    <row r="59" spans="1:24">
      <c r="A59" t="str">
        <f>IF(CALC_EEM!A52="","",IF(CALC_EEM!A52="GLOBAL","GLOBAL",IF(CALC_EEM!C52="Total","CURSO_TOTAL",IF(CALC_EEM!C52="TotalEsp","CURSO_ESP",IF(CALC_EEM!C52="TotalNoEsp","CURSO_NOESP","CURSO_ASIG")))))</f>
        <v>GLOBAL</v>
      </c>
      <c r="B59" t="str">
        <f>IF(CALC_EEM!A52="","",CALC_EEM!A52)</f>
        <v>GLOBAL</v>
      </c>
      <c r="C59" t="str">
        <f>IF(CALC_EEM!B52="","",CALC_EEM!B52)</f>
        <v>Total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4">
      <c r="A60" t="str">
        <f>IF(CALC_EEM!A53="","",IF(CALC_EEM!A53="GLOBAL","GLOBAL",IF(CALC_EEM!C53="Total","CURSO_TOTAL",IF(CALC_EEM!C53="TotalEsp","CURSO_ESP",IF(CALC_EEM!C53="TotalNoEsp","CURSO_NOESP","CURSO_ASIG")))))</f>
        <v>GLOBAL</v>
      </c>
      <c r="B60" t="str">
        <f>IF(CALC_EEM!A53="","",CALC_EEM!A53)</f>
        <v>GLOBAL</v>
      </c>
      <c r="C60" t="str">
        <f>IF(CALC_EEM!B53="","",CALC_EEM!B53)</f>
        <v>Total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4">
      <c r="A61" t="str">
        <f>IF(CALC_EEM!A54="","",IF(CALC_EEM!A54="GLOBAL","GLOBAL",IF(CALC_EEM!C54="Total","CURSO_TOTAL",IF(CALC_EEM!C54="TotalEsp","CURSO_ESP",IF(CALC_EEM!C54="TotalNoEsp","CURSO_NOESP","CURSO_ASIG")))))</f>
        <v>GLOBAL</v>
      </c>
      <c r="B61" t="str">
        <f>IF(CALC_EEM!A54="","",CALC_EEM!A54)</f>
        <v>GLOBAL</v>
      </c>
      <c r="C61" t="str">
        <f>IF(CALC_EEM!B54="","",CALC_EEM!B54)</f>
        <v>Total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4">
      <c r="A62" t="str">
        <f>IF(CALC_EEM!A55="","",IF(CALC_EEM!A55="GLOBAL","GLOBAL",IF(CALC_EEM!C55="Total","CURSO_TOTAL",IF(CALC_EEM!C55="TotalEsp","CURSO_ESP",IF(CALC_EEM!C55="TotalNoEsp","CURSO_NOESP","CURSO_ASIG")))))</f>
        <v>GLOBAL</v>
      </c>
      <c r="B62" t="str">
        <f>IF(CALC_EEM!A55="","",CALC_EEM!A55)</f>
        <v>GLOBAL</v>
      </c>
      <c r="C62" t="str">
        <f>IF(CALC_EEM!B55="","",CALC_EEM!B55)</f>
        <v>Total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4">
      <c r="A63" t="str">
        <f>IF(CALC_EEM!A56="","",IF(CALC_EEM!A56="GLOBAL","GLOBAL",IF(CALC_EEM!C56="Total","CURSO_TOTAL",IF(CALC_EEM!C56="TotalEsp","CURSO_ESP",IF(CALC_EEM!C56="TotalNoEsp","CURSO_NOESP","CURSO_ASIG")))))</f>
        <v>GLOBAL</v>
      </c>
      <c r="B63" t="str">
        <f>IF(CALC_EEM!A56="","",CALC_EEM!A56)</f>
        <v>GLOBAL</v>
      </c>
      <c r="C63" t="str">
        <f>IF(CALC_EEM!B56="","",CALC_EEM!B56)</f>
        <v>Total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4">
      <c r="A64" t="str">
        <f>IF(CALC_EEM!A57="","",IF(CALC_EEM!A57="GLOBAL","GLOBAL",IF(CALC_EEM!C57="Total","CURSO_TOTAL",IF(CALC_EEM!C57="TotalEsp","CURSO_ESP",IF(CALC_EEM!C57="TotalNoEsp","CURSO_NOESP","CURSO_ASIG")))))</f>
        <v>GLOBAL</v>
      </c>
      <c r="B64" t="str">
        <f>IF(CALC_EEM!A57="","",CALC_EEM!A57)</f>
        <v>GLOBAL</v>
      </c>
      <c r="C64" t="str">
        <f>IF(CALC_EEM!B57="","",CALC_EEM!B57)</f>
        <v>Total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4">
      <c r="A65" t="str">
        <f>IF(CALC_EEM!A58="","",IF(CALC_EEM!A58="GLOBAL","GLOBAL",IF(CALC_EEM!C58="Total","CURSO_TOTAL",IF(CALC_EEM!C58="TotalEsp","CURSO_ESP",IF(CALC_EEM!C58="TotalNoEsp","CURSO_NOESP","CURSO_ASIG")))))</f>
        <v>GLOBAL</v>
      </c>
      <c r="B65" t="str">
        <f>IF(CALC_EEM!A58="","",CALC_EEM!A58)</f>
        <v>GLOBAL</v>
      </c>
      <c r="C65" t="str">
        <f>IF(CALC_EEM!B58="","",CALC_EEM!B58)</f>
        <v>Total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4">
      <c r="A66" t="str">
        <f>IF(CALC_EEM!A59="","",IF(CALC_EEM!A59="GLOBAL","GLOBAL",IF(CALC_EEM!C59="Total","CURSO_TOTAL",IF(CALC_EEM!C59="TotalEsp","CURSO_ESP",IF(CALC_EEM!C59="TotalNoEsp","CURSO_NOESP","CURSO_ASIG")))))</f>
        <v>GLOBAL</v>
      </c>
      <c r="B66" t="str">
        <f>IF(CALC_EEM!A59="","",CALC_EEM!A59)</f>
        <v>GLOBAL</v>
      </c>
      <c r="C66" t="str">
        <f>IF(CALC_EEM!B59="","",CALC_EEM!B59)</f>
        <v>Total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4">
      <c r="A67" t="str">
        <f>IF(CALC_EEM!A60="","",IF(CALC_EEM!A60="GLOBAL","GLOBAL",IF(CALC_EEM!C60="Total","CURSO_TOTAL",IF(CALC_EEM!C60="TotalEsp","CURSO_ESP",IF(CALC_EEM!C60="TotalNoEsp","CURSO_NOESP","CURSO_ASIG")))))</f>
        <v>GLOBAL</v>
      </c>
      <c r="B67" t="str">
        <f>IF(CALC_EEM!A60="","",CALC_EEM!A60)</f>
        <v>GLOBAL</v>
      </c>
      <c r="C67" t="str">
        <f>IF(CALC_EEM!B60="","",CALC_EEM!B60)</f>
        <v>Total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4">
      <c r="A68" t="str">
        <f>IF(CALC_EEM!A61="","",IF(CALC_EEM!A61="GLOBAL","GLOBAL",IF(CALC_EEM!C61="Total","CURSO_TOTAL",IF(CALC_EEM!C61="TotalEsp","CURSO_ESP",IF(CALC_EEM!C61="TotalNoEsp","CURSO_NOESP","CURSO_ASIG")))))</f>
        <v>GLOBAL</v>
      </c>
      <c r="B68" t="str">
        <f>IF(CALC_EEM!A61="","",CALC_EEM!A61)</f>
        <v>GLOBAL</v>
      </c>
      <c r="C68" t="str">
        <f>IF(CALC_EEM!B61="","",CALC_EEM!B61)</f>
        <v>Total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4">
      <c r="A69" t="str">
        <f>IF(CALC_EEM!A62="","",IF(CALC_EEM!A62="GLOBAL","GLOBAL",IF(CALC_EEM!C62="Total","CURSO_TOTAL",IF(CALC_EEM!C62="TotalEsp","CURSO_ESP",IF(CALC_EEM!C62="TotalNoEsp","CURSO_NOESP","CURSO_ASIG")))))</f>
        <v>GLOBAL</v>
      </c>
      <c r="B69" t="str">
        <f>IF(CALC_EEM!A62="","",CALC_EEM!A62)</f>
        <v>GLOBAL</v>
      </c>
      <c r="C69" t="str">
        <f>IF(CALC_EEM!B62="","",CALC_EEM!B62)</f>
        <v>Total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4">
      <c r="A70" t="str">
        <f>IF(CALC_EEM!A63="","",IF(CALC_EEM!A63="GLOBAL","GLOBAL",IF(CALC_EEM!C63="Total","CURSO_TOTAL",IF(CALC_EEM!C63="TotalEsp","CURSO_ESP",IF(CALC_EEM!C63="TotalNoEsp","CURSO_NOESP","CURSO_ASIG")))))</f>
        <v>GLOBAL</v>
      </c>
      <c r="B70" t="str">
        <f>IF(CALC_EEM!A63="","",CALC_EEM!A63)</f>
        <v>GLOBAL</v>
      </c>
      <c r="C70" t="str">
        <f>IF(CALC_EEM!B63="","",CALC_EEM!B63)</f>
        <v>Total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4">
      <c r="A71" t="str">
        <f>IF(CALC_EEM!A64="","",IF(CALC_EEM!A64="GLOBAL","GLOBAL",IF(CALC_EEM!C64="Total","CURSO_TOTAL",IF(CALC_EEM!C64="TotalEsp","CURSO_ESP",IF(CALC_EEM!C64="TotalNoEsp","CURSO_NOESP","CURSO_ASIG")))))</f>
        <v>GLOBAL</v>
      </c>
      <c r="B71" t="str">
        <f>IF(CALC_EEM!A64="","",CALC_EEM!A64)</f>
        <v>GLOBAL</v>
      </c>
      <c r="C71" t="str">
        <f>IF(CALC_EEM!B64="","",CALC_EEM!B64)</f>
        <v>Total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4">
      <c r="A72" t="str">
        <f>IF(CALC_EEM!A65="","",IF(CALC_EEM!A65="GLOBAL","GLOBAL",IF(CALC_EEM!C65="Total","CURSO_TOTAL",IF(CALC_EEM!C65="TotalEsp","CURSO_ESP",IF(CALC_EEM!C65="TotalNoEsp","CURSO_NOESP","CURSO_ASIG")))))</f>
        <v>GLOBAL</v>
      </c>
      <c r="B72" t="str">
        <f>IF(CALC_EEM!A65="","",CALC_EEM!A65)</f>
        <v>GLOBAL</v>
      </c>
      <c r="C72" t="str">
        <f>IF(CALC_EEM!B65="","",CALC_EEM!B65)</f>
        <v>Total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4">
      <c r="A73" t="str">
        <f>IF(CALC_EEM!A66="","",IF(CALC_EEM!A66="GLOBAL","GLOBAL",IF(CALC_EEM!C66="Total","CURSO_TOTAL",IF(CALC_EEM!C66="TotalEsp","CURSO_ESP",IF(CALC_EEM!C66="TotalNoEsp","CURSO_NOESP","CURSO_ASIG")))))</f>
        <v>GLOBAL</v>
      </c>
      <c r="B73" t="str">
        <f>IF(CALC_EEM!A66="","",CALC_EEM!A66)</f>
        <v>GLOBAL</v>
      </c>
      <c r="C73" t="str">
        <f>IF(CALC_EEM!B66="","",CALC_EEM!B66)</f>
        <v>Total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4">
      <c r="A74" t="str">
        <f>IF(CALC_EEM!A67="","",IF(CALC_EEM!A67="GLOBAL","GLOBAL",IF(CALC_EEM!C67="Total","CURSO_TOTAL",IF(CALC_EEM!C67="TotalEsp","CURSO_ESP",IF(CALC_EEM!C67="TotalNoEsp","CURSO_NOESP","CURSO_ASIG")))))</f>
        <v>GLOBAL</v>
      </c>
      <c r="B74" t="str">
        <f>IF(CALC_EEM!A67="","",CALC_EEM!A67)</f>
        <v>GLOBAL</v>
      </c>
      <c r="C74" t="str">
        <f>IF(CALC_EEM!B67="","",CALC_EEM!B67)</f>
        <v>Total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4">
      <c r="A75" t="str">
        <f>IF(CALC_EEM!A68="","",IF(CALC_EEM!A68="GLOBAL","GLOBAL",IF(CALC_EEM!C68="Total","CURSO_TOTAL",IF(CALC_EEM!C68="TotalEsp","CURSO_ESP",IF(CALC_EEM!C68="TotalNoEsp","CURSO_NOESP","CURSO_ASIG")))))</f>
        <v>GLOBAL</v>
      </c>
      <c r="B75" t="str">
        <f>IF(CALC_EEM!A68="","",CALC_EEM!A68)</f>
        <v>GLOBAL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4">
      <c r="A76" t="str">
        <f>IF(CALC_EEM!A69="","",IF(CALC_EEM!A69="GLOBAL","GLOBAL",IF(CALC_EEM!C69="Total","CURSO_TOTAL",IF(CALC_EEM!C69="TotalEsp","CURSO_ESP",IF(CALC_EEM!C69="TotalNoEsp","CURSO_NOESP","CURSO_ASIG")))))</f>
        <v>GLOBAL</v>
      </c>
      <c r="B76" t="str">
        <f>IF(CALC_EEM!A69="","",CALC_EEM!A69)</f>
        <v>GLOBAL</v>
      </c>
      <c r="C76" t="str">
        <f>IF(CALC_EEM!B69="","",CALC_EEM!B69)</f>
        <v>Total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4">
      <c r="A77" t="str">
        <f>IF(CALC_EEM!A70="","",IF(CALC_EEM!A70="GLOBAL","GLOBAL",IF(CALC_EEM!C70="Total","CURSO_TOTAL",IF(CALC_EEM!C70="TotalEsp","CURSO_ESP",IF(CALC_EEM!C70="TotalNoEsp","CURSO_NOESP","CURSO_ASIG")))))</f>
        <v>GLOBAL</v>
      </c>
      <c r="B77" t="str">
        <f>IF(CALC_EEM!A70="","",CALC_EEM!A70)</f>
        <v>GLOBAL</v>
      </c>
      <c r="C77" t="str">
        <f>IF(CALC_EEM!B70="","",CALC_EEM!B70)</f>
        <v>Total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4">
      <c r="A78" t="str">
        <f>IF(CALC_EEM!A71="","",IF(CALC_EEM!A71="GLOBAL","GLOBAL",IF(CALC_EEM!C71="Total","CURSO_TOTAL",IF(CALC_EEM!C71="TotalEsp","CURSO_ESP",IF(CALC_EEM!C71="TotalNoEsp","CURSO_NOESP","CURSO_ASIG")))))</f>
        <v>GLOBAL</v>
      </c>
      <c r="B78" t="str">
        <f>IF(CALC_EEM!A71="","",CALC_EEM!A71)</f>
        <v>GLOBAL</v>
      </c>
      <c r="C78" t="str">
        <f>IF(CALC_EEM!B71="","",CALC_EEM!B71)</f>
        <v>Total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4">
      <c r="A79" t="str">
        <f>IF(CALC_EEM!A72="","",IF(CALC_EEM!A72="GLOBAL","GLOBAL",IF(CALC_EEM!C72="Total","CURSO_TOTAL",IF(CALC_EEM!C72="TotalEsp","CURSO_ESP",IF(CALC_EEM!C72="TotalNoEsp","CURSO_NOESP","CURSO_ASIG")))))</f>
        <v>GLOBAL</v>
      </c>
      <c r="B79" t="str">
        <f>IF(CALC_EEM!A72="","",CALC_EEM!A72)</f>
        <v>GLOBAL</v>
      </c>
      <c r="C79" t="str">
        <f>IF(CALC_EEM!B72="","",CALC_EEM!B72)</f>
        <v>Total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4">
      <c r="A80" t="str">
        <f>IF(CALC_EEM!A73="","",IF(CALC_EEM!A73="GLOBAL","GLOBAL",IF(CALC_EEM!C73="Total","CURSO_TOTAL",IF(CALC_EEM!C73="TotalEsp","CURSO_ESP",IF(CALC_EEM!C73="TotalNoEsp","CURSO_NOESP","CURSO_ASIG")))))</f>
        <v>GLOBAL</v>
      </c>
      <c r="B80" t="str">
        <f>IF(CALC_EEM!A73="","",CALC_EEM!A73)</f>
        <v>GLOBAL</v>
      </c>
      <c r="C80" t="str">
        <f>IF(CALC_EEM!B73="","",CALC_EEM!B73)</f>
        <v>Total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4">
      <c r="A81" t="str">
        <f>IF(CALC_EEM!A74="","",IF(CALC_EEM!A74="GLOBAL","GLOBAL",IF(CALC_EEM!C74="Total","CURSO_TOTAL",IF(CALC_EEM!C74="TotalEsp","CURSO_ESP",IF(CALC_EEM!C74="TotalNoEsp","CURSO_NOESP","CURSO_ASIG")))))</f>
        <v>GLOBAL</v>
      </c>
      <c r="B81" t="str">
        <f>IF(CALC_EEM!A74="","",CALC_EEM!A74)</f>
        <v>GLOBAL</v>
      </c>
      <c r="C81" t="str">
        <f>IF(CALC_EEM!B74="","",CALC_EEM!B74)</f>
        <v>Total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4">
      <c r="A82" t="str">
        <f>IF(CALC_EEM!A75="","",IF(CALC_EEM!A75="GLOBAL","GLOBAL",IF(CALC_EEM!C75="Total","CURSO_TOTAL",IF(CALC_EEM!C75="TotalEsp","CURSO_ESP",IF(CALC_EEM!C75="TotalNoEsp","CURSO_NOESP","CURSO_ASIG")))))</f>
        <v>GLOBAL</v>
      </c>
      <c r="B82" t="str">
        <f>IF(CALC_EEM!A75="","",CALC_EEM!A75)</f>
        <v>GLOBAL</v>
      </c>
      <c r="C82" t="str">
        <f>IF(CALC_EEM!B75="","",CALC_EEM!B75)</f>
        <v>Total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4">
      <c r="A83" t="str">
        <f>IF(CALC_EEM!A76="","",IF(CALC_EEM!A76="GLOBAL","GLOBAL",IF(CALC_EEM!C76="Total","CURSO_TOTAL",IF(CALC_EEM!C76="TotalEsp","CURSO_ESP",IF(CALC_EEM!C76="TotalNoEsp","CURSO_NOESP","CURSO_ASIG")))))</f>
        <v>GLOBAL</v>
      </c>
      <c r="B83" t="str">
        <f>IF(CALC_EEM!A76="","",CALC_EEM!A76)</f>
        <v>GLOBAL</v>
      </c>
      <c r="C83" t="str">
        <f>IF(CALC_EEM!B76="","",CALC_EEM!B76)</f>
        <v>Total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4">
      <c r="A84" t="str">
        <f>IF(CALC_EEM!A77="","",IF(CALC_EEM!A77="GLOBAL","GLOBAL",IF(CALC_EEM!C77="Total","CURSO_TOTAL",IF(CALC_EEM!C77="TotalEsp","CURSO_ESP",IF(CALC_EEM!C77="TotalNoEsp","CURSO_NOESP","CURSO_ASIG")))))</f>
        <v>GLOBAL</v>
      </c>
      <c r="B84" t="str">
        <f>IF(CALC_EEM!A77="","",CALC_EEM!A77)</f>
        <v>GLOBAL</v>
      </c>
      <c r="C84" t="str">
        <f>IF(CALC_EEM!B77="","",CALC_EEM!B77)</f>
        <v>Total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4">
      <c r="A85" t="str">
        <f>IF(CALC_EEM!A78="","",IF(CALC_EEM!A78="GLOBAL","GLOBAL",IF(CALC_EEM!C78="Total","CURSO_TOTAL",IF(CALC_EEM!C78="TotalEsp","CURSO_ESP",IF(CALC_EEM!C78="TotalNoEsp","CURSO_NOESP","CURSO_ASIG")))))</f>
        <v>GLOBAL</v>
      </c>
      <c r="B85" t="str">
        <f>IF(CALC_EEM!A78="","",CALC_EEM!A78)</f>
        <v>GLOBAL</v>
      </c>
      <c r="C85" t="str">
        <f>IF(CALC_EEM!B78="","",CALC_EEM!B78)</f>
        <v>Total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4">
      <c r="A86" t="str">
        <f>IF(CALC_EEM!A79="","",IF(CALC_EEM!A79="GLOBAL","GLOBAL",IF(CALC_EEM!C79="Total","CURSO_TOTAL",IF(CALC_EEM!C79="TotalEsp","CURSO_ESP",IF(CALC_EEM!C79="TotalNoEsp","CURSO_NOESP","CURSO_ASIG")))))</f>
        <v>GLOBAL</v>
      </c>
      <c r="B86" t="str">
        <f>IF(CALC_EEM!A79="","",CALC_EEM!A79)</f>
        <v>GLOBAL</v>
      </c>
      <c r="C86" t="str">
        <f>IF(CALC_EEM!B79="","",CALC_EEM!B79)</f>
        <v>Total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4">
      <c r="A87" t="str">
        <f>IF(CALC_EEM!A80="","",IF(CALC_EEM!A80="GLOBAL","GLOBAL",IF(CALC_EEM!C80="Total","CURSO_TOTAL",IF(CALC_EEM!C80="TotalEsp","CURSO_ESP",IF(CALC_EEM!C80="TotalNoEsp","CURSO_NOESP","CURSO_ASIG")))))</f>
        <v>GLOBAL</v>
      </c>
      <c r="B87" t="str">
        <f>IF(CALC_EEM!A80="","",CALC_EEM!A80)</f>
        <v>GLOBAL</v>
      </c>
      <c r="C87" t="str">
        <f>IF(CALC_EEM!B80="","",CALC_EEM!B80)</f>
        <v>Total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4">
      <c r="A88" t="str">
        <f>IF(CALC_EEM!A81="","",IF(CALC_EEM!A81="GLOBAL","GLOBAL",IF(CALC_EEM!C81="Total","CURSO_TOTAL",IF(CALC_EEM!C81="TotalEsp","CURSO_ESP",IF(CALC_EEM!C81="TotalNoEsp","CURSO_NOESP","CURSO_ASIG")))))</f>
        <v>GLOBAL</v>
      </c>
      <c r="B88" t="str">
        <f>IF(CALC_EEM!A81="","",CALC_EEM!A81)</f>
        <v>GLOBAL</v>
      </c>
      <c r="C88" t="str">
        <f>IF(CALC_EEM!B81="","",CALC_EEM!B81)</f>
        <v>Total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4">
      <c r="A89" t="str">
        <f>IF(CALC_EEM!A82="","",IF(CALC_EEM!A82="GLOBAL","GLOBAL",IF(CALC_EEM!C82="Total","CURSO_TOTAL",IF(CALC_EEM!C82="TotalEsp","CURSO_ESP",IF(CALC_EEM!C82="TotalNoEsp","CURSO_NOESP","CURSO_ASIG")))))</f>
        <v>GLOBAL</v>
      </c>
      <c r="B89" t="str">
        <f>IF(CALC_EEM!A82="","",CALC_EEM!A82)</f>
        <v>GLOBAL</v>
      </c>
      <c r="C89" t="str">
        <f>IF(CALC_EEM!B82="","",CALC_EEM!B82)</f>
        <v>Total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4">
      <c r="A90" t="str">
        <f>IF(CALC_EEM!A83="","",IF(CALC_EEM!A83="GLOBAL","GLOBAL",IF(CALC_EEM!C83="Total","CURSO_TOTAL",IF(CALC_EEM!C83="TotalEsp","CURSO_ESP",IF(CALC_EEM!C83="TotalNoEsp","CURSO_NOESP","CURSO_ASIG")))))</f>
        <v>GLOBAL</v>
      </c>
      <c r="B90" t="str">
        <f>IF(CALC_EEM!A83="","",CALC_EEM!A83)</f>
        <v>GLOBAL</v>
      </c>
      <c r="C90" t="str">
        <f>IF(CALC_EEM!B83="","",CALC_EEM!B83)</f>
        <v>Total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4">
      <c r="A91" t="str">
        <f>IF(CALC_EEM!A84="","",IF(CALC_EEM!A84="GLOBAL","GLOBAL",IF(CALC_EEM!C84="Total","CURSO_TOTAL",IF(CALC_EEM!C84="TotalEsp","CURSO_ESP",IF(CALC_EEM!C84="TotalNoEsp","CURSO_NOESP","CURSO_ASIG")))))</f>
        <v>GLOBAL</v>
      </c>
      <c r="B91" t="str">
        <f>IF(CALC_EEM!A84="","",CALC_EEM!A84)</f>
        <v>GLOBAL</v>
      </c>
      <c r="C91" t="str">
        <f>IF(CALC_EEM!B84="","",CALC_EEM!B84)</f>
        <v>Total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4">
      <c r="A92" t="str">
        <f>IF(CALC_EEM!A85="","",IF(CALC_EEM!A85="GLOBAL","GLOBAL",IF(CALC_EEM!C85="Total","CURSO_TOTAL",IF(CALC_EEM!C85="TotalEsp","CURSO_ESP",IF(CALC_EEM!C85="TotalNoEsp","CURSO_NOESP","CURSO_ASIG")))))</f>
        <v>GLOBAL</v>
      </c>
      <c r="B92" t="str">
        <f>IF(CALC_EEM!A85="","",CALC_EEM!A85)</f>
        <v>GLOBAL</v>
      </c>
      <c r="C92" t="str">
        <f>IF(CALC_EEM!B85="","",CALC_EEM!B85)</f>
        <v>Total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4">
      <c r="A93" t="str">
        <f>IF(CALC_EEM!A86="","",IF(CALC_EEM!A86="GLOBAL","GLOBAL",IF(CALC_EEM!C86="Total","CURSO_TOTAL",IF(CALC_EEM!C86="TotalEsp","CURSO_ESP",IF(CALC_EEM!C86="TotalNoEsp","CURSO_NOESP","CURSO_ASIG")))))</f>
        <v>GLOBAL</v>
      </c>
      <c r="B93" t="str">
        <f>IF(CALC_EEM!A86="","",CALC_EEM!A86)</f>
        <v>GLOBAL</v>
      </c>
      <c r="C93" t="str">
        <f>IF(CALC_EEM!B86="","",CALC_EEM!B86)</f>
        <v>Total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4">
      <c r="A94" t="str">
        <f>IF(CALC_EEM!A87="","",IF(CALC_EEM!A87="GLOBAL","GLOBAL",IF(CALC_EEM!C87="Total","CURSO_TOTAL",IF(CALC_EEM!C87="TotalEsp","CURSO_ESP",IF(CALC_EEM!C87="TotalNoEsp","CURSO_NOESP","CURSO_ASIG")))))</f>
        <v>GLOBAL</v>
      </c>
      <c r="B94" t="str">
        <f>IF(CALC_EEM!A87="","",CALC_EEM!A87)</f>
        <v>GLOBAL</v>
      </c>
      <c r="C94" t="str">
        <f>IF(CALC_EEM!B87="","",CALC_EEM!B87)</f>
        <v>Total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4">
      <c r="A95" t="str">
        <f>IF(CALC_EEM!A88="","",IF(CALC_EEM!A88="GLOBAL","GLOBAL",IF(CALC_EEM!C88="Total","CURSO_TOTAL",IF(CALC_EEM!C88="TotalEsp","CURSO_ESP",IF(CALC_EEM!C88="TotalNoEsp","CURSO_NOESP","CURSO_ASIG")))))</f>
        <v>GLOBAL</v>
      </c>
      <c r="B95" t="str">
        <f>IF(CALC_EEM!A88="","",CALC_EEM!A88)</f>
        <v>GLOBAL</v>
      </c>
      <c r="C95" t="str">
        <f>IF(CALC_EEM!B88="","",CALC_EEM!B88)</f>
        <v>Total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4">
      <c r="A96" t="str">
        <f>IF(CALC_EEM!A89="","",IF(CALC_EEM!A89="GLOBAL","GLOBAL",IF(CALC_EEM!C89="Total","CURSO_TOTAL",IF(CALC_EEM!C89="TotalEsp","CURSO_ESP",IF(CALC_EEM!C89="TotalNoEsp","CURSO_NOESP","CURSO_ASIG")))))</f>
        <v>GLOBAL</v>
      </c>
      <c r="B96" t="str">
        <f>IF(CALC_EEM!A89="","",CALC_EEM!A89)</f>
        <v>GLOBAL</v>
      </c>
      <c r="C96" t="str">
        <f>IF(CALC_EEM!B89="","",CALC_EEM!B89)</f>
        <v>Total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4">
      <c r="A97" t="str">
        <f>IF(CALC_EEM!A90="","",IF(CALC_EEM!A90="GLOBAL","GLOBAL",IF(CALC_EEM!C90="Total","CURSO_TOTAL",IF(CALC_EEM!C90="TotalEsp","CURSO_ESP",IF(CALC_EEM!C90="TotalNoEsp","CURSO_NOESP","CURSO_ASIG")))))</f>
        <v>GLOBAL</v>
      </c>
      <c r="B97" t="str">
        <f>IF(CALC_EEM!A90="","",CALC_EEM!A90)</f>
        <v>GLOBAL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4">
      <c r="A98" t="str">
        <f>IF(CALC_EEM!A91="","",IF(CALC_EEM!A91="GLOBAL","GLOBAL",IF(CALC_EEM!C91="Total","CURSO_TOTAL",IF(CALC_EEM!C91="TotalEsp","CURSO_ESP",IF(CALC_EEM!C91="TotalNoEsp","CURSO_NOESP","CURSO_ASIG")))))</f>
        <v>GLOBAL</v>
      </c>
      <c r="B98" t="str">
        <f>IF(CALC_EEM!A91="","",CALC_EEM!A91)</f>
        <v>GLOBAL</v>
      </c>
      <c r="C98" t="str">
        <f>IF(CALC_EEM!B91="","",CALC_EEM!B91)</f>
        <v>Total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4">
      <c r="A99" t="str">
        <f>IF(CALC_EEM!A92="","",IF(CALC_EEM!A92="GLOBAL","GLOBAL",IF(CALC_EEM!C92="Total","CURSO_TOTAL",IF(CALC_EEM!C92="TotalEsp","CURSO_ESP",IF(CALC_EEM!C92="TotalNoEsp","CURSO_NOESP","CURSO_ASIG")))))</f>
        <v>GLOBAL</v>
      </c>
      <c r="B99" t="str">
        <f>IF(CALC_EEM!A92="","",CALC_EEM!A92)</f>
        <v>GLOBAL</v>
      </c>
      <c r="C99" t="str">
        <f>IF(CALC_EEM!B92="","",CALC_EEM!B92)</f>
        <v>Total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4">
      <c r="A100" t="str">
        <f>IF(CALC_EEM!A93="","",IF(CALC_EEM!A93="GLOBAL","GLOBAL",IF(CALC_EEM!C93="Total","CURSO_TOTAL",IF(CALC_EEM!C93="TotalEsp","CURSO_ESP",IF(CALC_EEM!C93="TotalNoEsp","CURSO_NOESP","CURSO_ASIG")))))</f>
        <v>GLOBAL</v>
      </c>
      <c r="B100" t="str">
        <f>IF(CALC_EEM!A93="","",CALC_EEM!A93)</f>
        <v>GLOBAL</v>
      </c>
      <c r="C100" t="str">
        <f>IF(CALC_EEM!B93="","",CALC_EEM!B93)</f>
        <v>Total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4">
      <c r="A101" t="str">
        <f>IF(CALC_EEM!A94="","",IF(CALC_EEM!A94="GLOBAL","GLOBAL",IF(CALC_EEM!C94="Total","CURSO_TOTAL",IF(CALC_EEM!C94="TotalEsp","CURSO_ESP",IF(CALC_EEM!C94="TotalNoEsp","CURSO_NOESP","CURSO_ASIG")))))</f>
        <v>GLOBAL</v>
      </c>
      <c r="B101" t="str">
        <f>IF(CALC_EEM!A94="","",CALC_EEM!A94)</f>
        <v>GLOBAL</v>
      </c>
      <c r="C101" t="str">
        <f>IF(CALC_EEM!B94="","",CALC_EEM!B94)</f>
        <v>Total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4">
      <c r="A102" t="str">
        <f>IF(CALC_EEM!A95="","",IF(CALC_EEM!A95="GLOBAL","GLOBAL",IF(CALC_EEM!C95="Total","CURSO_TOTAL",IF(CALC_EEM!C95="TotalEsp","CURSO_ESP",IF(CALC_EEM!C95="TotalNoEsp","CURSO_NOESP","CURSO_ASIG")))))</f>
        <v>GLOBAL</v>
      </c>
      <c r="B102" t="str">
        <f>IF(CALC_EEM!A95="","",CALC_EEM!A95)</f>
        <v>GLOBAL</v>
      </c>
      <c r="C102" t="str">
        <f>IF(CALC_EEM!B95="","",CALC_EEM!B95)</f>
        <v>Total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4">
      <c r="A103" t="str">
        <f>IF(CALC_EEM!A96="","",IF(CALC_EEM!A96="GLOBAL","GLOBAL",IF(CALC_EEM!C96="Total","CURSO_TOTAL",IF(CALC_EEM!C96="TotalEsp","CURSO_ESP",IF(CALC_EEM!C96="TotalNoEsp","CURSO_NOESP","CURSO_ASIG")))))</f>
        <v>GLOBAL</v>
      </c>
      <c r="B103" t="str">
        <f>IF(CALC_EEM!A96="","",CALC_EEM!A96)</f>
        <v>GLOBAL</v>
      </c>
      <c r="C103" t="str">
        <f>IF(CALC_EEM!B96="","",CALC_EEM!B96)</f>
        <v>Total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4">
      <c r="A104" t="str">
        <f>IF(CALC_EEM!A97="","",IF(CALC_EEM!A97="GLOBAL","GLOBAL",IF(CALC_EEM!C97="Total","CURSO_TOTAL",IF(CALC_EEM!C97="TotalEsp","CURSO_ESP",IF(CALC_EEM!C97="TotalNoEsp","CURSO_NOESP","CURSO_ASIG")))))</f>
        <v>GLOBAL</v>
      </c>
      <c r="B104" t="str">
        <f>IF(CALC_EEM!A97="","",CALC_EEM!A97)</f>
        <v>GLOBAL</v>
      </c>
      <c r="C104" t="str">
        <f>IF(CALC_EEM!B97="","",CALC_EEM!B97)</f>
        <v>Total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4">
      <c r="A105" t="str">
        <f>IF(CALC_EEM!A98="","",IF(CALC_EEM!A98="GLOBAL","GLOBAL",IF(CALC_EEM!C98="Total","CURSO_TOTAL",IF(CALC_EEM!C98="TotalEsp","CURSO_ESP",IF(CALC_EEM!C98="TotalNoEsp","CURSO_NOESP","CURSO_ASIG")))))</f>
        <v>GLOBAL</v>
      </c>
      <c r="B105" t="str">
        <f>IF(CALC_EEM!A98="","",CALC_EEM!A98)</f>
        <v>GLOBAL</v>
      </c>
      <c r="C105" t="str">
        <f>IF(CALC_EEM!B98="","",CALC_EEM!B98)</f>
        <v>Total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4">
      <c r="A106" t="str">
        <f>IF(CALC_EEM!A99="","",IF(CALC_EEM!A99="GLOBAL","GLOBAL",IF(CALC_EEM!C99="Total","CURSO_TOTAL",IF(CALC_EEM!C99="TotalEsp","CURSO_ESP",IF(CALC_EEM!C99="TotalNoEsp","CURSO_NOESP","CURSO_ASIG")))))</f>
        <v>GLOBAL</v>
      </c>
      <c r="B106" t="str">
        <f>IF(CALC_EEM!A99="","",CALC_EEM!A99)</f>
        <v>GLOBAL</v>
      </c>
      <c r="C106" t="str">
        <f>IF(CALC_EEM!B99="","",CALC_EEM!B99)</f>
        <v>Total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4">
      <c r="A107" t="str">
        <f>IF(CALC_EEM!A100="","",IF(CALC_EEM!A100="GLOBAL","GLOBAL",IF(CALC_EEM!C100="Total","CURSO_TOTAL",IF(CALC_EEM!C100="TotalEsp","CURSO_ESP",IF(CALC_EEM!C100="TotalNoEsp","CURSO_NOESP","CURSO_ASIG")))))</f>
        <v>GLOBAL</v>
      </c>
      <c r="B107" t="str">
        <f>IF(CALC_EEM!A100="","",CALC_EEM!A100)</f>
        <v>GLOBAL</v>
      </c>
      <c r="C107" t="str">
        <f>IF(CALC_EEM!B100="","",CALC_EEM!B100)</f>
        <v>Total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4">
      <c r="A108" t="str">
        <f>IF(CALC_EEM!A101="","",IF(CALC_EEM!A101="GLOBAL","GLOBAL",IF(CALC_EEM!C101="Total","CURSO_TOTAL",IF(CALC_EEM!C101="TotalEsp","CURSO_ESP",IF(CALC_EEM!C101="TotalNoEsp","CURSO_NOESP","CURSO_ASIG")))))</f>
        <v>GLOBAL</v>
      </c>
      <c r="B108" t="str">
        <f>IF(CALC_EEM!A101="","",CALC_EEM!A101)</f>
        <v>GLOBAL</v>
      </c>
      <c r="C108" t="str">
        <f>IF(CALC_EEM!B101="","",CALC_EEM!B101)</f>
        <v>Total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4">
      <c r="A109" t="str">
        <f>IF(CALC_EEM!A102="","",IF(CALC_EEM!A102="GLOBAL","GLOBAL",IF(CALC_EEM!C102="Total","CURSO_TOTAL",IF(CALC_EEM!C102="TotalEsp","CURSO_ESP",IF(CALC_EEM!C102="TotalNoEsp","CURSO_NOESP","CURSO_ASIG")))))</f>
        <v>GLOBAL</v>
      </c>
      <c r="B109" t="str">
        <f>IF(CALC_EEM!A102="","",CALC_EEM!A102)</f>
        <v>GLOBAL</v>
      </c>
      <c r="C109" t="str">
        <f>IF(CALC_EEM!B102="","",CALC_EEM!B102)</f>
        <v>Total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4">
      <c r="A110" t="str">
        <f>IF(CALC_EEM!A103="","",IF(CALC_EEM!A103="GLOBAL","GLOBAL",IF(CALC_EEM!C103="Total","CURSO_TOTAL",IF(CALC_EEM!C103="TotalEsp","CURSO_ESP",IF(CALC_EEM!C103="TotalNoEsp","CURSO_NOESP","CURSO_ASIG")))))</f>
        <v>GLOBAL</v>
      </c>
      <c r="B110" t="str">
        <f>IF(CALC_EEM!A103="","",CALC_EEM!A103)</f>
        <v>GLOBAL</v>
      </c>
      <c r="C110" t="str">
        <f>IF(CALC_EEM!B103="","",CALC_EEM!B103)</f>
        <v>Total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4">
      <c r="A111" t="str">
        <f>IF(CALC_EEM!A104="","",IF(CALC_EEM!A104="GLOBAL","GLOBAL",IF(CALC_EEM!C104="Total","CURSO_TOTAL",IF(CALC_EEM!C104="TotalEsp","CURSO_ESP",IF(CALC_EEM!C104="TotalNoEsp","CURSO_NOESP","CURSO_ASIG")))))</f>
        <v>GLOBAL</v>
      </c>
      <c r="B111" t="str">
        <f>IF(CALC_EEM!A104="","",CALC_EEM!A104)</f>
        <v>GLOBAL</v>
      </c>
      <c r="C111" t="str">
        <f>IF(CALC_EEM!B104="","",CALC_EEM!B104)</f>
        <v>Total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4">
      <c r="A112" t="str">
        <f>IF(CALC_EEM!A105="","",IF(CALC_EEM!A105="GLOBAL","GLOBAL",IF(CALC_EEM!C105="Total","CURSO_TOTAL",IF(CALC_EEM!C105="TotalEsp","CURSO_ESP",IF(CALC_EEM!C105="TotalNoEsp","CURSO_NOESP","CURSO_ASIG")))))</f>
        <v>GLOBAL</v>
      </c>
      <c r="B112" t="str">
        <f>IF(CALC_EEM!A105="","",CALC_EEM!A105)</f>
        <v>GLOBAL</v>
      </c>
      <c r="C112" t="str">
        <f>IF(CALC_EEM!B105="","",CALC_EEM!B105)</f>
        <v>Total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4">
      <c r="A113" t="str">
        <f>IF(CALC_EEM!A106="","",IF(CALC_EEM!A106="GLOBAL","GLOBAL",IF(CALC_EEM!C106="Total","CURSO_TOTAL",IF(CALC_EEM!C106="TotalEsp","CURSO_ESP",IF(CALC_EEM!C106="TotalNoEsp","CURSO_NOESP","CURSO_ASIG")))))</f>
        <v>GLOBAL</v>
      </c>
      <c r="B113" t="str">
        <f>IF(CALC_EEM!A106="","",CALC_EEM!A106)</f>
        <v>GLOBAL</v>
      </c>
      <c r="C113" t="str">
        <f>IF(CALC_EEM!B106="","",CALC_EEM!B106)</f>
        <v>Total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4">
      <c r="A114" t="str">
        <f>IF(CALC_EEM!A107="","",IF(CALC_EEM!A107="GLOBAL","GLOBAL",IF(CALC_EEM!C107="Total","CURSO_TOTAL",IF(CALC_EEM!C107="TotalEsp","CURSO_ESP",IF(CALC_EEM!C107="TotalNoEsp","CURSO_NOESP","CURSO_ASIG")))))</f>
        <v>GLOBAL</v>
      </c>
      <c r="B114" t="str">
        <f>IF(CALC_EEM!A107="","",CALC_EEM!A107)</f>
        <v>GLOBAL</v>
      </c>
      <c r="C114" t="str">
        <f>IF(CALC_EEM!B107="","",CALC_EEM!B107)</f>
        <v>Total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4">
      <c r="A115" t="str">
        <f>IF(CALC_EEM!A108="","",IF(CALC_EEM!A108="GLOBAL","GLOBAL",IF(CALC_EEM!C108="Total","CURSO_TOTAL",IF(CALC_EEM!C108="TotalEsp","CURSO_ESP",IF(CALC_EEM!C108="TotalNoEsp","CURSO_NOESP","CURSO_ASIG")))))</f>
        <v>GLOBAL</v>
      </c>
      <c r="B115" t="str">
        <f>IF(CALC_EEM!A108="","",CALC_EEM!A108)</f>
        <v>GLOBAL</v>
      </c>
      <c r="C115" t="str">
        <f>IF(CALC_EEM!B108="","",CALC_EEM!B108)</f>
        <v>Total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4">
      <c r="A116" t="str">
        <f>IF(CALC_EEM!A109="","",IF(CALC_EEM!A109="GLOBAL","GLOBAL",IF(CALC_EEM!C109="Total","CURSO_TOTAL",IF(CALC_EEM!C109="TotalEsp","CURSO_ESP",IF(CALC_EEM!C109="TotalNoEsp","CURSO_NOESP","CURSO_ASIG")))))</f>
        <v>GLOBAL</v>
      </c>
      <c r="B116" t="str">
        <f>IF(CALC_EEM!A109="","",CALC_EEM!A109)</f>
        <v>GLOBAL</v>
      </c>
      <c r="C116" t="str">
        <f>IF(CALC_EEM!B109="","",CALC_EEM!B109)</f>
        <v>Total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4">
      <c r="A117" t="str">
        <f>IF(CALC_EEM!A110="","",IF(CALC_EEM!A110="GLOBAL","GLOBAL",IF(CALC_EEM!C110="Total","CURSO_TOTAL",IF(CALC_EEM!C110="TotalEsp","CURSO_ESP",IF(CALC_EEM!C110="TotalNoEsp","CURSO_NOESP","CURSO_ASIG")))))</f>
        <v>GLOBAL</v>
      </c>
      <c r="B117" t="str">
        <f>IF(CALC_EEM!A110="","",CALC_EEM!A110)</f>
        <v>GLOBAL</v>
      </c>
      <c r="C117" t="str">
        <f>IF(CALC_EEM!B110="","",CALC_EEM!B110)</f>
        <v>Total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4">
      <c r="A118" t="str">
        <f>IF(CALC_EEM!A111="","",IF(CALC_EEM!A111="GLOBAL","GLOBAL",IF(CALC_EEM!C111="Total","CURSO_TOTAL",IF(CALC_EEM!C111="TotalEsp","CURSO_ESP",IF(CALC_EEM!C111="TotalNoEsp","CURSO_NOESP","CURSO_ASIG")))))</f>
        <v>GLOBAL</v>
      </c>
      <c r="B118" t="str">
        <f>IF(CALC_EEM!A111="","",CALC_EEM!A111)</f>
        <v>GLOBAL</v>
      </c>
      <c r="C118" t="str">
        <f>IF(CALC_EEM!B111="","",CALC_EEM!B111)</f>
        <v>Total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19" spans="1:24">
      <c r="A119" t="str">
        <f>IF(CALC_EEM!A112="","",IF(CALC_EEM!A112="GLOBAL","GLOBAL",IF(CALC_EEM!C112="Total","CURSO_TOTAL",IF(CALC_EEM!C112="TotalEsp","CURSO_ESP",IF(CALC_EEM!C112="TotalNoEsp","CURSO_NOESP","CURSO_ASIG")))))</f>
        <v>GLOBAL</v>
      </c>
      <c r="B119" t="str">
        <f>IF(CALC_EEM!A112="","",CALC_EEM!A112)</f>
        <v>GLOBAL</v>
      </c>
      <c r="C119" t="str">
        <f>IF(CALC_EEM!B112="","",CALC_EEM!B112)</f>
        <v>Total</v>
      </c>
      <c r="D119">
        <f>IF(CALC_EEM!D112="","",CALC_EEM!D112)</f>
        <v>0</v>
      </c>
      <c r="E119" s="14" t="str">
        <f>IF(CALC_EEM!E112="","",CALC_EEM!E112)</f>
        <v>—</v>
      </c>
      <c r="F119" s="14" t="str">
        <f>IF(CALC_EEM!F112="","",CALC_EEM!F112)</f>
        <v>—</v>
      </c>
      <c r="G119" t="str">
        <f>IF(CALC_EEM!G112="","",CALC_EEM!G112)</f>
        <v>—</v>
      </c>
      <c r="H119" s="16" t="str">
        <f>IF(CALC_EEM!H112="","",CALC_EEM!H112)</f>
        <v>—</v>
      </c>
      <c r="I119" s="16" t="str">
        <f>IF(CALC_EEM!I112="","",CALC_EEM!I112)</f>
        <v>—</v>
      </c>
      <c r="J119" t="str">
        <f>IF(CALC_EEM!J112="","",CALC_EEM!J112)</f>
        <v>—</v>
      </c>
      <c r="K119" t="str">
        <f>IF(CALC_EEM!K112="","",CALC_EEM!K112)</f>
        <v>—</v>
      </c>
      <c r="L119">
        <f>IF(CALC_EEM!L112="","",CALC_EEM!L112)</f>
        <v>0</v>
      </c>
      <c r="M119">
        <f>IF(CALC_EEM!M112="","",CALC_EEM!M112)</f>
        <v>0</v>
      </c>
      <c r="N119">
        <f>IF(CALC_EEM!N112="","",CALC_EEM!N112)</f>
        <v>0</v>
      </c>
      <c r="O119">
        <f>IF(CALC_EEM!O112="","",CALC_EEM!O112)</f>
        <v>0</v>
      </c>
      <c r="P119">
        <f>IF(CALC_EEM!P112="","",CALC_EEM!P112)</f>
        <v>0</v>
      </c>
      <c r="Q119">
        <f>IF(CALC_EEM!Q112="","",CALC_EEM!Q112)</f>
        <v>0</v>
      </c>
      <c r="R119">
        <f>IF(CALC_EEM!R112="","",CALC_EEM!R112)</f>
        <v>0</v>
      </c>
      <c r="S119">
        <f>IF(CALC_EEM!S112="","",CALC_EEM!S112)</f>
        <v>0</v>
      </c>
      <c r="T119">
        <f>IF(CALC_EEM!T112="","",CALC_EEM!T112)</f>
        <v>0</v>
      </c>
      <c r="U119">
        <f>IF(CALC_EEM!U112="","",CALC_EEM!U112)</f>
        <v>0</v>
      </c>
    </row>
    <row r="120" spans="1:24">
      <c r="A120" t="str">
        <f>IF(CALC_EEM!A113="","",IF(CALC_EEM!A113="GLOBAL","GLOBAL",IF(CALC_EEM!C113="Total","CURSO_TOTAL",IF(CALC_EEM!C113="TotalEsp","CURSO_ESP",IF(CALC_EEM!C113="TotalNoEsp","CURSO_NOESP","CURSO_ASIG")))))</f>
        <v>GLOBAL</v>
      </c>
      <c r="B120" t="str">
        <f>IF(CALC_EEM!A113="","",CALC_EEM!A113)</f>
        <v>GLOBAL</v>
      </c>
      <c r="C120" t="str">
        <f>IF(CALC_EEM!B113="","",CALC_EEM!B113)</f>
        <v>Total</v>
      </c>
      <c r="D120">
        <f>IF(CALC_EEM!D113="","",CALC_EEM!D113)</f>
        <v>0</v>
      </c>
      <c r="E120" s="14" t="str">
        <f>IF(CALC_EEM!E113="","",CALC_EEM!E113)</f>
        <v>—</v>
      </c>
      <c r="F120" s="14" t="str">
        <f>IF(CALC_EEM!F113="","",CALC_EEM!F113)</f>
        <v>—</v>
      </c>
      <c r="G120" t="str">
        <f>IF(CALC_EEM!G113="","",CALC_EEM!G113)</f>
        <v>—</v>
      </c>
      <c r="H120" s="16" t="str">
        <f>IF(CALC_EEM!H113="","",CALC_EEM!H113)</f>
        <v>—</v>
      </c>
      <c r="I120" s="16" t="str">
        <f>IF(CALC_EEM!I113="","",CALC_EEM!I113)</f>
        <v>—</v>
      </c>
      <c r="J120" t="str">
        <f>IF(CALC_EEM!J113="","",CALC_EEM!J113)</f>
        <v>—</v>
      </c>
      <c r="K120" t="str">
        <f>IF(CALC_EEM!K113="","",CALC_EEM!K113)</f>
        <v>—</v>
      </c>
      <c r="L120">
        <f>IF(CALC_EEM!L113="","",CALC_EEM!L113)</f>
        <v>0</v>
      </c>
      <c r="M120">
        <f>IF(CALC_EEM!M113="","",CALC_EEM!M113)</f>
        <v>0</v>
      </c>
      <c r="N120">
        <f>IF(CALC_EEM!N113="","",CALC_EEM!N113)</f>
        <v>0</v>
      </c>
      <c r="O120">
        <f>IF(CALC_EEM!O113="","",CALC_EEM!O113)</f>
        <v>0</v>
      </c>
      <c r="P120">
        <f>IF(CALC_EEM!P113="","",CALC_EEM!P113)</f>
        <v>0</v>
      </c>
      <c r="Q120">
        <f>IF(CALC_EEM!Q113="","",CALC_EEM!Q113)</f>
        <v>0</v>
      </c>
      <c r="R120">
        <f>IF(CALC_EEM!R113="","",CALC_EEM!R113)</f>
        <v>0</v>
      </c>
      <c r="S120">
        <f>IF(CALC_EEM!S113="","",CALC_EEM!S113)</f>
        <v>0</v>
      </c>
      <c r="T120">
        <f>IF(CALC_EEM!T113="","",CALC_EEM!T113)</f>
        <v>0</v>
      </c>
      <c r="U120">
        <f>IF(CALC_EEM!U113="","",CALC_EEM!U113)</f>
        <v>0</v>
      </c>
    </row>
    <row r="121" spans="1:24">
      <c r="A121" t="str">
        <f>IF(CALC_EEM!A114="","",IF(CALC_EEM!A114="GLOBAL","GLOBAL",IF(CALC_EEM!C114="Total","CURSO_TOTAL",IF(CALC_EEM!C114="TotalEsp","CURSO_ESP",IF(CALC_EEM!C114="TotalNoEsp","CURSO_NOESP","CURSO_ASIG")))))</f>
        <v>GLOBAL</v>
      </c>
      <c r="B121" t="str">
        <f>IF(CALC_EEM!A114="","",CALC_EEM!A114)</f>
        <v>GLOBAL</v>
      </c>
      <c r="C121" t="str">
        <f>IF(CALC_EEM!B114="","",CALC_EEM!B114)</f>
        <v>Total</v>
      </c>
      <c r="D121">
        <f>IF(CALC_EEM!D114="","",CALC_EEM!D114)</f>
        <v>0</v>
      </c>
      <c r="E121" s="14" t="str">
        <f>IF(CALC_EEM!E114="","",CALC_EEM!E114)</f>
        <v>—</v>
      </c>
      <c r="F121" s="14" t="str">
        <f>IF(CALC_EEM!F114="","",CALC_EEM!F114)</f>
        <v>—</v>
      </c>
      <c r="G121" t="str">
        <f>IF(CALC_EEM!G114="","",CALC_EEM!G114)</f>
        <v>—</v>
      </c>
      <c r="H121" s="16" t="str">
        <f>IF(CALC_EEM!H114="","",CALC_EEM!H114)</f>
        <v>—</v>
      </c>
      <c r="I121" s="16" t="str">
        <f>IF(CALC_EEM!I114="","",CALC_EEM!I114)</f>
        <v>—</v>
      </c>
      <c r="J121" t="str">
        <f>IF(CALC_EEM!J114="","",CALC_EEM!J114)</f>
        <v>—</v>
      </c>
      <c r="K121" t="str">
        <f>IF(CALC_EEM!K114="","",CALC_EEM!K114)</f>
        <v>—</v>
      </c>
      <c r="L121">
        <f>IF(CALC_EEM!L114="","",CALC_EEM!L114)</f>
        <v>0</v>
      </c>
      <c r="M121">
        <f>IF(CALC_EEM!M114="","",CALC_EEM!M114)</f>
        <v>0</v>
      </c>
      <c r="N121">
        <f>IF(CALC_EEM!N114="","",CALC_EEM!N114)</f>
        <v>0</v>
      </c>
      <c r="O121">
        <f>IF(CALC_EEM!O114="","",CALC_EEM!O114)</f>
        <v>0</v>
      </c>
      <c r="P121">
        <f>IF(CALC_EEM!P114="","",CALC_EEM!P114)</f>
        <v>0</v>
      </c>
      <c r="Q121">
        <f>IF(CALC_EEM!Q114="","",CALC_EEM!Q114)</f>
        <v>0</v>
      </c>
      <c r="R121">
        <f>IF(CALC_EEM!R114="","",CALC_EEM!R114)</f>
        <v>0</v>
      </c>
      <c r="S121">
        <f>IF(CALC_EEM!S114="","",CALC_EEM!S114)</f>
        <v>0</v>
      </c>
      <c r="T121">
        <f>IF(CALC_EEM!T114="","",CALC_EEM!T114)</f>
        <v>0</v>
      </c>
      <c r="U121">
        <f>IF(CALC_EEM!U114="","",CALC_EEM!U114)</f>
        <v>0</v>
      </c>
    </row>
    <row r="122" spans="1:24">
      <c r="A122" t="str">
        <f>IF(CALC_EEM!A115="","",IF(CALC_EEM!A115="GLOBAL","GLOBAL",IF(CALC_EEM!C115="Total","CURSO_TOTAL",IF(CALC_EEM!C115="TotalEsp","CURSO_ESP",IF(CALC_EEM!C115="TotalNoEsp","CURSO_NOESP","CURSO_ASIG")))))</f>
        <v>GLOBAL</v>
      </c>
      <c r="B122" t="str">
        <f>IF(CALC_EEM!A115="","",CALC_EEM!A115)</f>
        <v>GLOBAL</v>
      </c>
      <c r="C122" t="str">
        <f>IF(CALC_EEM!B115="","",CALC_EEM!B115)</f>
        <v>Total</v>
      </c>
      <c r="D122">
        <f>IF(CALC_EEM!D115="","",CALC_EEM!D115)</f>
        <v>0</v>
      </c>
      <c r="E122" s="14" t="str">
        <f>IF(CALC_EEM!E115="","",CALC_EEM!E115)</f>
        <v>—</v>
      </c>
      <c r="F122" s="14" t="str">
        <f>IF(CALC_EEM!F115="","",CALC_EEM!F115)</f>
        <v>—</v>
      </c>
      <c r="G122" t="str">
        <f>IF(CALC_EEM!G115="","",CALC_EEM!G115)</f>
        <v>—</v>
      </c>
      <c r="H122" s="16" t="str">
        <f>IF(CALC_EEM!H115="","",CALC_EEM!H115)</f>
        <v>—</v>
      </c>
      <c r="I122" s="16" t="str">
        <f>IF(CALC_EEM!I115="","",CALC_EEM!I115)</f>
        <v>—</v>
      </c>
      <c r="J122" t="str">
        <f>IF(CALC_EEM!J115="","",CALC_EEM!J115)</f>
        <v>—</v>
      </c>
      <c r="K122" t="str">
        <f>IF(CALC_EEM!K115="","",CALC_EEM!K115)</f>
        <v>—</v>
      </c>
      <c r="L122">
        <f>IF(CALC_EEM!L115="","",CALC_EEM!L115)</f>
        <v>0</v>
      </c>
      <c r="M122">
        <f>IF(CALC_EEM!M115="","",CALC_EEM!M115)</f>
        <v>0</v>
      </c>
      <c r="N122">
        <f>IF(CALC_EEM!N115="","",CALC_EEM!N115)</f>
        <v>0</v>
      </c>
      <c r="O122">
        <f>IF(CALC_EEM!O115="","",CALC_EEM!O115)</f>
        <v>0</v>
      </c>
      <c r="P122">
        <f>IF(CALC_EEM!P115="","",CALC_EEM!P115)</f>
        <v>0</v>
      </c>
      <c r="Q122">
        <f>IF(CALC_EEM!Q115="","",CALC_EEM!Q115)</f>
        <v>0</v>
      </c>
      <c r="R122">
        <f>IF(CALC_EEM!R115="","",CALC_EEM!R115)</f>
        <v>0</v>
      </c>
      <c r="S122">
        <f>IF(CALC_EEM!S115="","",CALC_EEM!S115)</f>
        <v>0</v>
      </c>
      <c r="T122">
        <f>IF(CALC_EEM!T115="","",CALC_EEM!T115)</f>
        <v>0</v>
      </c>
      <c r="U122">
        <f>IF(CALC_EEM!U115="","",CALC_EEM!U115)</f>
        <v>0</v>
      </c>
    </row>
    <row r="123" spans="1:24">
      <c r="A123" t="str">
        <f>IF(CALC_EEM!A116="","",IF(CALC_EEM!A116="GLOBAL","GLOBAL",IF(CALC_EEM!C116="Total","CURSO_TOTAL",IF(CALC_EEM!C116="TotalEsp","CURSO_ESP",IF(CALC_EEM!C116="TotalNoEsp","CURSO_NOESP","CURSO_ASIG")))))</f>
        <v>GLOBAL</v>
      </c>
      <c r="B123" t="str">
        <f>IF(CALC_EEM!A116="","",CALC_EEM!A116)</f>
        <v>GLOBAL</v>
      </c>
      <c r="C123" t="str">
        <f>IF(CALC_EEM!B116="","",CALC_EEM!B116)</f>
        <v>Total</v>
      </c>
      <c r="D123">
        <f>IF(CALC_EEM!D116="","",CALC_EEM!D116)</f>
        <v>0</v>
      </c>
      <c r="E123" s="14" t="str">
        <f>IF(CALC_EEM!E116="","",CALC_EEM!E116)</f>
        <v>—</v>
      </c>
      <c r="F123" s="14" t="str">
        <f>IF(CALC_EEM!F116="","",CALC_EEM!F116)</f>
        <v>—</v>
      </c>
      <c r="G123" t="str">
        <f>IF(CALC_EEM!G116="","",CALC_EEM!G116)</f>
        <v>—</v>
      </c>
      <c r="H123" s="16" t="str">
        <f>IF(CALC_EEM!H116="","",CALC_EEM!H116)</f>
        <v>—</v>
      </c>
      <c r="I123" s="16" t="str">
        <f>IF(CALC_EEM!I116="","",CALC_EEM!I116)</f>
        <v>—</v>
      </c>
      <c r="J123" t="str">
        <f>IF(CALC_EEM!J116="","",CALC_EEM!J116)</f>
        <v>—</v>
      </c>
      <c r="K123" t="str">
        <f>IF(CALC_EEM!K116="","",CALC_EEM!K116)</f>
        <v>—</v>
      </c>
      <c r="L123">
        <f>IF(CALC_EEM!L116="","",CALC_EEM!L116)</f>
        <v>0</v>
      </c>
      <c r="M123">
        <f>IF(CALC_EEM!M116="","",CALC_EEM!M116)</f>
        <v>0</v>
      </c>
      <c r="N123">
        <f>IF(CALC_EEM!N116="","",CALC_EEM!N116)</f>
        <v>0</v>
      </c>
      <c r="O123">
        <f>IF(CALC_EEM!O116="","",CALC_EEM!O116)</f>
        <v>0</v>
      </c>
      <c r="P123">
        <f>IF(CALC_EEM!P116="","",CALC_EEM!P116)</f>
        <v>0</v>
      </c>
      <c r="Q123">
        <f>IF(CALC_EEM!Q116="","",CALC_EEM!Q116)</f>
        <v>0</v>
      </c>
      <c r="R123">
        <f>IF(CALC_EEM!R116="","",CALC_EEM!R116)</f>
        <v>0</v>
      </c>
      <c r="S123">
        <f>IF(CALC_EEM!S116="","",CALC_EEM!S116)</f>
        <v>0</v>
      </c>
      <c r="T123">
        <f>IF(CALC_EEM!T116="","",CALC_EEM!T116)</f>
        <v>0</v>
      </c>
      <c r="U123">
        <f>IF(CALC_EEM!U116="","",CALC_EEM!U116)</f>
        <v>0</v>
      </c>
    </row>
    <row r="124" spans="1:24">
      <c r="A124" t="str">
        <f>IF(CALC_EEM!A117="","",IF(CALC_EEM!A117="GLOBAL","GLOBAL",IF(CALC_EEM!C117="Total","CURSO_TOTAL",IF(CALC_EEM!C117="TotalEsp","CURSO_ESP",IF(CALC_EEM!C117="TotalNoEsp","CURSO_NOESP","CURSO_ASIG")))))</f>
        <v>GLOBAL</v>
      </c>
      <c r="B124" t="str">
        <f>IF(CALC_EEM!A117="","",CALC_EEM!A117)</f>
        <v>GLOBAL</v>
      </c>
      <c r="C124" t="str">
        <f>IF(CALC_EEM!B117="","",CALC_EEM!B117)</f>
        <v>Total</v>
      </c>
      <c r="D124">
        <f>IF(CALC_EEM!D117="","",CALC_EEM!D117)</f>
        <v>0</v>
      </c>
      <c r="E124" s="14" t="str">
        <f>IF(CALC_EEM!E117="","",CALC_EEM!E117)</f>
        <v>—</v>
      </c>
      <c r="F124" s="14" t="str">
        <f>IF(CALC_EEM!F117="","",CALC_EEM!F117)</f>
        <v>—</v>
      </c>
      <c r="G124" t="str">
        <f>IF(CALC_EEM!G117="","",CALC_EEM!G117)</f>
        <v>—</v>
      </c>
      <c r="H124" s="16" t="str">
        <f>IF(CALC_EEM!H117="","",CALC_EEM!H117)</f>
        <v>—</v>
      </c>
      <c r="I124" s="16" t="str">
        <f>IF(CALC_EEM!I117="","",CALC_EEM!I117)</f>
        <v>—</v>
      </c>
      <c r="J124" t="str">
        <f>IF(CALC_EEM!J117="","",CALC_EEM!J117)</f>
        <v>—</v>
      </c>
      <c r="K124" t="str">
        <f>IF(CALC_EEM!K117="","",CALC_EEM!K117)</f>
        <v>—</v>
      </c>
      <c r="L124">
        <f>IF(CALC_EEM!L117="","",CALC_EEM!L117)</f>
        <v>0</v>
      </c>
      <c r="M124">
        <f>IF(CALC_EEM!M117="","",CALC_EEM!M117)</f>
        <v>0</v>
      </c>
      <c r="N124">
        <f>IF(CALC_EEM!N117="","",CALC_EEM!N117)</f>
        <v>0</v>
      </c>
      <c r="O124">
        <f>IF(CALC_EEM!O117="","",CALC_EEM!O117)</f>
        <v>0</v>
      </c>
      <c r="P124">
        <f>IF(CALC_EEM!P117="","",CALC_EEM!P117)</f>
        <v>0</v>
      </c>
      <c r="Q124">
        <f>IF(CALC_EEM!Q117="","",CALC_EEM!Q117)</f>
        <v>0</v>
      </c>
      <c r="R124">
        <f>IF(CALC_EEM!R117="","",CALC_EEM!R117)</f>
        <v>0</v>
      </c>
      <c r="S124">
        <f>IF(CALC_EEM!S117="","",CALC_EEM!S117)</f>
        <v>0</v>
      </c>
      <c r="T124">
        <f>IF(CALC_EEM!T117="","",CALC_EEM!T117)</f>
        <v>0</v>
      </c>
      <c r="U124">
        <f>IF(CALC_EEM!U117="","",CALC_EEM!U117)</f>
        <v>0</v>
      </c>
    </row>
    <row r="125" spans="1:24">
      <c r="A125" t="str">
        <f>IF(CALC_EEM!A118="","",IF(CALC_EEM!A118="GLOBAL","GLOBAL",IF(CALC_EEM!C118="Total","CURSO_TOTAL",IF(CALC_EEM!C118="TotalEsp","CURSO_ESP",IF(CALC_EEM!C118="TotalNoEsp","CURSO_NOESP","CURSO_ASIG")))))</f>
        <v>GLOBAL</v>
      </c>
      <c r="B125" t="str">
        <f>IF(CALC_EEM!A118="","",CALC_EEM!A118)</f>
        <v>GLOBAL</v>
      </c>
      <c r="C125" t="str">
        <f>IF(CALC_EEM!B118="","",CALC_EEM!B118)</f>
        <v>Total</v>
      </c>
      <c r="D125">
        <f>IF(CALC_EEM!D118="","",CALC_EEM!D118)</f>
        <v>0</v>
      </c>
      <c r="E125" s="14" t="str">
        <f>IF(CALC_EEM!E118="","",CALC_EEM!E118)</f>
        <v>—</v>
      </c>
      <c r="F125" s="14" t="str">
        <f>IF(CALC_EEM!F118="","",CALC_EEM!F118)</f>
        <v>—</v>
      </c>
      <c r="G125" t="str">
        <f>IF(CALC_EEM!G118="","",CALC_EEM!G118)</f>
        <v>—</v>
      </c>
      <c r="H125" s="16" t="str">
        <f>IF(CALC_EEM!H118="","",CALC_EEM!H118)</f>
        <v>—</v>
      </c>
      <c r="I125" s="16" t="str">
        <f>IF(CALC_EEM!I118="","",CALC_EEM!I118)</f>
        <v>—</v>
      </c>
      <c r="J125" t="str">
        <f>IF(CALC_EEM!J118="","",CALC_EEM!J118)</f>
        <v>—</v>
      </c>
      <c r="K125" t="str">
        <f>IF(CALC_EEM!K118="","",CALC_EEM!K118)</f>
        <v>—</v>
      </c>
      <c r="L125">
        <f>IF(CALC_EEM!L118="","",CALC_EEM!L118)</f>
        <v>0</v>
      </c>
      <c r="M125">
        <f>IF(CALC_EEM!M118="","",CALC_EEM!M118)</f>
        <v>0</v>
      </c>
      <c r="N125">
        <f>IF(CALC_EEM!N118="","",CALC_EEM!N118)</f>
        <v>0</v>
      </c>
      <c r="O125">
        <f>IF(CALC_EEM!O118="","",CALC_EEM!O118)</f>
        <v>0</v>
      </c>
      <c r="P125">
        <f>IF(CALC_EEM!P118="","",CALC_EEM!P118)</f>
        <v>0</v>
      </c>
      <c r="Q125">
        <f>IF(CALC_EEM!Q118="","",CALC_EEM!Q118)</f>
        <v>0</v>
      </c>
      <c r="R125">
        <f>IF(CALC_EEM!R118="","",CALC_EEM!R118)</f>
        <v>0</v>
      </c>
      <c r="S125">
        <f>IF(CALC_EEM!S118="","",CALC_EEM!S118)</f>
        <v>0</v>
      </c>
      <c r="T125">
        <f>IF(CALC_EEM!T118="","",CALC_EEM!T118)</f>
        <v>0</v>
      </c>
      <c r="U125">
        <f>IF(CALC_EEM!U118="","",CALC_EEM!U118)</f>
        <v>0</v>
      </c>
    </row>
    <row r="126" spans="1:24">
      <c r="A126" t="str">
        <f>IF(CALC_EEM!A119="","",IF(CALC_EEM!A119="GLOBAL","GLOBAL",IF(CALC_EEM!C119="Total","CURSO_TOTAL",IF(CALC_EEM!C119="TotalEsp","CURSO_ESP",IF(CALC_EEM!C119="TotalNoEsp","CURSO_NOESP","CURSO_ASIG")))))</f>
        <v>GLOBAL</v>
      </c>
      <c r="B126" t="str">
        <f>IF(CALC_EEM!A119="","",CALC_EEM!A119)</f>
        <v>GLOBAL</v>
      </c>
      <c r="C126" t="str">
        <f>IF(CALC_EEM!B119="","",CALC_EEM!B119)</f>
        <v>Total</v>
      </c>
      <c r="D126">
        <f>IF(CALC_EEM!D119="","",CALC_EEM!D119)</f>
        <v>0</v>
      </c>
      <c r="E126" s="14" t="str">
        <f>IF(CALC_EEM!E119="","",CALC_EEM!E119)</f>
        <v>—</v>
      </c>
      <c r="F126" s="14" t="str">
        <f>IF(CALC_EEM!F119="","",CALC_EEM!F119)</f>
        <v>—</v>
      </c>
      <c r="G126" t="str">
        <f>IF(CALC_EEM!G119="","",CALC_EEM!G119)</f>
        <v>—</v>
      </c>
      <c r="H126" s="16" t="str">
        <f>IF(CALC_EEM!H119="","",CALC_EEM!H119)</f>
        <v>—</v>
      </c>
      <c r="I126" s="16" t="str">
        <f>IF(CALC_EEM!I119="","",CALC_EEM!I119)</f>
        <v>—</v>
      </c>
      <c r="J126" t="str">
        <f>IF(CALC_EEM!J119="","",CALC_EEM!J119)</f>
        <v>—</v>
      </c>
      <c r="K126" t="str">
        <f>IF(CALC_EEM!K119="","",CALC_EEM!K119)</f>
        <v>—</v>
      </c>
      <c r="L126">
        <f>IF(CALC_EEM!L119="","",CALC_EEM!L119)</f>
        <v>0</v>
      </c>
      <c r="M126">
        <f>IF(CALC_EEM!M119="","",CALC_EEM!M119)</f>
        <v>0</v>
      </c>
      <c r="N126">
        <f>IF(CALC_EEM!N119="","",CALC_EEM!N119)</f>
        <v>0</v>
      </c>
      <c r="O126">
        <f>IF(CALC_EEM!O119="","",CALC_EEM!O119)</f>
        <v>0</v>
      </c>
      <c r="P126">
        <f>IF(CALC_EEM!P119="","",CALC_EEM!P119)</f>
        <v>0</v>
      </c>
      <c r="Q126">
        <f>IF(CALC_EEM!Q119="","",CALC_EEM!Q119)</f>
        <v>0</v>
      </c>
      <c r="R126">
        <f>IF(CALC_EEM!R119="","",CALC_EEM!R119)</f>
        <v>0</v>
      </c>
      <c r="S126">
        <f>IF(CALC_EEM!S119="","",CALC_EEM!S119)</f>
        <v>0</v>
      </c>
      <c r="T126">
        <f>IF(CALC_EEM!T119="","",CALC_EEM!T119)</f>
        <v>0</v>
      </c>
      <c r="U126">
        <f>IF(CALC_EEM!U119="","",CALC_EEM!U119)</f>
        <v>0</v>
      </c>
    </row>
    <row r="127" spans="1:24">
      <c r="A127" t="str">
        <f>IF(CALC_EEM!A120="","",IF(CALC_EEM!A120="GLOBAL","GLOBAL",IF(CALC_EEM!C120="Total","CURSO_TOTAL",IF(CALC_EEM!C120="TotalEsp","CURSO_ESP",IF(CALC_EEM!C120="TotalNoEsp","CURSO_NOESP","CURSO_ASIG")))))</f>
        <v>GLOBAL</v>
      </c>
      <c r="B127" t="str">
        <f>IF(CALC_EEM!A120="","",CALC_EEM!A120)</f>
        <v>GLOBAL</v>
      </c>
      <c r="C127" t="str">
        <f>IF(CALC_EEM!B120="","",CALC_EEM!B120)</f>
        <v>Total</v>
      </c>
      <c r="D127">
        <f>IF(CALC_EEM!D120="","",CALC_EEM!D120)</f>
        <v>0</v>
      </c>
      <c r="E127" s="14" t="str">
        <f>IF(CALC_EEM!E120="","",CALC_EEM!E120)</f>
        <v>—</v>
      </c>
      <c r="F127" s="14" t="str">
        <f>IF(CALC_EEM!F120="","",CALC_EEM!F120)</f>
        <v>—</v>
      </c>
      <c r="G127" t="str">
        <f>IF(CALC_EEM!G120="","",CALC_EEM!G120)</f>
        <v>—</v>
      </c>
      <c r="H127" s="16" t="str">
        <f>IF(CALC_EEM!H120="","",CALC_EEM!H120)</f>
        <v>—</v>
      </c>
      <c r="I127" s="16" t="str">
        <f>IF(CALC_EEM!I120="","",CALC_EEM!I120)</f>
        <v>—</v>
      </c>
      <c r="J127" t="str">
        <f>IF(CALC_EEM!J120="","",CALC_EEM!J120)</f>
        <v>—</v>
      </c>
      <c r="K127" t="str">
        <f>IF(CALC_EEM!K120="","",CALC_EEM!K120)</f>
        <v>—</v>
      </c>
      <c r="L127">
        <f>IF(CALC_EEM!L120="","",CALC_EEM!L120)</f>
        <v>0</v>
      </c>
      <c r="M127">
        <f>IF(CALC_EEM!M120="","",CALC_EEM!M120)</f>
        <v>0</v>
      </c>
      <c r="N127">
        <f>IF(CALC_EEM!N120="","",CALC_EEM!N120)</f>
        <v>0</v>
      </c>
      <c r="O127">
        <f>IF(CALC_EEM!O120="","",CALC_EEM!O120)</f>
        <v>0</v>
      </c>
      <c r="P127">
        <f>IF(CALC_EEM!P120="","",CALC_EEM!P120)</f>
        <v>0</v>
      </c>
      <c r="Q127">
        <f>IF(CALC_EEM!Q120="","",CALC_EEM!Q120)</f>
        <v>0</v>
      </c>
      <c r="R127">
        <f>IF(CALC_EEM!R120="","",CALC_EEM!R120)</f>
        <v>0</v>
      </c>
      <c r="S127">
        <f>IF(CALC_EEM!S120="","",CALC_EEM!S120)</f>
        <v>0</v>
      </c>
      <c r="T127">
        <f>IF(CALC_EEM!T120="","",CALC_EEM!T120)</f>
        <v>0</v>
      </c>
      <c r="U127">
        <f>IF(CALC_EEM!U120="","",CALC_EEM!U120)</f>
        <v>0</v>
      </c>
    </row>
    <row r="128" spans="1:24">
      <c r="A128" t="str">
        <f>IF(CALC_EEM!A121="","",IF(CALC_EEM!A121="GLOBAL","GLOBAL",IF(CALC_EEM!C121="Total","CURSO_TOTAL",IF(CALC_EEM!C121="TotalEsp","CURSO_ESP",IF(CALC_EEM!C121="TotalNoEsp","CURSO_NOESP","CURSO_ASIG")))))</f>
        <v>GLOBAL</v>
      </c>
      <c r="B128" t="str">
        <f>IF(CALC_EEM!A121="","",CALC_EEM!A121)</f>
        <v>GLOBAL</v>
      </c>
      <c r="C128" t="str">
        <f>IF(CALC_EEM!B121="","",CALC_EEM!B121)</f>
        <v>Total</v>
      </c>
      <c r="D128">
        <f>IF(CALC_EEM!D121="","",CALC_EEM!D121)</f>
        <v>0</v>
      </c>
      <c r="E128" s="14" t="str">
        <f>IF(CALC_EEM!E121="","",CALC_EEM!E121)</f>
        <v>—</v>
      </c>
      <c r="F128" s="14" t="str">
        <f>IF(CALC_EEM!F121="","",CALC_EEM!F121)</f>
        <v>—</v>
      </c>
      <c r="G128" t="str">
        <f>IF(CALC_EEM!G121="","",CALC_EEM!G121)</f>
        <v>—</v>
      </c>
      <c r="H128" s="16" t="str">
        <f>IF(CALC_EEM!H121="","",CALC_EEM!H121)</f>
        <v>—</v>
      </c>
      <c r="I128" s="16" t="str">
        <f>IF(CALC_EEM!I121="","",CALC_EEM!I121)</f>
        <v>—</v>
      </c>
      <c r="J128" t="str">
        <f>IF(CALC_EEM!J121="","",CALC_EEM!J121)</f>
        <v>—</v>
      </c>
      <c r="K128" t="str">
        <f>IF(CALC_EEM!K121="","",CALC_EEM!K121)</f>
        <v>—</v>
      </c>
      <c r="L128">
        <f>IF(CALC_EEM!L121="","",CALC_EEM!L121)</f>
        <v>0</v>
      </c>
      <c r="M128">
        <f>IF(CALC_EEM!M121="","",CALC_EEM!M121)</f>
        <v>0</v>
      </c>
      <c r="N128">
        <f>IF(CALC_EEM!N121="","",CALC_EEM!N121)</f>
        <v>0</v>
      </c>
      <c r="O128">
        <f>IF(CALC_EEM!O121="","",CALC_EEM!O121)</f>
        <v>0</v>
      </c>
      <c r="P128">
        <f>IF(CALC_EEM!P121="","",CALC_EEM!P121)</f>
        <v>0</v>
      </c>
      <c r="Q128">
        <f>IF(CALC_EEM!Q121="","",CALC_EEM!Q121)</f>
        <v>0</v>
      </c>
      <c r="R128">
        <f>IF(CALC_EEM!R121="","",CALC_EEM!R121)</f>
        <v>0</v>
      </c>
      <c r="S128">
        <f>IF(CALC_EEM!S121="","",CALC_EEM!S121)</f>
        <v>0</v>
      </c>
      <c r="T128">
        <f>IF(CALC_EEM!T121="","",CALC_EEM!T121)</f>
        <v>0</v>
      </c>
      <c r="U128">
        <f>IF(CALC_EEM!U121="","",CALC_EEM!U121)</f>
        <v>0</v>
      </c>
    </row>
    <row r="129" spans="1:24">
      <c r="A129" t="str">
        <f>IF(CALC_EEM!A122="","",IF(CALC_EEM!A122="GLOBAL","GLOBAL",IF(CALC_EEM!C122="Total","CURSO_TOTAL",IF(CALC_EEM!C122="TotalEsp","CURSO_ESP",IF(CALC_EEM!C122="TotalNoEsp","CURSO_NOESP","CURSO_ASIG")))))</f>
        <v>GLOBAL</v>
      </c>
      <c r="B129" t="str">
        <f>IF(CALC_EEM!A122="","",CALC_EEM!A122)</f>
        <v>GLOBAL</v>
      </c>
      <c r="C129" t="str">
        <f>IF(CALC_EEM!B122="","",CALC_EEM!B122)</f>
        <v>Total</v>
      </c>
      <c r="D129">
        <f>IF(CALC_EEM!D122="","",CALC_EEM!D122)</f>
        <v>0</v>
      </c>
      <c r="E129" s="14" t="str">
        <f>IF(CALC_EEM!E122="","",CALC_EEM!E122)</f>
        <v>—</v>
      </c>
      <c r="F129" s="14" t="str">
        <f>IF(CALC_EEM!F122="","",CALC_EEM!F122)</f>
        <v>—</v>
      </c>
      <c r="G129" t="str">
        <f>IF(CALC_EEM!G122="","",CALC_EEM!G122)</f>
        <v>—</v>
      </c>
      <c r="H129" s="16" t="str">
        <f>IF(CALC_EEM!H122="","",CALC_EEM!H122)</f>
        <v>—</v>
      </c>
      <c r="I129" s="16" t="str">
        <f>IF(CALC_EEM!I122="","",CALC_EEM!I122)</f>
        <v>—</v>
      </c>
      <c r="J129" t="str">
        <f>IF(CALC_EEM!J122="","",CALC_EEM!J122)</f>
        <v>—</v>
      </c>
      <c r="K129" t="str">
        <f>IF(CALC_EEM!K122="","",CALC_EEM!K122)</f>
        <v>—</v>
      </c>
      <c r="L129">
        <f>IF(CALC_EEM!L122="","",CALC_EEM!L122)</f>
        <v>0</v>
      </c>
      <c r="M129">
        <f>IF(CALC_EEM!M122="","",CALC_EEM!M122)</f>
        <v>0</v>
      </c>
      <c r="N129">
        <f>IF(CALC_EEM!N122="","",CALC_EEM!N122)</f>
        <v>0</v>
      </c>
      <c r="O129">
        <f>IF(CALC_EEM!O122="","",CALC_EEM!O122)</f>
        <v>0</v>
      </c>
      <c r="P129">
        <f>IF(CALC_EEM!P122="","",CALC_EEM!P122)</f>
        <v>0</v>
      </c>
      <c r="Q129">
        <f>IF(CALC_EEM!Q122="","",CALC_EEM!Q122)</f>
        <v>0</v>
      </c>
      <c r="R129">
        <f>IF(CALC_EEM!R122="","",CALC_EEM!R122)</f>
        <v>0</v>
      </c>
      <c r="S129">
        <f>IF(CALC_EEM!S122="","",CALC_EEM!S122)</f>
        <v>0</v>
      </c>
      <c r="T129">
        <f>IF(CALC_EEM!T122="","",CALC_EEM!T122)</f>
        <v>0</v>
      </c>
      <c r="U129">
        <f>IF(CALC_EEM!U122="","",CALC_EEM!U122)</f>
        <v>0</v>
      </c>
    </row>
    <row r="130" spans="1:24">
      <c r="A130" t="str">
        <f>IF(CALC_EEM!A123="","",IF(CALC_EEM!A123="GLOBAL","GLOBAL",IF(CALC_EEM!C123="Total","CURSO_TOTAL",IF(CALC_EEM!C123="TotalEsp","CURSO_ESP",IF(CALC_EEM!C123="TotalNoEsp","CURSO_NOESP","CURSO_ASIG")))))</f>
        <v>GLOBAL</v>
      </c>
      <c r="B130" t="str">
        <f>IF(CALC_EEM!A123="","",CALC_EEM!A123)</f>
        <v>GLOBAL</v>
      </c>
      <c r="C130" t="str">
        <f>IF(CALC_EEM!B123="","",CALC_EEM!B123)</f>
        <v>Total</v>
      </c>
      <c r="D130">
        <f>IF(CALC_EEM!D123="","",CALC_EEM!D123)</f>
        <v>0</v>
      </c>
      <c r="E130" s="14" t="str">
        <f>IF(CALC_EEM!E123="","",CALC_EEM!E123)</f>
        <v>—</v>
      </c>
      <c r="F130" s="14" t="str">
        <f>IF(CALC_EEM!F123="","",CALC_EEM!F123)</f>
        <v>—</v>
      </c>
      <c r="G130" t="str">
        <f>IF(CALC_EEM!G123="","",CALC_EEM!G123)</f>
        <v>—</v>
      </c>
      <c r="H130" s="16" t="str">
        <f>IF(CALC_EEM!H123="","",CALC_EEM!H123)</f>
        <v>—</v>
      </c>
      <c r="I130" s="16" t="str">
        <f>IF(CALC_EEM!I123="","",CALC_EEM!I123)</f>
        <v>—</v>
      </c>
      <c r="J130" t="str">
        <f>IF(CALC_EEM!J123="","",CALC_EEM!J123)</f>
        <v>—</v>
      </c>
      <c r="K130" t="str">
        <f>IF(CALC_EEM!K123="","",CALC_EEM!K123)</f>
        <v>—</v>
      </c>
      <c r="L130">
        <f>IF(CALC_EEM!L123="","",CALC_EEM!L123)</f>
        <v>0</v>
      </c>
      <c r="M130">
        <f>IF(CALC_EEM!M123="","",CALC_EEM!M123)</f>
        <v>0</v>
      </c>
      <c r="N130">
        <f>IF(CALC_EEM!N123="","",CALC_EEM!N123)</f>
        <v>0</v>
      </c>
      <c r="O130">
        <f>IF(CALC_EEM!O123="","",CALC_EEM!O123)</f>
        <v>0</v>
      </c>
      <c r="P130">
        <f>IF(CALC_EEM!P123="","",CALC_EEM!P123)</f>
        <v>0</v>
      </c>
      <c r="Q130">
        <f>IF(CALC_EEM!Q123="","",CALC_EEM!Q123)</f>
        <v>0</v>
      </c>
      <c r="R130">
        <f>IF(CALC_EEM!R123="","",CALC_EEM!R123)</f>
        <v>0</v>
      </c>
      <c r="S130">
        <f>IF(CALC_EEM!S123="","",CALC_EEM!S123)</f>
        <v>0</v>
      </c>
      <c r="T130">
        <f>IF(CALC_EEM!T123="","",CALC_EEM!T123)</f>
        <v>0</v>
      </c>
      <c r="U130">
        <f>IF(CALC_EEM!U123="","",CALC_EEM!U123)</f>
        <v>0</v>
      </c>
    </row>
    <row r="131" spans="1:24">
      <c r="A131" t="str">
        <f>IF(CALC_EEM!A124="","",IF(CALC_EEM!A124="GLOBAL","GLOBAL",IF(CALC_EEM!C124="Total","CURSO_TOTAL",IF(CALC_EEM!C124="TotalEsp","CURSO_ESP",IF(CALC_EEM!C124="TotalNoEsp","CURSO_NOESP","CURSO_ASIG")))))</f>
        <v>GLOBAL</v>
      </c>
      <c r="B131" t="str">
        <f>IF(CALC_EEM!A124="","",CALC_EEM!A124)</f>
        <v>GLOBAL</v>
      </c>
      <c r="C131" t="str">
        <f>IF(CALC_EEM!B124="","",CALC_EEM!B124)</f>
        <v>Total</v>
      </c>
      <c r="D131">
        <f>IF(CALC_EEM!D124="","",CALC_EEM!D124)</f>
        <v>0</v>
      </c>
      <c r="E131" s="14" t="str">
        <f>IF(CALC_EEM!E124="","",CALC_EEM!E124)</f>
        <v>—</v>
      </c>
      <c r="F131" s="14" t="str">
        <f>IF(CALC_EEM!F124="","",CALC_EEM!F124)</f>
        <v>—</v>
      </c>
      <c r="G131" t="str">
        <f>IF(CALC_EEM!G124="","",CALC_EEM!G124)</f>
        <v>—</v>
      </c>
      <c r="H131" s="16" t="str">
        <f>IF(CALC_EEM!H124="","",CALC_EEM!H124)</f>
        <v>—</v>
      </c>
      <c r="I131" s="16" t="str">
        <f>IF(CALC_EEM!I124="","",CALC_EEM!I124)</f>
        <v>—</v>
      </c>
      <c r="J131" t="str">
        <f>IF(CALC_EEM!J124="","",CALC_EEM!J124)</f>
        <v>—</v>
      </c>
      <c r="K131" t="str">
        <f>IF(CALC_EEM!K124="","",CALC_EEM!K124)</f>
        <v>—</v>
      </c>
      <c r="L131">
        <f>IF(CALC_EEM!L124="","",CALC_EEM!L124)</f>
        <v>0</v>
      </c>
      <c r="M131">
        <f>IF(CALC_EEM!M124="","",CALC_EEM!M124)</f>
        <v>0</v>
      </c>
      <c r="N131">
        <f>IF(CALC_EEM!N124="","",CALC_EEM!N124)</f>
        <v>0</v>
      </c>
      <c r="O131">
        <f>IF(CALC_EEM!O124="","",CALC_EEM!O124)</f>
        <v>0</v>
      </c>
      <c r="P131">
        <f>IF(CALC_EEM!P124="","",CALC_EEM!P124)</f>
        <v>0</v>
      </c>
      <c r="Q131">
        <f>IF(CALC_EEM!Q124="","",CALC_EEM!Q124)</f>
        <v>0</v>
      </c>
      <c r="R131">
        <f>IF(CALC_EEM!R124="","",CALC_EEM!R124)</f>
        <v>0</v>
      </c>
      <c r="S131">
        <f>IF(CALC_EEM!S124="","",CALC_EEM!S124)</f>
        <v>0</v>
      </c>
      <c r="T131">
        <f>IF(CALC_EEM!T124="","",CALC_EEM!T124)</f>
        <v>0</v>
      </c>
      <c r="U131">
        <f>IF(CALC_EEM!U124="","",CALC_EEM!U124)</f>
        <v>0</v>
      </c>
    </row>
    <row r="132" spans="1:24">
      <c r="A132" t="str">
        <f>IF(CALC_EEM!A125="","",IF(CALC_EEM!A125="GLOBAL","GLOBAL",IF(CALC_EEM!C125="Total","CURSO_TOTAL",IF(CALC_EEM!C125="TotalEsp","CURSO_ESP",IF(CALC_EEM!C125="TotalNoEsp","CURSO_NOESP","CURSO_ASIG")))))</f>
        <v>GLOBAL</v>
      </c>
      <c r="B132" t="str">
        <f>IF(CALC_EEM!A125="","",CALC_EEM!A125)</f>
        <v>GLOBAL</v>
      </c>
      <c r="C132" t="str">
        <f>IF(CALC_EEM!B125="","",CALC_EEM!B125)</f>
        <v>Total</v>
      </c>
      <c r="D132">
        <f>IF(CALC_EEM!D125="","",CALC_EEM!D125)</f>
        <v>0</v>
      </c>
      <c r="E132" s="14" t="str">
        <f>IF(CALC_EEM!E125="","",CALC_EEM!E125)</f>
        <v>—</v>
      </c>
      <c r="F132" s="14" t="str">
        <f>IF(CALC_EEM!F125="","",CALC_EEM!F125)</f>
        <v>—</v>
      </c>
      <c r="G132" t="str">
        <f>IF(CALC_EEM!G125="","",CALC_EEM!G125)</f>
        <v>—</v>
      </c>
      <c r="H132" s="16" t="str">
        <f>IF(CALC_EEM!H125="","",CALC_EEM!H125)</f>
        <v>—</v>
      </c>
      <c r="I132" s="16" t="str">
        <f>IF(CALC_EEM!I125="","",CALC_EEM!I125)</f>
        <v>—</v>
      </c>
      <c r="J132" t="str">
        <f>IF(CALC_EEM!J125="","",CALC_EEM!J125)</f>
        <v>—</v>
      </c>
      <c r="K132" t="str">
        <f>IF(CALC_EEM!K125="","",CALC_EEM!K125)</f>
        <v>—</v>
      </c>
      <c r="L132">
        <f>IF(CALC_EEM!L125="","",CALC_EEM!L125)</f>
        <v>0</v>
      </c>
      <c r="M132">
        <f>IF(CALC_EEM!M125="","",CALC_EEM!M125)</f>
        <v>0</v>
      </c>
      <c r="N132">
        <f>IF(CALC_EEM!N125="","",CALC_EEM!N125)</f>
        <v>0</v>
      </c>
      <c r="O132">
        <f>IF(CALC_EEM!O125="","",CALC_EEM!O125)</f>
        <v>0</v>
      </c>
      <c r="P132">
        <f>IF(CALC_EEM!P125="","",CALC_EEM!P125)</f>
        <v>0</v>
      </c>
      <c r="Q132">
        <f>IF(CALC_EEM!Q125="","",CALC_EEM!Q125)</f>
        <v>0</v>
      </c>
      <c r="R132">
        <f>IF(CALC_EEM!R125="","",CALC_EEM!R125)</f>
        <v>0</v>
      </c>
      <c r="S132">
        <f>IF(CALC_EEM!S125="","",CALC_EEM!S125)</f>
        <v>0</v>
      </c>
      <c r="T132">
        <f>IF(CALC_EEM!T125="","",CALC_EEM!T125)</f>
        <v>0</v>
      </c>
      <c r="U132">
        <f>IF(CALC_EEM!U125="","",CALC_EEM!U125)</f>
        <v>0</v>
      </c>
    </row>
    <row r="133" spans="1:24">
      <c r="A133" t="str">
        <f>IF(CALC_EEM!A126="","",IF(CALC_EEM!A126="GLOBAL","GLOBAL",IF(CALC_EEM!C126="Total","CURSO_TOTAL",IF(CALC_EEM!C126="TotalEsp","CURSO_ESP",IF(CALC_EEM!C126="TotalNoEsp","CURSO_NOESP","CURSO_ASIG")))))</f>
        <v>GLOBAL</v>
      </c>
      <c r="B133" t="str">
        <f>IF(CALC_EEM!A126="","",CALC_EEM!A126)</f>
        <v>GLOBAL</v>
      </c>
      <c r="C133" t="str">
        <f>IF(CALC_EEM!B126="","",CALC_EEM!B126)</f>
        <v>Total</v>
      </c>
      <c r="D133">
        <f>IF(CALC_EEM!D126="","",CALC_EEM!D126)</f>
        <v>0</v>
      </c>
      <c r="E133" s="14" t="str">
        <f>IF(CALC_EEM!E126="","",CALC_EEM!E126)</f>
        <v>—</v>
      </c>
      <c r="F133" s="14" t="str">
        <f>IF(CALC_EEM!F126="","",CALC_EEM!F126)</f>
        <v>—</v>
      </c>
      <c r="G133" t="str">
        <f>IF(CALC_EEM!G126="","",CALC_EEM!G126)</f>
        <v>—</v>
      </c>
      <c r="H133" s="16" t="str">
        <f>IF(CALC_EEM!H126="","",CALC_EEM!H126)</f>
        <v>—</v>
      </c>
      <c r="I133" s="16" t="str">
        <f>IF(CALC_EEM!I126="","",CALC_EEM!I126)</f>
        <v>—</v>
      </c>
      <c r="J133" t="str">
        <f>IF(CALC_EEM!J126="","",CALC_EEM!J126)</f>
        <v>—</v>
      </c>
      <c r="K133" t="str">
        <f>IF(CALC_EEM!K126="","",CALC_EEM!K126)</f>
        <v>—</v>
      </c>
      <c r="L133">
        <f>IF(CALC_EEM!L126="","",CALC_EEM!L126)</f>
        <v>0</v>
      </c>
      <c r="M133">
        <f>IF(CALC_EEM!M126="","",CALC_EEM!M126)</f>
        <v>0</v>
      </c>
      <c r="N133">
        <f>IF(CALC_EEM!N126="","",CALC_EEM!N126)</f>
        <v>0</v>
      </c>
      <c r="O133">
        <f>IF(CALC_EEM!O126="","",CALC_EEM!O126)</f>
        <v>0</v>
      </c>
      <c r="P133">
        <f>IF(CALC_EEM!P126="","",CALC_EEM!P126)</f>
        <v>0</v>
      </c>
      <c r="Q133">
        <f>IF(CALC_EEM!Q126="","",CALC_EEM!Q126)</f>
        <v>0</v>
      </c>
      <c r="R133">
        <f>IF(CALC_EEM!R126="","",CALC_EEM!R126)</f>
        <v>0</v>
      </c>
      <c r="S133">
        <f>IF(CALC_EEM!S126="","",CALC_EEM!S126)</f>
        <v>0</v>
      </c>
      <c r="T133">
        <f>IF(CALC_EEM!T126="","",CALC_EEM!T126)</f>
        <v>0</v>
      </c>
      <c r="U133">
        <f>IF(CALC_EEM!U126="","",CALC_EEM!U126)</f>
        <v>0</v>
      </c>
    </row>
    <row r="134" spans="1:24">
      <c r="A134" t="str">
        <f>IF(CALC_EEM!A127="","",IF(CALC_EEM!A127="GLOBAL","GLOBAL",IF(CALC_EEM!C127="Total","CURSO_TOTAL",IF(CALC_EEM!C127="TotalEsp","CURSO_ESP",IF(CALC_EEM!C127="TotalNoEsp","CURSO_NOESP","CURSO_ASIG")))))</f>
        <v>GLOBAL</v>
      </c>
      <c r="B134" t="str">
        <f>IF(CALC_EEM!A127="","",CALC_EEM!A127)</f>
        <v>GLOBAL</v>
      </c>
      <c r="C134" t="str">
        <f>IF(CALC_EEM!B127="","",CALC_EEM!B127)</f>
        <v>Total</v>
      </c>
      <c r="D134">
        <f>IF(CALC_EEM!D127="","",CALC_EEM!D127)</f>
        <v>0</v>
      </c>
      <c r="E134" s="14" t="str">
        <f>IF(CALC_EEM!E127="","",CALC_EEM!E127)</f>
        <v>—</v>
      </c>
      <c r="F134" s="14" t="str">
        <f>IF(CALC_EEM!F127="","",CALC_EEM!F127)</f>
        <v>—</v>
      </c>
      <c r="G134" t="str">
        <f>IF(CALC_EEM!G127="","",CALC_EEM!G127)</f>
        <v>—</v>
      </c>
      <c r="H134" s="16" t="str">
        <f>IF(CALC_EEM!H127="","",CALC_EEM!H127)</f>
        <v>—</v>
      </c>
      <c r="I134" s="16" t="str">
        <f>IF(CALC_EEM!I127="","",CALC_EEM!I127)</f>
        <v>—</v>
      </c>
      <c r="J134" t="str">
        <f>IF(CALC_EEM!J127="","",CALC_EEM!J127)</f>
        <v>—</v>
      </c>
      <c r="K134" t="str">
        <f>IF(CALC_EEM!K127="","",CALC_EEM!K127)</f>
        <v>—</v>
      </c>
      <c r="L134">
        <f>IF(CALC_EEM!L127="","",CALC_EEM!L127)</f>
        <v>0</v>
      </c>
      <c r="M134">
        <f>IF(CALC_EEM!M127="","",CALC_EEM!M127)</f>
        <v>0</v>
      </c>
      <c r="N134">
        <f>IF(CALC_EEM!N127="","",CALC_EEM!N127)</f>
        <v>0</v>
      </c>
      <c r="O134">
        <f>IF(CALC_EEM!O127="","",CALC_EEM!O127)</f>
        <v>0</v>
      </c>
      <c r="P134">
        <f>IF(CALC_EEM!P127="","",CALC_EEM!P127)</f>
        <v>0</v>
      </c>
      <c r="Q134">
        <f>IF(CALC_EEM!Q127="","",CALC_EEM!Q127)</f>
        <v>0</v>
      </c>
      <c r="R134">
        <f>IF(CALC_EEM!R127="","",CALC_EEM!R127)</f>
        <v>0</v>
      </c>
      <c r="S134">
        <f>IF(CALC_EEM!S127="","",CALC_EEM!S127)</f>
        <v>0</v>
      </c>
      <c r="T134">
        <f>IF(CALC_EEM!T127="","",CALC_EEM!T127)</f>
        <v>0</v>
      </c>
      <c r="U134">
        <f>IF(CALC_EEM!U127="","",CALC_EEM!U127)</f>
        <v>0</v>
      </c>
    </row>
    <row r="135" spans="1:24">
      <c r="A135" t="str">
        <f>IF(CALC_EEM!A128="","",IF(CALC_EEM!A128="GLOBAL","GLOBAL",IF(CALC_EEM!C128="Total","CURSO_TOTAL",IF(CALC_EEM!C128="TotalEsp","CURSO_ESP",IF(CALC_EEM!C128="TotalNoEsp","CURSO_NOESP","CURSO_ASIG")))))</f>
        <v>GLOBAL</v>
      </c>
      <c r="B135" t="str">
        <f>IF(CALC_EEM!A128="","",CALC_EEM!A128)</f>
        <v>GLOBAL</v>
      </c>
      <c r="C135" t="str">
        <f>IF(CALC_EEM!B128="","",CALC_EEM!B128)</f>
        <v>Total</v>
      </c>
      <c r="D135">
        <f>IF(CALC_EEM!D128="","",CALC_EEM!D128)</f>
        <v>0</v>
      </c>
      <c r="E135" s="14" t="str">
        <f>IF(CALC_EEM!E128="","",CALC_EEM!E128)</f>
        <v>—</v>
      </c>
      <c r="F135" s="14" t="str">
        <f>IF(CALC_EEM!F128="","",CALC_EEM!F128)</f>
        <v>—</v>
      </c>
      <c r="G135" t="str">
        <f>IF(CALC_EEM!G128="","",CALC_EEM!G128)</f>
        <v>—</v>
      </c>
      <c r="H135" s="16" t="str">
        <f>IF(CALC_EEM!H128="","",CALC_EEM!H128)</f>
        <v>—</v>
      </c>
      <c r="I135" s="16" t="str">
        <f>IF(CALC_EEM!I128="","",CALC_EEM!I128)</f>
        <v>—</v>
      </c>
      <c r="J135" t="str">
        <f>IF(CALC_EEM!J128="","",CALC_EEM!J128)</f>
        <v>—</v>
      </c>
      <c r="K135" t="str">
        <f>IF(CALC_EEM!K128="","",CALC_EEM!K128)</f>
        <v>—</v>
      </c>
      <c r="L135">
        <f>IF(CALC_EEM!L128="","",CALC_EEM!L128)</f>
        <v>0</v>
      </c>
      <c r="M135">
        <f>IF(CALC_EEM!M128="","",CALC_EEM!M128)</f>
        <v>0</v>
      </c>
      <c r="N135">
        <f>IF(CALC_EEM!N128="","",CALC_EEM!N128)</f>
        <v>0</v>
      </c>
      <c r="O135">
        <f>IF(CALC_EEM!O128="","",CALC_EEM!O128)</f>
        <v>0</v>
      </c>
      <c r="P135">
        <f>IF(CALC_EEM!P128="","",CALC_EEM!P128)</f>
        <v>0</v>
      </c>
      <c r="Q135">
        <f>IF(CALC_EEM!Q128="","",CALC_EEM!Q128)</f>
        <v>0</v>
      </c>
      <c r="R135">
        <f>IF(CALC_EEM!R128="","",CALC_EEM!R128)</f>
        <v>0</v>
      </c>
      <c r="S135">
        <f>IF(CALC_EEM!S128="","",CALC_EEM!S128)</f>
        <v>0</v>
      </c>
      <c r="T135">
        <f>IF(CALC_EEM!T128="","",CALC_EEM!T128)</f>
        <v>0</v>
      </c>
      <c r="U135">
        <f>IF(CALC_EEM!U128="","",CALC_EEM!U128)</f>
        <v>0</v>
      </c>
    </row>
    <row r="136" spans="1:24">
      <c r="A136" t="str">
        <f>IF(CALC_EEM!A129="","",IF(CALC_EEM!A129="GLOBAL","GLOBAL",IF(CALC_EEM!C129="Total","CURSO_TOTAL",IF(CALC_EEM!C129="TotalEsp","CURSO_ESP",IF(CALC_EEM!C129="TotalNoEsp","CURSO_NOESP","CURSO_ASIG")))))</f>
        <v>GLOBAL</v>
      </c>
      <c r="B136" t="str">
        <f>IF(CALC_EEM!A129="","",CALC_EEM!A129)</f>
        <v>GLOBAL</v>
      </c>
      <c r="C136" t="str">
        <f>IF(CALC_EEM!B129="","",CALC_EEM!B129)</f>
        <v>Total</v>
      </c>
      <c r="D136">
        <f>IF(CALC_EEM!D129="","",CALC_EEM!D129)</f>
        <v>0</v>
      </c>
      <c r="E136" s="14" t="str">
        <f>IF(CALC_EEM!E129="","",CALC_EEM!E129)</f>
        <v>—</v>
      </c>
      <c r="F136" s="14" t="str">
        <f>IF(CALC_EEM!F129="","",CALC_EEM!F129)</f>
        <v>—</v>
      </c>
      <c r="G136" t="str">
        <f>IF(CALC_EEM!G129="","",CALC_EEM!G129)</f>
        <v>—</v>
      </c>
      <c r="H136" s="16" t="str">
        <f>IF(CALC_EEM!H129="","",CALC_EEM!H129)</f>
        <v>—</v>
      </c>
      <c r="I136" s="16" t="str">
        <f>IF(CALC_EEM!I129="","",CALC_EEM!I129)</f>
        <v>—</v>
      </c>
      <c r="J136" t="str">
        <f>IF(CALC_EEM!J129="","",CALC_EEM!J129)</f>
        <v>—</v>
      </c>
      <c r="K136" t="str">
        <f>IF(CALC_EEM!K129="","",CALC_EEM!K129)</f>
        <v>—</v>
      </c>
      <c r="L136">
        <f>IF(CALC_EEM!L129="","",CALC_EEM!L129)</f>
        <v>0</v>
      </c>
      <c r="M136">
        <f>IF(CALC_EEM!M129="","",CALC_EEM!M129)</f>
        <v>0</v>
      </c>
      <c r="N136">
        <f>IF(CALC_EEM!N129="","",CALC_EEM!N129)</f>
        <v>0</v>
      </c>
      <c r="O136">
        <f>IF(CALC_EEM!O129="","",CALC_EEM!O129)</f>
        <v>0</v>
      </c>
      <c r="P136">
        <f>IF(CALC_EEM!P129="","",CALC_EEM!P129)</f>
        <v>0</v>
      </c>
      <c r="Q136">
        <f>IF(CALC_EEM!Q129="","",CALC_EEM!Q129)</f>
        <v>0</v>
      </c>
      <c r="R136">
        <f>IF(CALC_EEM!R129="","",CALC_EEM!R129)</f>
        <v>0</v>
      </c>
      <c r="S136">
        <f>IF(CALC_EEM!S129="","",CALC_EEM!S129)</f>
        <v>0</v>
      </c>
      <c r="T136">
        <f>IF(CALC_EEM!T129="","",CALC_EEM!T129)</f>
        <v>0</v>
      </c>
      <c r="U136">
        <f>IF(CALC_EEM!U129="","",CALC_EEM!U129)</f>
        <v>0</v>
      </c>
    </row>
    <row r="137" spans="1:24">
      <c r="A137" t="str">
        <f>IF(CALC_EEM!A130="","",IF(CALC_EEM!A130="GLOBAL","GLOBAL",IF(CALC_EEM!C130="Total","CURSO_TOTAL",IF(CALC_EEM!C130="TotalEsp","CURSO_ESP",IF(CALC_EEM!C130="TotalNoEsp","CURSO_NOESP","CURSO_ASIG")))))</f>
        <v>GLOBAL</v>
      </c>
      <c r="B137" t="str">
        <f>IF(CALC_EEM!A130="","",CALC_EEM!A130)</f>
        <v>GLOBAL</v>
      </c>
      <c r="C137" t="str">
        <f>IF(CALC_EEM!B130="","",CALC_EEM!B130)</f>
        <v>Total</v>
      </c>
      <c r="D137">
        <f>IF(CALC_EEM!D130="","",CALC_EEM!D130)</f>
        <v>0</v>
      </c>
      <c r="E137" s="14" t="str">
        <f>IF(CALC_EEM!E130="","",CALC_EEM!E130)</f>
        <v>—</v>
      </c>
      <c r="F137" s="14" t="str">
        <f>IF(CALC_EEM!F130="","",CALC_EEM!F130)</f>
        <v>—</v>
      </c>
      <c r="G137" t="str">
        <f>IF(CALC_EEM!G130="","",CALC_EEM!G130)</f>
        <v>—</v>
      </c>
      <c r="H137" s="16" t="str">
        <f>IF(CALC_EEM!H130="","",CALC_EEM!H130)</f>
        <v>—</v>
      </c>
      <c r="I137" s="16" t="str">
        <f>IF(CALC_EEM!I130="","",CALC_EEM!I130)</f>
        <v>—</v>
      </c>
      <c r="J137" t="str">
        <f>IF(CALC_EEM!J130="","",CALC_EEM!J130)</f>
        <v>—</v>
      </c>
      <c r="K137" t="str">
        <f>IF(CALC_EEM!K130="","",CALC_EEM!K130)</f>
        <v>—</v>
      </c>
      <c r="L137">
        <f>IF(CALC_EEM!L130="","",CALC_EEM!L130)</f>
        <v>0</v>
      </c>
      <c r="M137">
        <f>IF(CALC_EEM!M130="","",CALC_EEM!M130)</f>
        <v>0</v>
      </c>
      <c r="N137">
        <f>IF(CALC_EEM!N130="","",CALC_EEM!N130)</f>
        <v>0</v>
      </c>
      <c r="O137">
        <f>IF(CALC_EEM!O130="","",CALC_EEM!O130)</f>
        <v>0</v>
      </c>
      <c r="P137">
        <f>IF(CALC_EEM!P130="","",CALC_EEM!P130)</f>
        <v>0</v>
      </c>
      <c r="Q137">
        <f>IF(CALC_EEM!Q130="","",CALC_EEM!Q130)</f>
        <v>0</v>
      </c>
      <c r="R137">
        <f>IF(CALC_EEM!R130="","",CALC_EEM!R130)</f>
        <v>0</v>
      </c>
      <c r="S137">
        <f>IF(CALC_EEM!S130="","",CALC_EEM!S130)</f>
        <v>0</v>
      </c>
      <c r="T137">
        <f>IF(CALC_EEM!T130="","",CALC_EEM!T130)</f>
        <v>0</v>
      </c>
      <c r="U137">
        <f>IF(CALC_EEM!U130="","",CALC_EEM!U130)</f>
        <v>0</v>
      </c>
    </row>
    <row r="138" spans="1:24">
      <c r="A138" t="str">
        <f>IF(CALC_EEM!A131="","",IF(CALC_EEM!A131="GLOBAL","GLOBAL",IF(CALC_EEM!C131="Total","CURSO_TOTAL",IF(CALC_EEM!C131="TotalEsp","CURSO_ESP",IF(CALC_EEM!C131="TotalNoEsp","CURSO_NOESP","CURSO_ASIG")))))</f>
        <v>GLOBAL</v>
      </c>
      <c r="B138" t="str">
        <f>IF(CALC_EEM!A131="","",CALC_EEM!A131)</f>
        <v>GLOBAL</v>
      </c>
      <c r="C138" t="str">
        <f>IF(CALC_EEM!B131="","",CALC_EEM!B131)</f>
        <v>Total</v>
      </c>
      <c r="D138">
        <f>IF(CALC_EEM!D131="","",CALC_EEM!D131)</f>
        <v>0</v>
      </c>
      <c r="E138" s="14" t="str">
        <f>IF(CALC_EEM!E131="","",CALC_EEM!E131)</f>
        <v>—</v>
      </c>
      <c r="F138" s="14" t="str">
        <f>IF(CALC_EEM!F131="","",CALC_EEM!F131)</f>
        <v>—</v>
      </c>
      <c r="G138" t="str">
        <f>IF(CALC_EEM!G131="","",CALC_EEM!G131)</f>
        <v>—</v>
      </c>
      <c r="H138" s="16" t="str">
        <f>IF(CALC_EEM!H131="","",CALC_EEM!H131)</f>
        <v>—</v>
      </c>
      <c r="I138" s="16" t="str">
        <f>IF(CALC_EEM!I131="","",CALC_EEM!I131)</f>
        <v>—</v>
      </c>
      <c r="J138" t="str">
        <f>IF(CALC_EEM!J131="","",CALC_EEM!J131)</f>
        <v>—</v>
      </c>
      <c r="K138" t="str">
        <f>IF(CALC_EEM!K131="","",CALC_EEM!K131)</f>
        <v>—</v>
      </c>
      <c r="L138">
        <f>IF(CALC_EEM!L131="","",CALC_EEM!L131)</f>
        <v>0</v>
      </c>
      <c r="M138">
        <f>IF(CALC_EEM!M131="","",CALC_EEM!M131)</f>
        <v>0</v>
      </c>
      <c r="N138">
        <f>IF(CALC_EEM!N131="","",CALC_EEM!N131)</f>
        <v>0</v>
      </c>
      <c r="O138">
        <f>IF(CALC_EEM!O131="","",CALC_EEM!O131)</f>
        <v>0</v>
      </c>
      <c r="P138">
        <f>IF(CALC_EEM!P131="","",CALC_EEM!P131)</f>
        <v>0</v>
      </c>
      <c r="Q138">
        <f>IF(CALC_EEM!Q131="","",CALC_EEM!Q131)</f>
        <v>0</v>
      </c>
      <c r="R138">
        <f>IF(CALC_EEM!R131="","",CALC_EEM!R131)</f>
        <v>0</v>
      </c>
      <c r="S138">
        <f>IF(CALC_EEM!S131="","",CALC_EEM!S131)</f>
        <v>0</v>
      </c>
      <c r="T138">
        <f>IF(CALC_EEM!T131="","",CALC_EEM!T131)</f>
        <v>0</v>
      </c>
      <c r="U138">
        <f>IF(CALC_EEM!U131="","",CALC_EEM!U131)</f>
        <v>0</v>
      </c>
    </row>
    <row r="139" spans="1:24">
      <c r="A139" t="str">
        <f>IF(CALC_EEM!A132="","",IF(CALC_EEM!A132="GLOBAL","GLOBAL",IF(CALC_EEM!C132="Total","CURSO_TOTAL",IF(CALC_EEM!C132="TotalEsp","CURSO_ESP",IF(CALC_EEM!C132="TotalNoEsp","CURSO_NOESP","CURSO_ASIG")))))</f>
        <v>GLOBAL</v>
      </c>
      <c r="B139" t="str">
        <f>IF(CALC_EEM!A132="","",CALC_EEM!A132)</f>
        <v>GLOBAL</v>
      </c>
      <c r="C139" t="str">
        <f>IF(CALC_EEM!B132="","",CALC_EEM!B132)</f>
        <v>Total</v>
      </c>
      <c r="D139">
        <f>IF(CALC_EEM!D132="","",CALC_EEM!D132)</f>
        <v>0</v>
      </c>
      <c r="E139" s="14" t="str">
        <f>IF(CALC_EEM!E132="","",CALC_EEM!E132)</f>
        <v>—</v>
      </c>
      <c r="F139" s="14" t="str">
        <f>IF(CALC_EEM!F132="","",CALC_EEM!F132)</f>
        <v>—</v>
      </c>
      <c r="G139" t="str">
        <f>IF(CALC_EEM!G132="","",CALC_EEM!G132)</f>
        <v>—</v>
      </c>
      <c r="H139" s="16" t="str">
        <f>IF(CALC_EEM!H132="","",CALC_EEM!H132)</f>
        <v>—</v>
      </c>
      <c r="I139" s="16" t="str">
        <f>IF(CALC_EEM!I132="","",CALC_EEM!I132)</f>
        <v>—</v>
      </c>
      <c r="J139" t="str">
        <f>IF(CALC_EEM!J132="","",CALC_EEM!J132)</f>
        <v>—</v>
      </c>
      <c r="K139" t="str">
        <f>IF(CALC_EEM!K132="","",CALC_EEM!K132)</f>
        <v>—</v>
      </c>
      <c r="L139">
        <f>IF(CALC_EEM!L132="","",CALC_EEM!L132)</f>
        <v>0</v>
      </c>
      <c r="M139">
        <f>IF(CALC_EEM!M132="","",CALC_EEM!M132)</f>
        <v>0</v>
      </c>
      <c r="N139">
        <f>IF(CALC_EEM!N132="","",CALC_EEM!N132)</f>
        <v>0</v>
      </c>
      <c r="O139">
        <f>IF(CALC_EEM!O132="","",CALC_EEM!O132)</f>
        <v>0</v>
      </c>
      <c r="P139">
        <f>IF(CALC_EEM!P132="","",CALC_EEM!P132)</f>
        <v>0</v>
      </c>
      <c r="Q139">
        <f>IF(CALC_EEM!Q132="","",CALC_EEM!Q132)</f>
        <v>0</v>
      </c>
      <c r="R139">
        <f>IF(CALC_EEM!R132="","",CALC_EEM!R132)</f>
        <v>0</v>
      </c>
      <c r="S139">
        <f>IF(CALC_EEM!S132="","",CALC_EEM!S132)</f>
        <v>0</v>
      </c>
      <c r="T139">
        <f>IF(CALC_EEM!T132="","",CALC_EEM!T132)</f>
        <v>0</v>
      </c>
      <c r="U139">
        <f>IF(CALC_EEM!U132="","",CALC_EEM!U132)</f>
        <v>0</v>
      </c>
    </row>
    <row r="140" spans="1:24">
      <c r="A140" t="str">
        <f>IF(CALC_EEM!A133="","",IF(CALC_EEM!A133="GLOBAL","GLOBAL",IF(CALC_EEM!C133="Total","CURSO_TOTAL",IF(CALC_EEM!C133="TotalEsp","CURSO_ESP",IF(CALC_EEM!C133="TotalNoEsp","CURSO_NOESP","CURSO_ASIG")))))</f>
        <v>GLOBAL</v>
      </c>
      <c r="B140" t="str">
        <f>IF(CALC_EEM!A133="","",CALC_EEM!A133)</f>
        <v>GLOBAL</v>
      </c>
      <c r="C140" t="str">
        <f>IF(CALC_EEM!B133="","",CALC_EEM!B133)</f>
        <v>Total</v>
      </c>
      <c r="D140">
        <f>IF(CALC_EEM!D133="","",CALC_EEM!D133)</f>
        <v>0</v>
      </c>
      <c r="E140" s="14" t="str">
        <f>IF(CALC_EEM!E133="","",CALC_EEM!E133)</f>
        <v>—</v>
      </c>
      <c r="F140" s="14" t="str">
        <f>IF(CALC_EEM!F133="","",CALC_EEM!F133)</f>
        <v>—</v>
      </c>
      <c r="G140" t="str">
        <f>IF(CALC_EEM!G133="","",CALC_EEM!G133)</f>
        <v>—</v>
      </c>
      <c r="H140" s="16" t="str">
        <f>IF(CALC_EEM!H133="","",CALC_EEM!H133)</f>
        <v>—</v>
      </c>
      <c r="I140" s="16" t="str">
        <f>IF(CALC_EEM!I133="","",CALC_EEM!I133)</f>
        <v>—</v>
      </c>
      <c r="J140" t="str">
        <f>IF(CALC_EEM!J133="","",CALC_EEM!J133)</f>
        <v>—</v>
      </c>
      <c r="K140" t="str">
        <f>IF(CALC_EEM!K133="","",CALC_EEM!K133)</f>
        <v>—</v>
      </c>
      <c r="L140">
        <f>IF(CALC_EEM!L133="","",CALC_EEM!L133)</f>
        <v>0</v>
      </c>
      <c r="M140">
        <f>IF(CALC_EEM!M133="","",CALC_EEM!M133)</f>
        <v>0</v>
      </c>
      <c r="N140">
        <f>IF(CALC_EEM!N133="","",CALC_EEM!N133)</f>
        <v>0</v>
      </c>
      <c r="O140">
        <f>IF(CALC_EEM!O133="","",CALC_EEM!O133)</f>
        <v>0</v>
      </c>
      <c r="P140">
        <f>IF(CALC_EEM!P133="","",CALC_EEM!P133)</f>
        <v>0</v>
      </c>
      <c r="Q140">
        <f>IF(CALC_EEM!Q133="","",CALC_EEM!Q133)</f>
        <v>0</v>
      </c>
      <c r="R140">
        <f>IF(CALC_EEM!R133="","",CALC_EEM!R133)</f>
        <v>0</v>
      </c>
      <c r="S140">
        <f>IF(CALC_EEM!S133="","",CALC_EEM!S133)</f>
        <v>0</v>
      </c>
      <c r="T140">
        <f>IF(CALC_EEM!T133="","",CALC_EEM!T133)</f>
        <v>0</v>
      </c>
      <c r="U140">
        <f>IF(CALC_EEM!U133="","",CALC_EEM!U133)</f>
        <v>0</v>
      </c>
    </row>
    <row r="141" spans="1:24">
      <c r="A141" t="str">
        <f>IF(CALC_EEM!A134="","",IF(CALC_EEM!A134="GLOBAL","GLOBAL",IF(CALC_EEM!C134="Total","CURSO_TOTAL",IF(CALC_EEM!C134="TotalEsp","CURSO_ESP",IF(CALC_EEM!C134="TotalNoEsp","CURSO_NOESP","CURSO_ASIG")))))</f>
        <v>GLOBAL</v>
      </c>
      <c r="B141" t="str">
        <f>IF(CALC_EEM!A134="","",CALC_EEM!A134)</f>
        <v>GLOBAL</v>
      </c>
      <c r="C141" t="str">
        <f>IF(CALC_EEM!B134="","",CALC_EEM!B134)</f>
        <v>Total</v>
      </c>
      <c r="D141">
        <f>IF(CALC_EEM!D134="","",CALC_EEM!D134)</f>
        <v>0</v>
      </c>
      <c r="E141" s="14" t="str">
        <f>IF(CALC_EEM!E134="","",CALC_EEM!E134)</f>
        <v>—</v>
      </c>
      <c r="F141" s="14" t="str">
        <f>IF(CALC_EEM!F134="","",CALC_EEM!F134)</f>
        <v>—</v>
      </c>
      <c r="G141" t="str">
        <f>IF(CALC_EEM!G134="","",CALC_EEM!G134)</f>
        <v>—</v>
      </c>
      <c r="H141" s="16" t="str">
        <f>IF(CALC_EEM!H134="","",CALC_EEM!H134)</f>
        <v>—</v>
      </c>
      <c r="I141" s="16" t="str">
        <f>IF(CALC_EEM!I134="","",CALC_EEM!I134)</f>
        <v>—</v>
      </c>
      <c r="J141" t="str">
        <f>IF(CALC_EEM!J134="","",CALC_EEM!J134)</f>
        <v>—</v>
      </c>
      <c r="K141" t="str">
        <f>IF(CALC_EEM!K134="","",CALC_EEM!K134)</f>
        <v>—</v>
      </c>
      <c r="L141">
        <f>IF(CALC_EEM!L134="","",CALC_EEM!L134)</f>
        <v>0</v>
      </c>
      <c r="M141">
        <f>IF(CALC_EEM!M134="","",CALC_EEM!M134)</f>
        <v>0</v>
      </c>
      <c r="N141">
        <f>IF(CALC_EEM!N134="","",CALC_EEM!N134)</f>
        <v>0</v>
      </c>
      <c r="O141">
        <f>IF(CALC_EEM!O134="","",CALC_EEM!O134)</f>
        <v>0</v>
      </c>
      <c r="P141">
        <f>IF(CALC_EEM!P134="","",CALC_EEM!P134)</f>
        <v>0</v>
      </c>
      <c r="Q141">
        <f>IF(CALC_EEM!Q134="","",CALC_EEM!Q134)</f>
        <v>0</v>
      </c>
      <c r="R141">
        <f>IF(CALC_EEM!R134="","",CALC_EEM!R134)</f>
        <v>0</v>
      </c>
      <c r="S141">
        <f>IF(CALC_EEM!S134="","",CALC_EEM!S134)</f>
        <v>0</v>
      </c>
      <c r="T141">
        <f>IF(CALC_EEM!T134="","",CALC_EEM!T134)</f>
        <v>0</v>
      </c>
      <c r="U141">
        <f>IF(CALC_EEM!U134="","",CALC_EEM!U134)</f>
        <v>0</v>
      </c>
    </row>
    <row r="142" spans="1:24">
      <c r="A142" t="str">
        <f>IF(CALC_EEM!A135="","",IF(CALC_EEM!A135="GLOBAL","GLOBAL",IF(CALC_EEM!C135="Total","CURSO_TOTAL",IF(CALC_EEM!C135="TotalEsp","CURSO_ESP",IF(CALC_EEM!C135="TotalNoEsp","CURSO_NOESP","CURSO_ASIG")))))</f>
        <v>GLOBAL</v>
      </c>
      <c r="B142" t="str">
        <f>IF(CALC_EEM!A135="","",CALC_EEM!A135)</f>
        <v>GLOBAL</v>
      </c>
      <c r="C142" t="str">
        <f>IF(CALC_EEM!B135="","",CALC_EEM!B135)</f>
        <v>Total</v>
      </c>
      <c r="D142">
        <f>IF(CALC_EEM!D135="","",CALC_EEM!D135)</f>
        <v>0</v>
      </c>
      <c r="E142" s="14" t="str">
        <f>IF(CALC_EEM!E135="","",CALC_EEM!E135)</f>
        <v>—</v>
      </c>
      <c r="F142" s="14" t="str">
        <f>IF(CALC_EEM!F135="","",CALC_EEM!F135)</f>
        <v>—</v>
      </c>
      <c r="G142" t="str">
        <f>IF(CALC_EEM!G135="","",CALC_EEM!G135)</f>
        <v>—</v>
      </c>
      <c r="H142" s="16" t="str">
        <f>IF(CALC_EEM!H135="","",CALC_EEM!H135)</f>
        <v>—</v>
      </c>
      <c r="I142" s="16" t="str">
        <f>IF(CALC_EEM!I135="","",CALC_EEM!I135)</f>
        <v>—</v>
      </c>
      <c r="J142" t="str">
        <f>IF(CALC_EEM!J135="","",CALC_EEM!J135)</f>
        <v>—</v>
      </c>
      <c r="K142" t="str">
        <f>IF(CALC_EEM!K135="","",CALC_EEM!K135)</f>
        <v>—</v>
      </c>
      <c r="L142">
        <f>IF(CALC_EEM!L135="","",CALC_EEM!L135)</f>
        <v>0</v>
      </c>
      <c r="M142">
        <f>IF(CALC_EEM!M135="","",CALC_EEM!M135)</f>
        <v>0</v>
      </c>
      <c r="N142">
        <f>IF(CALC_EEM!N135="","",CALC_EEM!N135)</f>
        <v>0</v>
      </c>
      <c r="O142">
        <f>IF(CALC_EEM!O135="","",CALC_EEM!O135)</f>
        <v>0</v>
      </c>
      <c r="P142">
        <f>IF(CALC_EEM!P135="","",CALC_EEM!P135)</f>
        <v>0</v>
      </c>
      <c r="Q142">
        <f>IF(CALC_EEM!Q135="","",CALC_EEM!Q135)</f>
        <v>0</v>
      </c>
      <c r="R142">
        <f>IF(CALC_EEM!R135="","",CALC_EEM!R135)</f>
        <v>0</v>
      </c>
      <c r="S142">
        <f>IF(CALC_EEM!S135="","",CALC_EEM!S135)</f>
        <v>0</v>
      </c>
      <c r="T142">
        <f>IF(CALC_EEM!T135="","",CALC_EEM!T135)</f>
        <v>0</v>
      </c>
      <c r="U142">
        <f>IF(CALC_EEM!U135="","",CALC_EEM!U135)</f>
        <v>0</v>
      </c>
    </row>
    <row r="143" spans="1:24">
      <c r="A143" t="str">
        <f>IF(CALC_EEM!A136="","",IF(CALC_EEM!A136="GLOBAL","GLOBAL",IF(CALC_EEM!C136="Total","CURSO_TOTAL",IF(CALC_EEM!C136="TotalEsp","CURSO_ESP",IF(CALC_EEM!C136="TotalNoEsp","CURSO_NOESP","CURSO_ASIG")))))</f>
        <v>GLOBAL</v>
      </c>
      <c r="B143" t="str">
        <f>IF(CALC_EEM!A136="","",CALC_EEM!A136)</f>
        <v>GLOBAL</v>
      </c>
      <c r="C143" t="str">
        <f>IF(CALC_EEM!B136="","",CALC_EEM!B136)</f>
        <v>Total</v>
      </c>
      <c r="D143">
        <f>IF(CALC_EEM!D136="","",CALC_EEM!D136)</f>
        <v>0</v>
      </c>
      <c r="E143" s="14" t="str">
        <f>IF(CALC_EEM!E136="","",CALC_EEM!E136)</f>
        <v>—</v>
      </c>
      <c r="F143" s="14" t="str">
        <f>IF(CALC_EEM!F136="","",CALC_EEM!F136)</f>
        <v>—</v>
      </c>
      <c r="G143" t="str">
        <f>IF(CALC_EEM!G136="","",CALC_EEM!G136)</f>
        <v>—</v>
      </c>
      <c r="H143" s="16" t="str">
        <f>IF(CALC_EEM!H136="","",CALC_EEM!H136)</f>
        <v>—</v>
      </c>
      <c r="I143" s="16" t="str">
        <f>IF(CALC_EEM!I136="","",CALC_EEM!I136)</f>
        <v>—</v>
      </c>
      <c r="J143" t="str">
        <f>IF(CALC_EEM!J136="","",CALC_EEM!J136)</f>
        <v>—</v>
      </c>
      <c r="K143" t="str">
        <f>IF(CALC_EEM!K136="","",CALC_EEM!K136)</f>
        <v>—</v>
      </c>
      <c r="L143">
        <f>IF(CALC_EEM!L136="","",CALC_EEM!L136)</f>
        <v>0</v>
      </c>
      <c r="M143">
        <f>IF(CALC_EEM!M136="","",CALC_EEM!M136)</f>
        <v>0</v>
      </c>
      <c r="N143">
        <f>IF(CALC_EEM!N136="","",CALC_EEM!N136)</f>
        <v>0</v>
      </c>
      <c r="O143">
        <f>IF(CALC_EEM!O136="","",CALC_EEM!O136)</f>
        <v>0</v>
      </c>
      <c r="P143">
        <f>IF(CALC_EEM!P136="","",CALC_EEM!P136)</f>
        <v>0</v>
      </c>
      <c r="Q143">
        <f>IF(CALC_EEM!Q136="","",CALC_EEM!Q136)</f>
        <v>0</v>
      </c>
      <c r="R143">
        <f>IF(CALC_EEM!R136="","",CALC_EEM!R136)</f>
        <v>0</v>
      </c>
      <c r="S143">
        <f>IF(CALC_EEM!S136="","",CALC_EEM!S136)</f>
        <v>0</v>
      </c>
      <c r="T143">
        <f>IF(CALC_EEM!T136="","",CALC_EEM!T136)</f>
        <v>0</v>
      </c>
      <c r="U143">
        <f>IF(CALC_EEM!U136="","",CALC_EEM!U136)</f>
        <v>0</v>
      </c>
    </row>
    <row r="144" spans="1:24">
      <c r="A144" t="str">
        <f>IF(CALC_EEM!A137="","",IF(CALC_EEM!A137="GLOBAL","GLOBAL",IF(CALC_EEM!C137="Total","CURSO_TOTAL",IF(CALC_EEM!C137="TotalEsp","CURSO_ESP",IF(CALC_EEM!C137="TotalNoEsp","CURSO_NOESP","CURSO_ASIG")))))</f>
        <v>GLOBAL</v>
      </c>
      <c r="B144" t="str">
        <f>IF(CALC_EEM!A137="","",CALC_EEM!A137)</f>
        <v>GLOBAL</v>
      </c>
      <c r="C144" t="str">
        <f>IF(CALC_EEM!B137="","",CALC_EEM!B137)</f>
        <v>Total</v>
      </c>
      <c r="D144">
        <f>IF(CALC_EEM!D137="","",CALC_EEM!D137)</f>
        <v>0</v>
      </c>
      <c r="E144" s="14" t="str">
        <f>IF(CALC_EEM!E137="","",CALC_EEM!E137)</f>
        <v>—</v>
      </c>
      <c r="F144" s="14" t="str">
        <f>IF(CALC_EEM!F137="","",CALC_EEM!F137)</f>
        <v>—</v>
      </c>
      <c r="G144" t="str">
        <f>IF(CALC_EEM!G137="","",CALC_EEM!G137)</f>
        <v>—</v>
      </c>
      <c r="H144" s="16" t="str">
        <f>IF(CALC_EEM!H137="","",CALC_EEM!H137)</f>
        <v>—</v>
      </c>
      <c r="I144" s="16" t="str">
        <f>IF(CALC_EEM!I137="","",CALC_EEM!I137)</f>
        <v>—</v>
      </c>
      <c r="J144" t="str">
        <f>IF(CALC_EEM!J137="","",CALC_EEM!J137)</f>
        <v>—</v>
      </c>
      <c r="K144" t="str">
        <f>IF(CALC_EEM!K137="","",CALC_EEM!K137)</f>
        <v>—</v>
      </c>
      <c r="L144">
        <f>IF(CALC_EEM!L137="","",CALC_EEM!L137)</f>
        <v>0</v>
      </c>
      <c r="M144">
        <f>IF(CALC_EEM!M137="","",CALC_EEM!M137)</f>
        <v>0</v>
      </c>
      <c r="N144">
        <f>IF(CALC_EEM!N137="","",CALC_EEM!N137)</f>
        <v>0</v>
      </c>
      <c r="O144">
        <f>IF(CALC_EEM!O137="","",CALC_EEM!O137)</f>
        <v>0</v>
      </c>
      <c r="P144">
        <f>IF(CALC_EEM!P137="","",CALC_EEM!P137)</f>
        <v>0</v>
      </c>
      <c r="Q144">
        <f>IF(CALC_EEM!Q137="","",CALC_EEM!Q137)</f>
        <v>0</v>
      </c>
      <c r="R144">
        <f>IF(CALC_EEM!R137="","",CALC_EEM!R137)</f>
        <v>0</v>
      </c>
      <c r="S144">
        <f>IF(CALC_EEM!S137="","",CALC_EEM!S137)</f>
        <v>0</v>
      </c>
      <c r="T144">
        <f>IF(CALC_EEM!T137="","",CALC_EEM!T137)</f>
        <v>0</v>
      </c>
      <c r="U144">
        <f>IF(CALC_EEM!U137="","",CALC_EEM!U137)</f>
        <v>0</v>
      </c>
    </row>
    <row r="145" spans="1:24">
      <c r="A145" t="str">
        <f>IF(CALC_EEM!A138="","",IF(CALC_EEM!A138="GLOBAL","GLOBAL",IF(CALC_EEM!C138="Total","CURSO_TOTAL",IF(CALC_EEM!C138="TotalEsp","CURSO_ESP",IF(CALC_EEM!C138="TotalNoEsp","CURSO_NOESP","CURSO_ASIG")))))</f>
        <v>GLOBAL</v>
      </c>
      <c r="B145" t="str">
        <f>IF(CALC_EEM!A138="","",CALC_EEM!A138)</f>
        <v>GLOBAL</v>
      </c>
      <c r="C145" t="str">
        <f>IF(CALC_EEM!B138="","",CALC_EEM!B138)</f>
        <v>Total</v>
      </c>
      <c r="D145">
        <f>IF(CALC_EEM!D138="","",CALC_EEM!D138)</f>
        <v>0</v>
      </c>
      <c r="E145" s="14" t="str">
        <f>IF(CALC_EEM!E138="","",CALC_EEM!E138)</f>
        <v>—</v>
      </c>
      <c r="F145" s="14" t="str">
        <f>IF(CALC_EEM!F138="","",CALC_EEM!F138)</f>
        <v>—</v>
      </c>
      <c r="G145" t="str">
        <f>IF(CALC_EEM!G138="","",CALC_EEM!G138)</f>
        <v>—</v>
      </c>
      <c r="H145" s="16" t="str">
        <f>IF(CALC_EEM!H138="","",CALC_EEM!H138)</f>
        <v>—</v>
      </c>
      <c r="I145" s="16" t="str">
        <f>IF(CALC_EEM!I138="","",CALC_EEM!I138)</f>
        <v>—</v>
      </c>
      <c r="J145" t="str">
        <f>IF(CALC_EEM!J138="","",CALC_EEM!J138)</f>
        <v>—</v>
      </c>
      <c r="K145" t="str">
        <f>IF(CALC_EEM!K138="","",CALC_EEM!K138)</f>
        <v>—</v>
      </c>
      <c r="L145">
        <f>IF(CALC_EEM!L138="","",CALC_EEM!L138)</f>
        <v>0</v>
      </c>
      <c r="M145">
        <f>IF(CALC_EEM!M138="","",CALC_EEM!M138)</f>
        <v>0</v>
      </c>
      <c r="N145">
        <f>IF(CALC_EEM!N138="","",CALC_EEM!N138)</f>
        <v>0</v>
      </c>
      <c r="O145">
        <f>IF(CALC_EEM!O138="","",CALC_EEM!O138)</f>
        <v>0</v>
      </c>
      <c r="P145">
        <f>IF(CALC_EEM!P138="","",CALC_EEM!P138)</f>
        <v>0</v>
      </c>
      <c r="Q145">
        <f>IF(CALC_EEM!Q138="","",CALC_EEM!Q138)</f>
        <v>0</v>
      </c>
      <c r="R145">
        <f>IF(CALC_EEM!R138="","",CALC_EEM!R138)</f>
        <v>0</v>
      </c>
      <c r="S145">
        <f>IF(CALC_EEM!S138="","",CALC_EEM!S138)</f>
        <v>0</v>
      </c>
      <c r="T145">
        <f>IF(CALC_EEM!T138="","",CALC_EEM!T138)</f>
        <v>0</v>
      </c>
      <c r="U145">
        <f>IF(CALC_EEM!U138="","",CALC_EEM!U138)</f>
        <v>0</v>
      </c>
    </row>
    <row r="146" spans="1:24">
      <c r="A146" t="str">
        <f>IF(CALC_EEM!A139="","",IF(CALC_EEM!A139="GLOBAL","GLOBAL",IF(CALC_EEM!C139="Total","CURSO_TOTAL",IF(CALC_EEM!C139="TotalEsp","CURSO_ESP",IF(CALC_EEM!C139="TotalNoEsp","CURSO_NOESP","CURSO_ASIG")))))</f>
        <v>GLOBAL</v>
      </c>
      <c r="B146" t="str">
        <f>IF(CALC_EEM!A139="","",CALC_EEM!A139)</f>
        <v>GLOBAL</v>
      </c>
      <c r="C146" t="str">
        <f>IF(CALC_EEM!B139="","",CALC_EEM!B139)</f>
        <v>Total</v>
      </c>
      <c r="D146">
        <f>IF(CALC_EEM!D139="","",CALC_EEM!D139)</f>
        <v>0</v>
      </c>
      <c r="E146" s="14" t="str">
        <f>IF(CALC_EEM!E139="","",CALC_EEM!E139)</f>
        <v>—</v>
      </c>
      <c r="F146" s="14" t="str">
        <f>IF(CALC_EEM!F139="","",CALC_EEM!F139)</f>
        <v>—</v>
      </c>
      <c r="G146" t="str">
        <f>IF(CALC_EEM!G139="","",CALC_EEM!G139)</f>
        <v>—</v>
      </c>
      <c r="H146" s="16" t="str">
        <f>IF(CALC_EEM!H139="","",CALC_EEM!H139)</f>
        <v>—</v>
      </c>
      <c r="I146" s="16" t="str">
        <f>IF(CALC_EEM!I139="","",CALC_EEM!I139)</f>
        <v>—</v>
      </c>
      <c r="J146" t="str">
        <f>IF(CALC_EEM!J139="","",CALC_EEM!J139)</f>
        <v>—</v>
      </c>
      <c r="K146" t="str">
        <f>IF(CALC_EEM!K139="","",CALC_EEM!K139)</f>
        <v>—</v>
      </c>
      <c r="L146">
        <f>IF(CALC_EEM!L139="","",CALC_EEM!L139)</f>
        <v>0</v>
      </c>
      <c r="M146">
        <f>IF(CALC_EEM!M139="","",CALC_EEM!M139)</f>
        <v>0</v>
      </c>
      <c r="N146">
        <f>IF(CALC_EEM!N139="","",CALC_EEM!N139)</f>
        <v>0</v>
      </c>
      <c r="O146">
        <f>IF(CALC_EEM!O139="","",CALC_EEM!O139)</f>
        <v>0</v>
      </c>
      <c r="P146">
        <f>IF(CALC_EEM!P139="","",CALC_EEM!P139)</f>
        <v>0</v>
      </c>
      <c r="Q146">
        <f>IF(CALC_EEM!Q139="","",CALC_EEM!Q139)</f>
        <v>0</v>
      </c>
      <c r="R146">
        <f>IF(CALC_EEM!R139="","",CALC_EEM!R139)</f>
        <v>0</v>
      </c>
      <c r="S146">
        <f>IF(CALC_EEM!S139="","",CALC_EEM!S139)</f>
        <v>0</v>
      </c>
      <c r="T146">
        <f>IF(CALC_EEM!T139="","",CALC_EEM!T139)</f>
        <v>0</v>
      </c>
      <c r="U146">
        <f>IF(CALC_EEM!U139="","",CALC_EEM!U139)</f>
        <v>0</v>
      </c>
    </row>
    <row r="147" spans="1:24">
      <c r="A147" t="str">
        <f>IF(CALC_EEM!A140="","",IF(CALC_EEM!A140="GLOBAL","GLOBAL",IF(CALC_EEM!C140="Total","CURSO_TOTAL",IF(CALC_EEM!C140="TotalEsp","CURSO_ESP",IF(CALC_EEM!C140="TotalNoEsp","CURSO_NOESP","CURSO_ASIG")))))</f>
        <v>GLOBAL</v>
      </c>
      <c r="B147" t="str">
        <f>IF(CALC_EEM!A140="","",CALC_EEM!A140)</f>
        <v>GLOBAL</v>
      </c>
      <c r="C147" t="str">
        <f>IF(CALC_EEM!B140="","",CALC_EEM!B140)</f>
        <v>Total</v>
      </c>
      <c r="D147">
        <f>IF(CALC_EEM!D140="","",CALC_EEM!D140)</f>
        <v>0</v>
      </c>
      <c r="E147" s="14" t="str">
        <f>IF(CALC_EEM!E140="","",CALC_EEM!E140)</f>
        <v>—</v>
      </c>
      <c r="F147" s="14" t="str">
        <f>IF(CALC_EEM!F140="","",CALC_EEM!F140)</f>
        <v>—</v>
      </c>
      <c r="G147" t="str">
        <f>IF(CALC_EEM!G140="","",CALC_EEM!G140)</f>
        <v>—</v>
      </c>
      <c r="H147" s="16" t="str">
        <f>IF(CALC_EEM!H140="","",CALC_EEM!H140)</f>
        <v>—</v>
      </c>
      <c r="I147" s="16" t="str">
        <f>IF(CALC_EEM!I140="","",CALC_EEM!I140)</f>
        <v>—</v>
      </c>
      <c r="J147" t="str">
        <f>IF(CALC_EEM!J140="","",CALC_EEM!J140)</f>
        <v>—</v>
      </c>
      <c r="K147" t="str">
        <f>IF(CALC_EEM!K140="","",CALC_EEM!K140)</f>
        <v>—</v>
      </c>
      <c r="L147">
        <f>IF(CALC_EEM!L140="","",CALC_EEM!L140)</f>
        <v>0</v>
      </c>
      <c r="M147">
        <f>IF(CALC_EEM!M140="","",CALC_EEM!M140)</f>
        <v>0</v>
      </c>
      <c r="N147">
        <f>IF(CALC_EEM!N140="","",CALC_EEM!N140)</f>
        <v>0</v>
      </c>
      <c r="O147">
        <f>IF(CALC_EEM!O140="","",CALC_EEM!O140)</f>
        <v>0</v>
      </c>
      <c r="P147">
        <f>IF(CALC_EEM!P140="","",CALC_EEM!P140)</f>
        <v>0</v>
      </c>
      <c r="Q147">
        <f>IF(CALC_EEM!Q140="","",CALC_EEM!Q140)</f>
        <v>0</v>
      </c>
      <c r="R147">
        <f>IF(CALC_EEM!R140="","",CALC_EEM!R140)</f>
        <v>0</v>
      </c>
      <c r="S147">
        <f>IF(CALC_EEM!S140="","",CALC_EEM!S140)</f>
        <v>0</v>
      </c>
      <c r="T147">
        <f>IF(CALC_EEM!T140="","",CALC_EEM!T140)</f>
        <v>0</v>
      </c>
      <c r="U147">
        <f>IF(CALC_EEM!U140="","",CALC_EEM!U140)</f>
        <v>0</v>
      </c>
    </row>
    <row r="148" spans="1:24">
      <c r="A148" t="str">
        <f>IF(CALC_EEM!A141="","",IF(CALC_EEM!A141="GLOBAL","GLOBAL",IF(CALC_EEM!C141="Total","CURSO_TOTAL",IF(CALC_EEM!C141="TotalEsp","CURSO_ESP",IF(CALC_EEM!C141="TotalNoEsp","CURSO_NOESP","CURSO_ASIG")))))</f>
        <v>GLOBAL</v>
      </c>
      <c r="B148" t="str">
        <f>IF(CALC_EEM!A141="","",CALC_EEM!A141)</f>
        <v>GLOBAL</v>
      </c>
      <c r="C148" t="str">
        <f>IF(CALC_EEM!B141="","",CALC_EEM!B141)</f>
        <v>Total</v>
      </c>
      <c r="D148">
        <f>IF(CALC_EEM!D141="","",CALC_EEM!D141)</f>
        <v>0</v>
      </c>
      <c r="E148" s="14" t="str">
        <f>IF(CALC_EEM!E141="","",CALC_EEM!E141)</f>
        <v>—</v>
      </c>
      <c r="F148" s="14" t="str">
        <f>IF(CALC_EEM!F141="","",CALC_EEM!F141)</f>
        <v>—</v>
      </c>
      <c r="G148" t="str">
        <f>IF(CALC_EEM!G141="","",CALC_EEM!G141)</f>
        <v>—</v>
      </c>
      <c r="H148" s="16" t="str">
        <f>IF(CALC_EEM!H141="","",CALC_EEM!H141)</f>
        <v>—</v>
      </c>
      <c r="I148" s="16" t="str">
        <f>IF(CALC_EEM!I141="","",CALC_EEM!I141)</f>
        <v>—</v>
      </c>
      <c r="J148" t="str">
        <f>IF(CALC_EEM!J141="","",CALC_EEM!J141)</f>
        <v>—</v>
      </c>
      <c r="K148" t="str">
        <f>IF(CALC_EEM!K141="","",CALC_EEM!K141)</f>
        <v>—</v>
      </c>
      <c r="L148">
        <f>IF(CALC_EEM!L141="","",CALC_EEM!L141)</f>
        <v>0</v>
      </c>
      <c r="M148">
        <f>IF(CALC_EEM!M141="","",CALC_EEM!M141)</f>
        <v>0</v>
      </c>
      <c r="N148">
        <f>IF(CALC_EEM!N141="","",CALC_EEM!N141)</f>
        <v>0</v>
      </c>
      <c r="O148">
        <f>IF(CALC_EEM!O141="","",CALC_EEM!O141)</f>
        <v>0</v>
      </c>
      <c r="P148">
        <f>IF(CALC_EEM!P141="","",CALC_EEM!P141)</f>
        <v>0</v>
      </c>
      <c r="Q148">
        <f>IF(CALC_EEM!Q141="","",CALC_EEM!Q141)</f>
        <v>0</v>
      </c>
      <c r="R148">
        <f>IF(CALC_EEM!R141="","",CALC_EEM!R141)</f>
        <v>0</v>
      </c>
      <c r="S148">
        <f>IF(CALC_EEM!S141="","",CALC_EEM!S141)</f>
        <v>0</v>
      </c>
      <c r="T148">
        <f>IF(CALC_EEM!T141="","",CALC_EEM!T141)</f>
        <v>0</v>
      </c>
      <c r="U148">
        <f>IF(CALC_EEM!U141="","",CALC_EEM!U141)</f>
        <v>0</v>
      </c>
    </row>
    <row r="149" spans="1:24">
      <c r="A149" t="str">
        <f>IF(CALC_EEM!A142="","",IF(CALC_EEM!A142="GLOBAL","GLOBAL",IF(CALC_EEM!C142="Total","CURSO_TOTAL",IF(CALC_EEM!C142="TotalEsp","CURSO_ESP",IF(CALC_EEM!C142="TotalNoEsp","CURSO_NOESP","CURSO_ASIG")))))</f>
        <v>GLOBAL</v>
      </c>
      <c r="B149" t="str">
        <f>IF(CALC_EEM!A142="","",CALC_EEM!A142)</f>
        <v>GLOBAL</v>
      </c>
      <c r="C149" t="str">
        <f>IF(CALC_EEM!B142="","",CALC_EEM!B142)</f>
        <v>Total</v>
      </c>
      <c r="D149">
        <f>IF(CALC_EEM!D142="","",CALC_EEM!D142)</f>
        <v>0</v>
      </c>
      <c r="E149" s="14" t="str">
        <f>IF(CALC_EEM!E142="","",CALC_EEM!E142)</f>
        <v>—</v>
      </c>
      <c r="F149" s="14" t="str">
        <f>IF(CALC_EEM!F142="","",CALC_EEM!F142)</f>
        <v>—</v>
      </c>
      <c r="G149" t="str">
        <f>IF(CALC_EEM!G142="","",CALC_EEM!G142)</f>
        <v>—</v>
      </c>
      <c r="H149" s="16" t="str">
        <f>IF(CALC_EEM!H142="","",CALC_EEM!H142)</f>
        <v>—</v>
      </c>
      <c r="I149" s="16" t="str">
        <f>IF(CALC_EEM!I142="","",CALC_EEM!I142)</f>
        <v>—</v>
      </c>
      <c r="J149" t="str">
        <f>IF(CALC_EEM!J142="","",CALC_EEM!J142)</f>
        <v>—</v>
      </c>
      <c r="K149" t="str">
        <f>IF(CALC_EEM!K142="","",CALC_EEM!K142)</f>
        <v>—</v>
      </c>
      <c r="L149">
        <f>IF(CALC_EEM!L142="","",CALC_EEM!L142)</f>
        <v>0</v>
      </c>
      <c r="M149">
        <f>IF(CALC_EEM!M142="","",CALC_EEM!M142)</f>
        <v>0</v>
      </c>
      <c r="N149">
        <f>IF(CALC_EEM!N142="","",CALC_EEM!N142)</f>
        <v>0</v>
      </c>
      <c r="O149">
        <f>IF(CALC_EEM!O142="","",CALC_EEM!O142)</f>
        <v>0</v>
      </c>
      <c r="P149">
        <f>IF(CALC_EEM!P142="","",CALC_EEM!P142)</f>
        <v>0</v>
      </c>
      <c r="Q149">
        <f>IF(CALC_EEM!Q142="","",CALC_EEM!Q142)</f>
        <v>0</v>
      </c>
      <c r="R149">
        <f>IF(CALC_EEM!R142="","",CALC_EEM!R142)</f>
        <v>0</v>
      </c>
      <c r="S149">
        <f>IF(CALC_EEM!S142="","",CALC_EEM!S142)</f>
        <v>0</v>
      </c>
      <c r="T149">
        <f>IF(CALC_EEM!T142="","",CALC_EEM!T142)</f>
        <v>0</v>
      </c>
      <c r="U149">
        <f>IF(CALC_EEM!U142="","",CALC_EEM!U142)</f>
        <v>0</v>
      </c>
    </row>
    <row r="150" spans="1:24">
      <c r="A150" t="str">
        <f>IF(CALC_EEM!A143="","",IF(CALC_EEM!A143="GLOBAL","GLOBAL",IF(CALC_EEM!C143="Total","CURSO_TOTAL",IF(CALC_EEM!C143="TotalEsp","CURSO_ESP",IF(CALC_EEM!C143="TotalNoEsp","CURSO_NOESP","CURSO_ASIG")))))</f>
        <v>GLOBAL</v>
      </c>
      <c r="B150" t="str">
        <f>IF(CALC_EEM!A143="","",CALC_EEM!A143)</f>
        <v>GLOBAL</v>
      </c>
      <c r="C150" t="str">
        <f>IF(CALC_EEM!B143="","",CALC_EEM!B143)</f>
        <v>Total</v>
      </c>
      <c r="D150">
        <f>IF(CALC_EEM!D143="","",CALC_EEM!D143)</f>
        <v>0</v>
      </c>
      <c r="E150" s="14" t="str">
        <f>IF(CALC_EEM!E143="","",CALC_EEM!E143)</f>
        <v>—</v>
      </c>
      <c r="F150" s="14" t="str">
        <f>IF(CALC_EEM!F143="","",CALC_EEM!F143)</f>
        <v>—</v>
      </c>
      <c r="G150" t="str">
        <f>IF(CALC_EEM!G143="","",CALC_EEM!G143)</f>
        <v>—</v>
      </c>
      <c r="H150" s="16" t="str">
        <f>IF(CALC_EEM!H143="","",CALC_EEM!H143)</f>
        <v>—</v>
      </c>
      <c r="I150" s="16" t="str">
        <f>IF(CALC_EEM!I143="","",CALC_EEM!I143)</f>
        <v>—</v>
      </c>
      <c r="J150" t="str">
        <f>IF(CALC_EEM!J143="","",CALC_EEM!J143)</f>
        <v>—</v>
      </c>
      <c r="K150" t="str">
        <f>IF(CALC_EEM!K143="","",CALC_EEM!K143)</f>
        <v>—</v>
      </c>
      <c r="L150">
        <f>IF(CALC_EEM!L143="","",CALC_EEM!L143)</f>
        <v>0</v>
      </c>
      <c r="M150">
        <f>IF(CALC_EEM!M143="","",CALC_EEM!M143)</f>
        <v>0</v>
      </c>
      <c r="N150">
        <f>IF(CALC_EEM!N143="","",CALC_EEM!N143)</f>
        <v>0</v>
      </c>
      <c r="O150">
        <f>IF(CALC_EEM!O143="","",CALC_EEM!O143)</f>
        <v>0</v>
      </c>
      <c r="P150">
        <f>IF(CALC_EEM!P143="","",CALC_EEM!P143)</f>
        <v>0</v>
      </c>
      <c r="Q150">
        <f>IF(CALC_EEM!Q143="","",CALC_EEM!Q143)</f>
        <v>0</v>
      </c>
      <c r="R150">
        <f>IF(CALC_EEM!R143="","",CALC_EEM!R143)</f>
        <v>0</v>
      </c>
      <c r="S150">
        <f>IF(CALC_EEM!S143="","",CALC_EEM!S143)</f>
        <v>0</v>
      </c>
      <c r="T150">
        <f>IF(CALC_EEM!T143="","",CALC_EEM!T143)</f>
        <v>0</v>
      </c>
      <c r="U150">
        <f>IF(CALC_EEM!U143="","",CALC_EEM!U143)</f>
        <v>0</v>
      </c>
    </row>
    <row r="151" spans="1:24">
      <c r="A151" t="str">
        <f>IF(CALC_EEM!A144="","",IF(CALC_EEM!A144="GLOBAL","GLOBAL",IF(CALC_EEM!C144="Total","CURSO_TOTAL",IF(CALC_EEM!C144="TotalEsp","CURSO_ESP",IF(CALC_EEM!C144="TotalNoEsp","CURSO_NOESP","CURSO_ASIG")))))</f>
        <v>GLOBAL</v>
      </c>
      <c r="B151" t="str">
        <f>IF(CALC_EEM!A144="","",CALC_EEM!A144)</f>
        <v>GLOBAL</v>
      </c>
      <c r="C151" t="str">
        <f>IF(CALC_EEM!B144="","",CALC_EEM!B144)</f>
        <v>Total</v>
      </c>
      <c r="D151">
        <f>IF(CALC_EEM!D144="","",CALC_EEM!D144)</f>
        <v>0</v>
      </c>
      <c r="E151" s="14" t="str">
        <f>IF(CALC_EEM!E144="","",CALC_EEM!E144)</f>
        <v>—</v>
      </c>
      <c r="F151" s="14" t="str">
        <f>IF(CALC_EEM!F144="","",CALC_EEM!F144)</f>
        <v>—</v>
      </c>
      <c r="G151" t="str">
        <f>IF(CALC_EEM!G144="","",CALC_EEM!G144)</f>
        <v>—</v>
      </c>
      <c r="H151" s="16" t="str">
        <f>IF(CALC_EEM!H144="","",CALC_EEM!H144)</f>
        <v>—</v>
      </c>
      <c r="I151" s="16" t="str">
        <f>IF(CALC_EEM!I144="","",CALC_EEM!I144)</f>
        <v>—</v>
      </c>
      <c r="J151" t="str">
        <f>IF(CALC_EEM!J144="","",CALC_EEM!J144)</f>
        <v>—</v>
      </c>
      <c r="K151" t="str">
        <f>IF(CALC_EEM!K144="","",CALC_EEM!K144)</f>
        <v>—</v>
      </c>
      <c r="L151">
        <f>IF(CALC_EEM!L144="","",CALC_EEM!L144)</f>
        <v>0</v>
      </c>
      <c r="M151">
        <f>IF(CALC_EEM!M144="","",CALC_EEM!M144)</f>
        <v>0</v>
      </c>
      <c r="N151">
        <f>IF(CALC_EEM!N144="","",CALC_EEM!N144)</f>
        <v>0</v>
      </c>
      <c r="O151">
        <f>IF(CALC_EEM!O144="","",CALC_EEM!O144)</f>
        <v>0</v>
      </c>
      <c r="P151">
        <f>IF(CALC_EEM!P144="","",CALC_EEM!P144)</f>
        <v>0</v>
      </c>
      <c r="Q151">
        <f>IF(CALC_EEM!Q144="","",CALC_EEM!Q144)</f>
        <v>0</v>
      </c>
      <c r="R151">
        <f>IF(CALC_EEM!R144="","",CALC_EEM!R144)</f>
        <v>0</v>
      </c>
      <c r="S151">
        <f>IF(CALC_EEM!S144="","",CALC_EEM!S144)</f>
        <v>0</v>
      </c>
      <c r="T151">
        <f>IF(CALC_EEM!T144="","",CALC_EEM!T144)</f>
        <v>0</v>
      </c>
      <c r="U151">
        <f>IF(CALC_EEM!U144="","",CALC_EEM!U144)</f>
        <v>0</v>
      </c>
    </row>
    <row r="152" spans="1:24">
      <c r="A152" t="str">
        <f>IF(CALC_EEM!A145="","",IF(CALC_EEM!A145="GLOBAL","GLOBAL",IF(CALC_EEM!C145="Total","CURSO_TOTAL",IF(CALC_EEM!C145="TotalEsp","CURSO_ESP",IF(CALC_EEM!C145="TotalNoEsp","CURSO_NOESP","CURSO_ASIG")))))</f>
        <v>GLOBAL</v>
      </c>
      <c r="B152" t="str">
        <f>IF(CALC_EEM!A145="","",CALC_EEM!A145)</f>
        <v>GLOBAL</v>
      </c>
      <c r="C152" t="str">
        <f>IF(CALC_EEM!B145="","",CALC_EEM!B145)</f>
        <v>Total</v>
      </c>
      <c r="D152">
        <f>IF(CALC_EEM!D145="","",CALC_EEM!D145)</f>
        <v>0</v>
      </c>
      <c r="E152" s="14" t="str">
        <f>IF(CALC_EEM!E145="","",CALC_EEM!E145)</f>
        <v>—</v>
      </c>
      <c r="F152" s="14" t="str">
        <f>IF(CALC_EEM!F145="","",CALC_EEM!F145)</f>
        <v>—</v>
      </c>
      <c r="G152" t="str">
        <f>IF(CALC_EEM!G145="","",CALC_EEM!G145)</f>
        <v>—</v>
      </c>
      <c r="H152" s="16" t="str">
        <f>IF(CALC_EEM!H145="","",CALC_EEM!H145)</f>
        <v>—</v>
      </c>
      <c r="I152" s="16" t="str">
        <f>IF(CALC_EEM!I145="","",CALC_EEM!I145)</f>
        <v>—</v>
      </c>
      <c r="J152" t="str">
        <f>IF(CALC_EEM!J145="","",CALC_EEM!J145)</f>
        <v>—</v>
      </c>
      <c r="K152" t="str">
        <f>IF(CALC_EEM!K145="","",CALC_EEM!K145)</f>
        <v>—</v>
      </c>
      <c r="L152">
        <f>IF(CALC_EEM!L145="","",CALC_EEM!L145)</f>
        <v>0</v>
      </c>
      <c r="M152">
        <f>IF(CALC_EEM!M145="","",CALC_EEM!M145)</f>
        <v>0</v>
      </c>
      <c r="N152">
        <f>IF(CALC_EEM!N145="","",CALC_EEM!N145)</f>
        <v>0</v>
      </c>
      <c r="O152">
        <f>IF(CALC_EEM!O145="","",CALC_EEM!O145)</f>
        <v>0</v>
      </c>
      <c r="P152">
        <f>IF(CALC_EEM!P145="","",CALC_EEM!P145)</f>
        <v>0</v>
      </c>
      <c r="Q152">
        <f>IF(CALC_EEM!Q145="","",CALC_EEM!Q145)</f>
        <v>0</v>
      </c>
      <c r="R152">
        <f>IF(CALC_EEM!R145="","",CALC_EEM!R145)</f>
        <v>0</v>
      </c>
      <c r="S152">
        <f>IF(CALC_EEM!S145="","",CALC_EEM!S145)</f>
        <v>0</v>
      </c>
      <c r="T152">
        <f>IF(CALC_EEM!T145="","",CALC_EEM!T145)</f>
        <v>0</v>
      </c>
      <c r="U152">
        <f>IF(CALC_EEM!U145="","",CALC_EEM!U145)</f>
        <v>0</v>
      </c>
    </row>
    <row r="153" spans="1:24">
      <c r="A153" t="str">
        <f>IF(CALC_EEM!A146="","",IF(CALC_EEM!A146="GLOBAL","GLOBAL",IF(CALC_EEM!C146="Total","CURSO_TOTAL",IF(CALC_EEM!C146="TotalEsp","CURSO_ESP",IF(CALC_EEM!C146="TotalNoEsp","CURSO_NOESP","CURSO_ASIG")))))</f>
        <v>GLOBAL</v>
      </c>
      <c r="B153" t="str">
        <f>IF(CALC_EEM!A146="","",CALC_EEM!A146)</f>
        <v>GLOBAL</v>
      </c>
      <c r="C153" t="str">
        <f>IF(CALC_EEM!B146="","",CALC_EEM!B146)</f>
        <v>Total</v>
      </c>
      <c r="D153">
        <f>IF(CALC_EEM!D146="","",CALC_EEM!D146)</f>
        <v>0</v>
      </c>
      <c r="E153" s="14" t="str">
        <f>IF(CALC_EEM!E146="","",CALC_EEM!E146)</f>
        <v>—</v>
      </c>
      <c r="F153" s="14" t="str">
        <f>IF(CALC_EEM!F146="","",CALC_EEM!F146)</f>
        <v>—</v>
      </c>
      <c r="G153" t="str">
        <f>IF(CALC_EEM!G146="","",CALC_EEM!G146)</f>
        <v>—</v>
      </c>
      <c r="H153" s="16" t="str">
        <f>IF(CALC_EEM!H146="","",CALC_EEM!H146)</f>
        <v>—</v>
      </c>
      <c r="I153" s="16" t="str">
        <f>IF(CALC_EEM!I146="","",CALC_EEM!I146)</f>
        <v>—</v>
      </c>
      <c r="J153" t="str">
        <f>IF(CALC_EEM!J146="","",CALC_EEM!J146)</f>
        <v>—</v>
      </c>
      <c r="K153" t="str">
        <f>IF(CALC_EEM!K146="","",CALC_EEM!K146)</f>
        <v>—</v>
      </c>
      <c r="L153">
        <f>IF(CALC_EEM!L146="","",CALC_EEM!L146)</f>
        <v>0</v>
      </c>
      <c r="M153">
        <f>IF(CALC_EEM!M146="","",CALC_EEM!M146)</f>
        <v>0</v>
      </c>
      <c r="N153">
        <f>IF(CALC_EEM!N146="","",CALC_EEM!N146)</f>
        <v>0</v>
      </c>
      <c r="O153">
        <f>IF(CALC_EEM!O146="","",CALC_EEM!O146)</f>
        <v>0</v>
      </c>
      <c r="P153">
        <f>IF(CALC_EEM!P146="","",CALC_EEM!P146)</f>
        <v>0</v>
      </c>
      <c r="Q153">
        <f>IF(CALC_EEM!Q146="","",CALC_EEM!Q146)</f>
        <v>0</v>
      </c>
      <c r="R153">
        <f>IF(CALC_EEM!R146="","",CALC_EEM!R146)</f>
        <v>0</v>
      </c>
      <c r="S153">
        <f>IF(CALC_EEM!S146="","",CALC_EEM!S146)</f>
        <v>0</v>
      </c>
      <c r="T153">
        <f>IF(CALC_EEM!T146="","",CALC_EEM!T146)</f>
        <v>0</v>
      </c>
      <c r="U153">
        <f>IF(CALC_EEM!U146="","",CALC_EEM!U146)</f>
        <v>0</v>
      </c>
    </row>
    <row r="154" spans="1:24">
      <c r="A154" t="str">
        <f>IF(CALC_EEM!A147="","",IF(CALC_EEM!A147="GLOBAL","GLOBAL",IF(CALC_EEM!C147="Total","CURSO_TOTAL",IF(CALC_EEM!C147="TotalEsp","CURSO_ESP",IF(CALC_EEM!C147="TotalNoEsp","CURSO_NOESP","CURSO_ASIG")))))</f>
        <v>GLOBAL</v>
      </c>
      <c r="B154" t="str">
        <f>IF(CALC_EEM!A147="","",CALC_EEM!A147)</f>
        <v>GLOBAL</v>
      </c>
      <c r="C154" t="str">
        <f>IF(CALC_EEM!B147="","",CALC_EEM!B147)</f>
        <v>Total</v>
      </c>
      <c r="D154">
        <f>IF(CALC_EEM!D147="","",CALC_EEM!D147)</f>
        <v>0</v>
      </c>
      <c r="E154" s="14" t="str">
        <f>IF(CALC_EEM!E147="","",CALC_EEM!E147)</f>
        <v>—</v>
      </c>
      <c r="F154" s="14" t="str">
        <f>IF(CALC_EEM!F147="","",CALC_EEM!F147)</f>
        <v>—</v>
      </c>
      <c r="G154" t="str">
        <f>IF(CALC_EEM!G147="","",CALC_EEM!G147)</f>
        <v>—</v>
      </c>
      <c r="H154" s="16" t="str">
        <f>IF(CALC_EEM!H147="","",CALC_EEM!H147)</f>
        <v>—</v>
      </c>
      <c r="I154" s="16" t="str">
        <f>IF(CALC_EEM!I147="","",CALC_EEM!I147)</f>
        <v>—</v>
      </c>
      <c r="J154" t="str">
        <f>IF(CALC_EEM!J147="","",CALC_EEM!J147)</f>
        <v>—</v>
      </c>
      <c r="K154" t="str">
        <f>IF(CALC_EEM!K147="","",CALC_EEM!K147)</f>
        <v>—</v>
      </c>
      <c r="L154">
        <f>IF(CALC_EEM!L147="","",CALC_EEM!L147)</f>
        <v>0</v>
      </c>
      <c r="M154">
        <f>IF(CALC_EEM!M147="","",CALC_EEM!M147)</f>
        <v>0</v>
      </c>
      <c r="N154">
        <f>IF(CALC_EEM!N147="","",CALC_EEM!N147)</f>
        <v>0</v>
      </c>
      <c r="O154">
        <f>IF(CALC_EEM!O147="","",CALC_EEM!O147)</f>
        <v>0</v>
      </c>
      <c r="P154">
        <f>IF(CALC_EEM!P147="","",CALC_EEM!P147)</f>
        <v>0</v>
      </c>
      <c r="Q154">
        <f>IF(CALC_EEM!Q147="","",CALC_EEM!Q147)</f>
        <v>0</v>
      </c>
      <c r="R154">
        <f>IF(CALC_EEM!R147="","",CALC_EEM!R147)</f>
        <v>0</v>
      </c>
      <c r="S154">
        <f>IF(CALC_EEM!S147="","",CALC_EEM!S147)</f>
        <v>0</v>
      </c>
      <c r="T154">
        <f>IF(CALC_EEM!T147="","",CALC_EEM!T147)</f>
        <v>0</v>
      </c>
      <c r="U154">
        <f>IF(CALC_EEM!U147="","",CALC_EEM!U147)</f>
        <v>0</v>
      </c>
    </row>
    <row r="155" spans="1:24">
      <c r="A155" t="str">
        <f>IF(CALC_EEM!A148="","",IF(CALC_EEM!A148="GLOBAL","GLOBAL",IF(CALC_EEM!C148="Total","CURSO_TOTAL",IF(CALC_EEM!C148="TotalEsp","CURSO_ESP",IF(CALC_EEM!C148="TotalNoEsp","CURSO_NOESP","CURSO_ASIG")))))</f>
        <v>GLOBAL</v>
      </c>
      <c r="B155" t="str">
        <f>IF(CALC_EEM!A148="","",CALC_EEM!A148)</f>
        <v>GLOBAL</v>
      </c>
      <c r="C155" t="str">
        <f>IF(CALC_EEM!B148="","",CALC_EEM!B148)</f>
        <v>Total</v>
      </c>
      <c r="D155">
        <f>IF(CALC_EEM!D148="","",CALC_EEM!D148)</f>
        <v>0</v>
      </c>
      <c r="E155" s="14" t="str">
        <f>IF(CALC_EEM!E148="","",CALC_EEM!E148)</f>
        <v>—</v>
      </c>
      <c r="F155" s="14" t="str">
        <f>IF(CALC_EEM!F148="","",CALC_EEM!F148)</f>
        <v>—</v>
      </c>
      <c r="G155" t="str">
        <f>IF(CALC_EEM!G148="","",CALC_EEM!G148)</f>
        <v>—</v>
      </c>
      <c r="H155" s="16" t="str">
        <f>IF(CALC_EEM!H148="","",CALC_EEM!H148)</f>
        <v>—</v>
      </c>
      <c r="I155" s="16" t="str">
        <f>IF(CALC_EEM!I148="","",CALC_EEM!I148)</f>
        <v>—</v>
      </c>
      <c r="J155" t="str">
        <f>IF(CALC_EEM!J148="","",CALC_EEM!J148)</f>
        <v>—</v>
      </c>
      <c r="K155" t="str">
        <f>IF(CALC_EEM!K148="","",CALC_EEM!K148)</f>
        <v>—</v>
      </c>
      <c r="L155">
        <f>IF(CALC_EEM!L148="","",CALC_EEM!L148)</f>
        <v>0</v>
      </c>
      <c r="M155">
        <f>IF(CALC_EEM!M148="","",CALC_EEM!M148)</f>
        <v>0</v>
      </c>
      <c r="N155">
        <f>IF(CALC_EEM!N148="","",CALC_EEM!N148)</f>
        <v>0</v>
      </c>
      <c r="O155">
        <f>IF(CALC_EEM!O148="","",CALC_EEM!O148)</f>
        <v>0</v>
      </c>
      <c r="P155">
        <f>IF(CALC_EEM!P148="","",CALC_EEM!P148)</f>
        <v>0</v>
      </c>
      <c r="Q155">
        <f>IF(CALC_EEM!Q148="","",CALC_EEM!Q148)</f>
        <v>0</v>
      </c>
      <c r="R155">
        <f>IF(CALC_EEM!R148="","",CALC_EEM!R148)</f>
        <v>0</v>
      </c>
      <c r="S155">
        <f>IF(CALC_EEM!S148="","",CALC_EEM!S148)</f>
        <v>0</v>
      </c>
      <c r="T155">
        <f>IF(CALC_EEM!T148="","",CALC_EEM!T148)</f>
        <v>0</v>
      </c>
      <c r="U155">
        <f>IF(CALC_EEM!U148="","",CALC_EEM!U148)</f>
        <v>0</v>
      </c>
    </row>
    <row r="156" spans="1:24">
      <c r="A156" t="str">
        <f>IF(CALC_EEM!A149="","",IF(CALC_EEM!A149="GLOBAL","GLOBAL",IF(CALC_EEM!C149="Total","CURSO_TOTAL",IF(CALC_EEM!C149="TotalEsp","CURSO_ESP",IF(CALC_EEM!C149="TotalNoEsp","CURSO_NOESP","CURSO_ASIG")))))</f>
        <v>GLOBAL</v>
      </c>
      <c r="B156" t="str">
        <f>IF(CALC_EEM!A149="","",CALC_EEM!A149)</f>
        <v>GLOBAL</v>
      </c>
      <c r="C156" t="str">
        <f>IF(CALC_EEM!B149="","",CALC_EEM!B149)</f>
        <v>Total</v>
      </c>
      <c r="D156">
        <f>IF(CALC_EEM!D149="","",CALC_EEM!D149)</f>
        <v>0</v>
      </c>
      <c r="E156" s="14" t="str">
        <f>IF(CALC_EEM!E149="","",CALC_EEM!E149)</f>
        <v>—</v>
      </c>
      <c r="F156" s="14" t="str">
        <f>IF(CALC_EEM!F149="","",CALC_EEM!F149)</f>
        <v>—</v>
      </c>
      <c r="G156" t="str">
        <f>IF(CALC_EEM!G149="","",CALC_EEM!G149)</f>
        <v>—</v>
      </c>
      <c r="H156" s="16" t="str">
        <f>IF(CALC_EEM!H149="","",CALC_EEM!H149)</f>
        <v>—</v>
      </c>
      <c r="I156" s="16" t="str">
        <f>IF(CALC_EEM!I149="","",CALC_EEM!I149)</f>
        <v>—</v>
      </c>
      <c r="J156" t="str">
        <f>IF(CALC_EEM!J149="","",CALC_EEM!J149)</f>
        <v>—</v>
      </c>
      <c r="K156" t="str">
        <f>IF(CALC_EEM!K149="","",CALC_EEM!K149)</f>
        <v>—</v>
      </c>
      <c r="L156">
        <f>IF(CALC_EEM!L149="","",CALC_EEM!L149)</f>
        <v>0</v>
      </c>
      <c r="M156">
        <f>IF(CALC_EEM!M149="","",CALC_EEM!M149)</f>
        <v>0</v>
      </c>
      <c r="N156">
        <f>IF(CALC_EEM!N149="","",CALC_EEM!N149)</f>
        <v>0</v>
      </c>
      <c r="O156">
        <f>IF(CALC_EEM!O149="","",CALC_EEM!O149)</f>
        <v>0</v>
      </c>
      <c r="P156">
        <f>IF(CALC_EEM!P149="","",CALC_EEM!P149)</f>
        <v>0</v>
      </c>
      <c r="Q156">
        <f>IF(CALC_EEM!Q149="","",CALC_EEM!Q149)</f>
        <v>0</v>
      </c>
      <c r="R156">
        <f>IF(CALC_EEM!R149="","",CALC_EEM!R149)</f>
        <v>0</v>
      </c>
      <c r="S156">
        <f>IF(CALC_EEM!S149="","",CALC_EEM!S149)</f>
        <v>0</v>
      </c>
      <c r="T156">
        <f>IF(CALC_EEM!T149="","",CALC_EEM!T149)</f>
        <v>0</v>
      </c>
      <c r="U156">
        <f>IF(CALC_EEM!U149="","",CALC_EEM!U149)</f>
        <v>0</v>
      </c>
    </row>
    <row r="157" spans="1:24">
      <c r="A157" t="str">
        <f>IF(CALC_EEM!A150="","",IF(CALC_EEM!A150="GLOBAL","GLOBAL",IF(CALC_EEM!C150="Total","CURSO_TOTAL",IF(CALC_EEM!C150="TotalEsp","CURSO_ESP",IF(CALC_EEM!C150="TotalNoEsp","CURSO_NOESP","CURSO_ASIG")))))</f>
        <v>GLOBAL</v>
      </c>
      <c r="B157" t="str">
        <f>IF(CALC_EEM!A150="","",CALC_EEM!A150)</f>
        <v>GLOBAL</v>
      </c>
      <c r="C157" t="str">
        <f>IF(CALC_EEM!B150="","",CALC_EEM!B150)</f>
        <v>Total</v>
      </c>
      <c r="D157">
        <f>IF(CALC_EEM!D150="","",CALC_EEM!D150)</f>
        <v>0</v>
      </c>
      <c r="E157" s="14" t="str">
        <f>IF(CALC_EEM!E150="","",CALC_EEM!E150)</f>
        <v>—</v>
      </c>
      <c r="F157" s="14" t="str">
        <f>IF(CALC_EEM!F150="","",CALC_EEM!F150)</f>
        <v>—</v>
      </c>
      <c r="G157" t="str">
        <f>IF(CALC_EEM!G150="","",CALC_EEM!G150)</f>
        <v>—</v>
      </c>
      <c r="H157" s="16" t="str">
        <f>IF(CALC_EEM!H150="","",CALC_EEM!H150)</f>
        <v>—</v>
      </c>
      <c r="I157" s="16" t="str">
        <f>IF(CALC_EEM!I150="","",CALC_EEM!I150)</f>
        <v>—</v>
      </c>
      <c r="J157" t="str">
        <f>IF(CALC_EEM!J150="","",CALC_EEM!J150)</f>
        <v>—</v>
      </c>
      <c r="K157" t="str">
        <f>IF(CALC_EEM!K150="","",CALC_EEM!K150)</f>
        <v>—</v>
      </c>
      <c r="L157">
        <f>IF(CALC_EEM!L150="","",CALC_EEM!L150)</f>
        <v>0</v>
      </c>
      <c r="M157">
        <f>IF(CALC_EEM!M150="","",CALC_EEM!M150)</f>
        <v>0</v>
      </c>
      <c r="N157">
        <f>IF(CALC_EEM!N150="","",CALC_EEM!N150)</f>
        <v>0</v>
      </c>
      <c r="O157">
        <f>IF(CALC_EEM!O150="","",CALC_EEM!O150)</f>
        <v>0</v>
      </c>
      <c r="P157">
        <f>IF(CALC_EEM!P150="","",CALC_EEM!P150)</f>
        <v>0</v>
      </c>
      <c r="Q157">
        <f>IF(CALC_EEM!Q150="","",CALC_EEM!Q150)</f>
        <v>0</v>
      </c>
      <c r="R157">
        <f>IF(CALC_EEM!R150="","",CALC_EEM!R150)</f>
        <v>0</v>
      </c>
      <c r="S157">
        <f>IF(CALC_EEM!S150="","",CALC_EEM!S150)</f>
        <v>0</v>
      </c>
      <c r="T157">
        <f>IF(CALC_EEM!T150="","",CALC_EEM!T150)</f>
        <v>0</v>
      </c>
      <c r="U157">
        <f>IF(CALC_EEM!U150="","",CALC_EEM!U150)</f>
        <v>0</v>
      </c>
    </row>
    <row r="158" spans="1:24">
      <c r="A158" t="str">
        <f>IF(CALC_EEM!A151="","",IF(CALC_EEM!A151="GLOBAL","GLOBAL",IF(CALC_EEM!C151="Total","CURSO_TOTAL",IF(CALC_EEM!C151="TotalEsp","CURSO_ESP",IF(CALC_EEM!C151="TotalNoEsp","CURSO_NOESP","CURSO_ASIG")))))</f>
        <v>GLOBAL</v>
      </c>
      <c r="B158" t="str">
        <f>IF(CALC_EEM!A151="","",CALC_EEM!A151)</f>
        <v>GLOBAL</v>
      </c>
      <c r="C158" t="str">
        <f>IF(CALC_EEM!B151="","",CALC_EEM!B151)</f>
        <v>Total</v>
      </c>
      <c r="D158">
        <f>IF(CALC_EEM!D151="","",CALC_EEM!D151)</f>
        <v>0</v>
      </c>
      <c r="E158" s="14" t="str">
        <f>IF(CALC_EEM!E151="","",CALC_EEM!E151)</f>
        <v>—</v>
      </c>
      <c r="F158" s="14" t="str">
        <f>IF(CALC_EEM!F151="","",CALC_EEM!F151)</f>
        <v>—</v>
      </c>
      <c r="G158" t="str">
        <f>IF(CALC_EEM!G151="","",CALC_EEM!G151)</f>
        <v>—</v>
      </c>
      <c r="H158" s="16" t="str">
        <f>IF(CALC_EEM!H151="","",CALC_EEM!H151)</f>
        <v>—</v>
      </c>
      <c r="I158" s="16" t="str">
        <f>IF(CALC_EEM!I151="","",CALC_EEM!I151)</f>
        <v>—</v>
      </c>
      <c r="J158" t="str">
        <f>IF(CALC_EEM!J151="","",CALC_EEM!J151)</f>
        <v>—</v>
      </c>
      <c r="K158" t="str">
        <f>IF(CALC_EEM!K151="","",CALC_EEM!K151)</f>
        <v>—</v>
      </c>
      <c r="L158">
        <f>IF(CALC_EEM!L151="","",CALC_EEM!L151)</f>
        <v>0</v>
      </c>
      <c r="M158">
        <f>IF(CALC_EEM!M151="","",CALC_EEM!M151)</f>
        <v>0</v>
      </c>
      <c r="N158">
        <f>IF(CALC_EEM!N151="","",CALC_EEM!N151)</f>
        <v>0</v>
      </c>
      <c r="O158">
        <f>IF(CALC_EEM!O151="","",CALC_EEM!O151)</f>
        <v>0</v>
      </c>
      <c r="P158">
        <f>IF(CALC_EEM!P151="","",CALC_EEM!P151)</f>
        <v>0</v>
      </c>
      <c r="Q158">
        <f>IF(CALC_EEM!Q151="","",CALC_EEM!Q151)</f>
        <v>0</v>
      </c>
      <c r="R158">
        <f>IF(CALC_EEM!R151="","",CALC_EEM!R151)</f>
        <v>0</v>
      </c>
      <c r="S158">
        <f>IF(CALC_EEM!S151="","",CALC_EEM!S151)</f>
        <v>0</v>
      </c>
      <c r="T158">
        <f>IF(CALC_EEM!T151="","",CALC_EEM!T151)</f>
        <v>0</v>
      </c>
      <c r="U158">
        <f>IF(CALC_EEM!U151="","",CALC_EEM!U151)</f>
        <v>0</v>
      </c>
    </row>
    <row r="159" spans="1:24">
      <c r="A159" t="str">
        <f>IF(CALC_EEM!A152="","",IF(CALC_EEM!A152="GLOBAL","GLOBAL",IF(CALC_EEM!C152="Total","CURSO_TOTAL",IF(CALC_EEM!C152="TotalEsp","CURSO_ESP",IF(CALC_EEM!C152="TotalNoEsp","CURSO_NOESP","CURSO_ASIG")))))</f>
        <v>GLOBAL</v>
      </c>
      <c r="B159" t="str">
        <f>IF(CALC_EEM!A152="","",CALC_EEM!A152)</f>
        <v>GLOBAL</v>
      </c>
      <c r="C159" t="str">
        <f>IF(CALC_EEM!B152="","",CALC_EEM!B152)</f>
        <v>Total</v>
      </c>
      <c r="D159">
        <f>IF(CALC_EEM!D152="","",CALC_EEM!D152)</f>
        <v>0</v>
      </c>
      <c r="E159" s="14" t="str">
        <f>IF(CALC_EEM!E152="","",CALC_EEM!E152)</f>
        <v>—</v>
      </c>
      <c r="F159" s="14" t="str">
        <f>IF(CALC_EEM!F152="","",CALC_EEM!F152)</f>
        <v>—</v>
      </c>
      <c r="G159" t="str">
        <f>IF(CALC_EEM!G152="","",CALC_EEM!G152)</f>
        <v>—</v>
      </c>
      <c r="H159" s="16" t="str">
        <f>IF(CALC_EEM!H152="","",CALC_EEM!H152)</f>
        <v>—</v>
      </c>
      <c r="I159" s="16" t="str">
        <f>IF(CALC_EEM!I152="","",CALC_EEM!I152)</f>
        <v>—</v>
      </c>
      <c r="J159" t="str">
        <f>IF(CALC_EEM!J152="","",CALC_EEM!J152)</f>
        <v>—</v>
      </c>
      <c r="K159" t="str">
        <f>IF(CALC_EEM!K152="","",CALC_EEM!K152)</f>
        <v>—</v>
      </c>
      <c r="L159">
        <f>IF(CALC_EEM!L152="","",CALC_EEM!L152)</f>
        <v>0</v>
      </c>
      <c r="M159">
        <f>IF(CALC_EEM!M152="","",CALC_EEM!M152)</f>
        <v>0</v>
      </c>
      <c r="N159">
        <f>IF(CALC_EEM!N152="","",CALC_EEM!N152)</f>
        <v>0</v>
      </c>
      <c r="O159">
        <f>IF(CALC_EEM!O152="","",CALC_EEM!O152)</f>
        <v>0</v>
      </c>
      <c r="P159">
        <f>IF(CALC_EEM!P152="","",CALC_EEM!P152)</f>
        <v>0</v>
      </c>
      <c r="Q159">
        <f>IF(CALC_EEM!Q152="","",CALC_EEM!Q152)</f>
        <v>0</v>
      </c>
      <c r="R159">
        <f>IF(CALC_EEM!R152="","",CALC_EEM!R152)</f>
        <v>0</v>
      </c>
      <c r="S159">
        <f>IF(CALC_EEM!S152="","",CALC_EEM!S152)</f>
        <v>0</v>
      </c>
      <c r="T159">
        <f>IF(CALC_EEM!T152="","",CALC_EEM!T152)</f>
        <v>0</v>
      </c>
      <c r="U159">
        <f>IF(CALC_EEM!U152="","",CALC_EEM!U152)</f>
        <v>0</v>
      </c>
    </row>
    <row r="160" spans="1:24">
      <c r="A160" t="str">
        <f>IF(CALC_EEM!A153="","",IF(CALC_EEM!A153="GLOBAL","GLOBAL",IF(CALC_EEM!C153="Total","CURSO_TOTAL",IF(CALC_EEM!C153="TotalEsp","CURSO_ESP",IF(CALC_EEM!C153="TotalNoEsp","CURSO_NOESP","CURSO_ASIG")))))</f>
        <v>GLOBAL</v>
      </c>
      <c r="B160" t="str">
        <f>IF(CALC_EEM!A153="","",CALC_EEM!A153)</f>
        <v>GLOBAL</v>
      </c>
      <c r="C160" t="str">
        <f>IF(CALC_EEM!B153="","",CALC_EEM!B153)</f>
        <v>Total</v>
      </c>
      <c r="D160">
        <f>IF(CALC_EEM!D153="","",CALC_EEM!D153)</f>
        <v>0</v>
      </c>
      <c r="E160" s="14" t="str">
        <f>IF(CALC_EEM!E153="","",CALC_EEM!E153)</f>
        <v>—</v>
      </c>
      <c r="F160" s="14" t="str">
        <f>IF(CALC_EEM!F153="","",CALC_EEM!F153)</f>
        <v>—</v>
      </c>
      <c r="G160" t="str">
        <f>IF(CALC_EEM!G153="","",CALC_EEM!G153)</f>
        <v>—</v>
      </c>
      <c r="H160" s="16" t="str">
        <f>IF(CALC_EEM!H153="","",CALC_EEM!H153)</f>
        <v>—</v>
      </c>
      <c r="I160" s="16" t="str">
        <f>IF(CALC_EEM!I153="","",CALC_EEM!I153)</f>
        <v>—</v>
      </c>
      <c r="J160" t="str">
        <f>IF(CALC_EEM!J153="","",CALC_EEM!J153)</f>
        <v>—</v>
      </c>
      <c r="K160" t="str">
        <f>IF(CALC_EEM!K153="","",CALC_EEM!K153)</f>
        <v>—</v>
      </c>
      <c r="L160">
        <f>IF(CALC_EEM!L153="","",CALC_EEM!L153)</f>
        <v>0</v>
      </c>
      <c r="M160">
        <f>IF(CALC_EEM!M153="","",CALC_EEM!M153)</f>
        <v>0</v>
      </c>
      <c r="N160">
        <f>IF(CALC_EEM!N153="","",CALC_EEM!N153)</f>
        <v>0</v>
      </c>
      <c r="O160">
        <f>IF(CALC_EEM!O153="","",CALC_EEM!O153)</f>
        <v>0</v>
      </c>
      <c r="P160">
        <f>IF(CALC_EEM!P153="","",CALC_EEM!P153)</f>
        <v>0</v>
      </c>
      <c r="Q160">
        <f>IF(CALC_EEM!Q153="","",CALC_EEM!Q153)</f>
        <v>0</v>
      </c>
      <c r="R160">
        <f>IF(CALC_EEM!R153="","",CALC_EEM!R153)</f>
        <v>0</v>
      </c>
      <c r="S160">
        <f>IF(CALC_EEM!S153="","",CALC_EEM!S153)</f>
        <v>0</v>
      </c>
      <c r="T160">
        <f>IF(CALC_EEM!T153="","",CALC_EEM!T153)</f>
        <v>0</v>
      </c>
      <c r="U160">
        <f>IF(CALC_EEM!U153="","",CALC_EEM!U153)</f>
        <v>0</v>
      </c>
    </row>
    <row r="161" spans="1:24">
      <c r="A161" t="str">
        <f>IF(CALC_EEM!A154="","",IF(CALC_EEM!A154="GLOBAL","GLOBAL",IF(CALC_EEM!C154="Total","CURSO_TOTAL",IF(CALC_EEM!C154="TotalEsp","CURSO_ESP",IF(CALC_EEM!C154="TotalNoEsp","CURSO_NOESP","CURSO_ASIG")))))</f>
        <v>GLOBAL</v>
      </c>
      <c r="B161" t="str">
        <f>IF(CALC_EEM!A154="","",CALC_EEM!A154)</f>
        <v>GLOBAL</v>
      </c>
      <c r="C161" t="str">
        <f>IF(CALC_EEM!B154="","",CALC_EEM!B154)</f>
        <v>Total</v>
      </c>
      <c r="D161">
        <f>IF(CALC_EEM!D154="","",CALC_EEM!D154)</f>
        <v>0</v>
      </c>
      <c r="E161" s="14" t="str">
        <f>IF(CALC_EEM!E154="","",CALC_EEM!E154)</f>
        <v>—</v>
      </c>
      <c r="F161" s="14" t="str">
        <f>IF(CALC_EEM!F154="","",CALC_EEM!F154)</f>
        <v>—</v>
      </c>
      <c r="G161" t="str">
        <f>IF(CALC_EEM!G154="","",CALC_EEM!G154)</f>
        <v>—</v>
      </c>
      <c r="H161" s="16" t="str">
        <f>IF(CALC_EEM!H154="","",CALC_EEM!H154)</f>
        <v>—</v>
      </c>
      <c r="I161" s="16" t="str">
        <f>IF(CALC_EEM!I154="","",CALC_EEM!I154)</f>
        <v>—</v>
      </c>
      <c r="J161" t="str">
        <f>IF(CALC_EEM!J154="","",CALC_EEM!J154)</f>
        <v>—</v>
      </c>
      <c r="K161" t="str">
        <f>IF(CALC_EEM!K154="","",CALC_EEM!K154)</f>
        <v>—</v>
      </c>
      <c r="L161">
        <f>IF(CALC_EEM!L154="","",CALC_EEM!L154)</f>
        <v>0</v>
      </c>
      <c r="M161">
        <f>IF(CALC_EEM!M154="","",CALC_EEM!M154)</f>
        <v>0</v>
      </c>
      <c r="N161">
        <f>IF(CALC_EEM!N154="","",CALC_EEM!N154)</f>
        <v>0</v>
      </c>
      <c r="O161">
        <f>IF(CALC_EEM!O154="","",CALC_EEM!O154)</f>
        <v>0</v>
      </c>
      <c r="P161">
        <f>IF(CALC_EEM!P154="","",CALC_EEM!P154)</f>
        <v>0</v>
      </c>
      <c r="Q161">
        <f>IF(CALC_EEM!Q154="","",CALC_EEM!Q154)</f>
        <v>0</v>
      </c>
      <c r="R161">
        <f>IF(CALC_EEM!R154="","",CALC_EEM!R154)</f>
        <v>0</v>
      </c>
      <c r="S161">
        <f>IF(CALC_EEM!S154="","",CALC_EEM!S154)</f>
        <v>0</v>
      </c>
      <c r="T161">
        <f>IF(CALC_EEM!T154="","",CALC_EEM!T154)</f>
        <v>0</v>
      </c>
      <c r="U161">
        <f>IF(CALC_EEM!U154="","",CALC_EEM!U154)</f>
        <v>0</v>
      </c>
    </row>
    <row r="162" spans="1:24">
      <c r="A162" t="str">
        <f>IF(CALC_EEM!A155="","",IF(CALC_EEM!A155="GLOBAL","GLOBAL",IF(CALC_EEM!C155="Total","CURSO_TOTAL",IF(CALC_EEM!C155="TotalEsp","CURSO_ESP",IF(CALC_EEM!C155="TotalNoEsp","CURSO_NOESP","CURSO_ASIG")))))</f>
        <v>GLOBAL</v>
      </c>
      <c r="B162" t="str">
        <f>IF(CALC_EEM!A155="","",CALC_EEM!A155)</f>
        <v>GLOBAL</v>
      </c>
      <c r="C162" t="str">
        <f>IF(CALC_EEM!B155="","",CALC_EEM!B155)</f>
        <v>Total</v>
      </c>
      <c r="D162">
        <f>IF(CALC_EEM!D155="","",CALC_EEM!D155)</f>
        <v>0</v>
      </c>
      <c r="E162" s="14" t="str">
        <f>IF(CALC_EEM!E155="","",CALC_EEM!E155)</f>
        <v>—</v>
      </c>
      <c r="F162" s="14" t="str">
        <f>IF(CALC_EEM!F155="","",CALC_EEM!F155)</f>
        <v>—</v>
      </c>
      <c r="G162" t="str">
        <f>IF(CALC_EEM!G155="","",CALC_EEM!G155)</f>
        <v>—</v>
      </c>
      <c r="H162" s="16" t="str">
        <f>IF(CALC_EEM!H155="","",CALC_EEM!H155)</f>
        <v>—</v>
      </c>
      <c r="I162" s="16" t="str">
        <f>IF(CALC_EEM!I155="","",CALC_EEM!I155)</f>
        <v>—</v>
      </c>
      <c r="J162" t="str">
        <f>IF(CALC_EEM!J155="","",CALC_EEM!J155)</f>
        <v>—</v>
      </c>
      <c r="K162" t="str">
        <f>IF(CALC_EEM!K155="","",CALC_EEM!K155)</f>
        <v>—</v>
      </c>
      <c r="L162">
        <f>IF(CALC_EEM!L155="","",CALC_EEM!L155)</f>
        <v>0</v>
      </c>
      <c r="M162">
        <f>IF(CALC_EEM!M155="","",CALC_EEM!M155)</f>
        <v>0</v>
      </c>
      <c r="N162">
        <f>IF(CALC_EEM!N155="","",CALC_EEM!N155)</f>
        <v>0</v>
      </c>
      <c r="O162">
        <f>IF(CALC_EEM!O155="","",CALC_EEM!O155)</f>
        <v>0</v>
      </c>
      <c r="P162">
        <f>IF(CALC_EEM!P155="","",CALC_EEM!P155)</f>
        <v>0</v>
      </c>
      <c r="Q162">
        <f>IF(CALC_EEM!Q155="","",CALC_EEM!Q155)</f>
        <v>0</v>
      </c>
      <c r="R162">
        <f>IF(CALC_EEM!R155="","",CALC_EEM!R155)</f>
        <v>0</v>
      </c>
      <c r="S162">
        <f>IF(CALC_EEM!S155="","",CALC_EEM!S155)</f>
        <v>0</v>
      </c>
      <c r="T162">
        <f>IF(CALC_EEM!T155="","",CALC_EEM!T155)</f>
        <v>0</v>
      </c>
      <c r="U162">
        <f>IF(CALC_EEM!U155="","",CALC_EEM!U155)</f>
        <v>0</v>
      </c>
    </row>
    <row r="163" spans="1:24">
      <c r="A163" t="str">
        <f>IF(CALC_EEM!A156="","",IF(CALC_EEM!A156="GLOBAL","GLOBAL",IF(CALC_EEM!C156="Total","CURSO_TOTAL",IF(CALC_EEM!C156="TotalEsp","CURSO_ESP",IF(CALC_EEM!C156="TotalNoEsp","CURSO_NOESP","CURSO_ASIG")))))</f>
        <v>GLOBAL</v>
      </c>
      <c r="B163" t="str">
        <f>IF(CALC_EEM!A156="","",CALC_EEM!A156)</f>
        <v>GLOBAL</v>
      </c>
      <c r="C163" t="str">
        <f>IF(CALC_EEM!B156="","",CALC_EEM!B156)</f>
        <v>Total</v>
      </c>
      <c r="D163">
        <f>IF(CALC_EEM!D156="","",CALC_EEM!D156)</f>
        <v>0</v>
      </c>
      <c r="E163" s="14" t="str">
        <f>IF(CALC_EEM!E156="","",CALC_EEM!E156)</f>
        <v>—</v>
      </c>
      <c r="F163" s="14" t="str">
        <f>IF(CALC_EEM!F156="","",CALC_EEM!F156)</f>
        <v>—</v>
      </c>
      <c r="G163" t="str">
        <f>IF(CALC_EEM!G156="","",CALC_EEM!G156)</f>
        <v>—</v>
      </c>
      <c r="H163" s="16" t="str">
        <f>IF(CALC_EEM!H156="","",CALC_EEM!H156)</f>
        <v>—</v>
      </c>
      <c r="I163" s="16" t="str">
        <f>IF(CALC_EEM!I156="","",CALC_EEM!I156)</f>
        <v>—</v>
      </c>
      <c r="J163" t="str">
        <f>IF(CALC_EEM!J156="","",CALC_EEM!J156)</f>
        <v>—</v>
      </c>
      <c r="K163" t="str">
        <f>IF(CALC_EEM!K156="","",CALC_EEM!K156)</f>
        <v>—</v>
      </c>
      <c r="L163">
        <f>IF(CALC_EEM!L156="","",CALC_EEM!L156)</f>
        <v>0</v>
      </c>
      <c r="M163">
        <f>IF(CALC_EEM!M156="","",CALC_EEM!M156)</f>
        <v>0</v>
      </c>
      <c r="N163">
        <f>IF(CALC_EEM!N156="","",CALC_EEM!N156)</f>
        <v>0</v>
      </c>
      <c r="O163">
        <f>IF(CALC_EEM!O156="","",CALC_EEM!O156)</f>
        <v>0</v>
      </c>
      <c r="P163">
        <f>IF(CALC_EEM!P156="","",CALC_EEM!P156)</f>
        <v>0</v>
      </c>
      <c r="Q163">
        <f>IF(CALC_EEM!Q156="","",CALC_EEM!Q156)</f>
        <v>0</v>
      </c>
      <c r="R163">
        <f>IF(CALC_EEM!R156="","",CALC_EEM!R156)</f>
        <v>0</v>
      </c>
      <c r="S163">
        <f>IF(CALC_EEM!S156="","",CALC_EEM!S156)</f>
        <v>0</v>
      </c>
      <c r="T163">
        <f>IF(CALC_EEM!T156="","",CALC_EEM!T156)</f>
        <v>0</v>
      </c>
      <c r="U163">
        <f>IF(CALC_EEM!U156="","",CALC_EEM!U156)</f>
        <v>0</v>
      </c>
    </row>
    <row r="164" spans="1:24">
      <c r="A164" t="str">
        <f>IF(CALC_EEM!A157="","",IF(CALC_EEM!A157="GLOBAL","GLOBAL",IF(CALC_EEM!C157="Total","CURSO_TOTAL",IF(CALC_EEM!C157="TotalEsp","CURSO_ESP",IF(CALC_EEM!C157="TotalNoEsp","CURSO_NOESP","CURSO_ASIG")))))</f>
        <v>GLOBAL</v>
      </c>
      <c r="B164" t="str">
        <f>IF(CALC_EEM!A157="","",CALC_EEM!A157)</f>
        <v>GLOBAL</v>
      </c>
      <c r="C164" t="str">
        <f>IF(CALC_EEM!B157="","",CALC_EEM!B157)</f>
        <v>Total</v>
      </c>
      <c r="D164">
        <f>IF(CALC_EEM!D157="","",CALC_EEM!D157)</f>
        <v>0</v>
      </c>
      <c r="E164" s="14" t="str">
        <f>IF(CALC_EEM!E157="","",CALC_EEM!E157)</f>
        <v>—</v>
      </c>
      <c r="F164" s="14" t="str">
        <f>IF(CALC_EEM!F157="","",CALC_EEM!F157)</f>
        <v>—</v>
      </c>
      <c r="G164" t="str">
        <f>IF(CALC_EEM!G157="","",CALC_EEM!G157)</f>
        <v>—</v>
      </c>
      <c r="H164" s="16" t="str">
        <f>IF(CALC_EEM!H157="","",CALC_EEM!H157)</f>
        <v>—</v>
      </c>
      <c r="I164" s="16" t="str">
        <f>IF(CALC_EEM!I157="","",CALC_EEM!I157)</f>
        <v>—</v>
      </c>
      <c r="J164" t="str">
        <f>IF(CALC_EEM!J157="","",CALC_EEM!J157)</f>
        <v>—</v>
      </c>
      <c r="K164" t="str">
        <f>IF(CALC_EEM!K157="","",CALC_EEM!K157)</f>
        <v>—</v>
      </c>
      <c r="L164">
        <f>IF(CALC_EEM!L157="","",CALC_EEM!L157)</f>
        <v>0</v>
      </c>
      <c r="M164">
        <f>IF(CALC_EEM!M157="","",CALC_EEM!M157)</f>
        <v>0</v>
      </c>
      <c r="N164">
        <f>IF(CALC_EEM!N157="","",CALC_EEM!N157)</f>
        <v>0</v>
      </c>
      <c r="O164">
        <f>IF(CALC_EEM!O157="","",CALC_EEM!O157)</f>
        <v>0</v>
      </c>
      <c r="P164">
        <f>IF(CALC_EEM!P157="","",CALC_EEM!P157)</f>
        <v>0</v>
      </c>
      <c r="Q164">
        <f>IF(CALC_EEM!Q157="","",CALC_EEM!Q157)</f>
        <v>0</v>
      </c>
      <c r="R164">
        <f>IF(CALC_EEM!R157="","",CALC_EEM!R157)</f>
        <v>0</v>
      </c>
      <c r="S164">
        <f>IF(CALC_EEM!S157="","",CALC_EEM!S157)</f>
        <v>0</v>
      </c>
      <c r="T164">
        <f>IF(CALC_EEM!T157="","",CALC_EEM!T157)</f>
        <v>0</v>
      </c>
      <c r="U164">
        <f>IF(CALC_EEM!U157="","",CALC_EEM!U157)</f>
        <v>0</v>
      </c>
    </row>
    <row r="165" spans="1:24">
      <c r="A165" t="str">
        <f>IF(CALC_EEM!A158="","",IF(CALC_EEM!A158="GLOBAL","GLOBAL",IF(CALC_EEM!C158="Total","CURSO_TOTAL",IF(CALC_EEM!C158="TotalEsp","CURSO_ESP",IF(CALC_EEM!C158="TotalNoEsp","CURSO_NOESP","CURSO_ASIG")))))</f>
        <v>GLOBAL</v>
      </c>
      <c r="B165" t="str">
        <f>IF(CALC_EEM!A158="","",CALC_EEM!A158)</f>
        <v>GLOBAL</v>
      </c>
      <c r="C165" t="str">
        <f>IF(CALC_EEM!B158="","",CALC_EEM!B158)</f>
        <v>Total</v>
      </c>
      <c r="D165">
        <f>IF(CALC_EEM!D158="","",CALC_EEM!D158)</f>
        <v>0</v>
      </c>
      <c r="E165" s="14" t="str">
        <f>IF(CALC_EEM!E158="","",CALC_EEM!E158)</f>
        <v>—</v>
      </c>
      <c r="F165" s="14" t="str">
        <f>IF(CALC_EEM!F158="","",CALC_EEM!F158)</f>
        <v>—</v>
      </c>
      <c r="G165" t="str">
        <f>IF(CALC_EEM!G158="","",CALC_EEM!G158)</f>
        <v>—</v>
      </c>
      <c r="H165" s="16" t="str">
        <f>IF(CALC_EEM!H158="","",CALC_EEM!H158)</f>
        <v>—</v>
      </c>
      <c r="I165" s="16" t="str">
        <f>IF(CALC_EEM!I158="","",CALC_EEM!I158)</f>
        <v>—</v>
      </c>
      <c r="J165" t="str">
        <f>IF(CALC_EEM!J158="","",CALC_EEM!J158)</f>
        <v>—</v>
      </c>
      <c r="K165" t="str">
        <f>IF(CALC_EEM!K158="","",CALC_EEM!K158)</f>
        <v>—</v>
      </c>
      <c r="L165">
        <f>IF(CALC_EEM!L158="","",CALC_EEM!L158)</f>
        <v>0</v>
      </c>
      <c r="M165">
        <f>IF(CALC_EEM!M158="","",CALC_EEM!M158)</f>
        <v>0</v>
      </c>
      <c r="N165">
        <f>IF(CALC_EEM!N158="","",CALC_EEM!N158)</f>
        <v>0</v>
      </c>
      <c r="O165">
        <f>IF(CALC_EEM!O158="","",CALC_EEM!O158)</f>
        <v>0</v>
      </c>
      <c r="P165">
        <f>IF(CALC_EEM!P158="","",CALC_EEM!P158)</f>
        <v>0</v>
      </c>
      <c r="Q165">
        <f>IF(CALC_EEM!Q158="","",CALC_EEM!Q158)</f>
        <v>0</v>
      </c>
      <c r="R165">
        <f>IF(CALC_EEM!R158="","",CALC_EEM!R158)</f>
        <v>0</v>
      </c>
      <c r="S165">
        <f>IF(CALC_EEM!S158="","",CALC_EEM!S158)</f>
        <v>0</v>
      </c>
      <c r="T165">
        <f>IF(CALC_EEM!T158="","",CALC_EEM!T158)</f>
        <v>0</v>
      </c>
      <c r="U165">
        <f>IF(CALC_EEM!U158="","",CALC_EEM!U158)</f>
        <v>0</v>
      </c>
    </row>
    <row r="166" spans="1:24">
      <c r="A166" t="str">
        <f>IF(CALC_EEM!A159="","",IF(CALC_EEM!A159="GLOBAL","GLOBAL",IF(CALC_EEM!C159="Total","CURSO_TOTAL",IF(CALC_EEM!C159="TotalEsp","CURSO_ESP",IF(CALC_EEM!C159="TotalNoEsp","CURSO_NOESP","CURSO_ASIG")))))</f>
        <v>GLOBAL</v>
      </c>
      <c r="B166" t="str">
        <f>IF(CALC_EEM!A159="","",CALC_EEM!A159)</f>
        <v>GLOBAL</v>
      </c>
      <c r="C166" t="str">
        <f>IF(CALC_EEM!B159="","",CALC_EEM!B159)</f>
        <v>Total</v>
      </c>
      <c r="D166">
        <f>IF(CALC_EEM!D159="","",CALC_EEM!D159)</f>
        <v>0</v>
      </c>
      <c r="E166" s="14" t="str">
        <f>IF(CALC_EEM!E159="","",CALC_EEM!E159)</f>
        <v>—</v>
      </c>
      <c r="F166" s="14" t="str">
        <f>IF(CALC_EEM!F159="","",CALC_EEM!F159)</f>
        <v>—</v>
      </c>
      <c r="G166" t="str">
        <f>IF(CALC_EEM!G159="","",CALC_EEM!G159)</f>
        <v>—</v>
      </c>
      <c r="H166" s="16" t="str">
        <f>IF(CALC_EEM!H159="","",CALC_EEM!H159)</f>
        <v>—</v>
      </c>
      <c r="I166" s="16" t="str">
        <f>IF(CALC_EEM!I159="","",CALC_EEM!I159)</f>
        <v>—</v>
      </c>
      <c r="J166" t="str">
        <f>IF(CALC_EEM!J159="","",CALC_EEM!J159)</f>
        <v>—</v>
      </c>
      <c r="K166" t="str">
        <f>IF(CALC_EEM!K159="","",CALC_EEM!K159)</f>
        <v>—</v>
      </c>
      <c r="L166">
        <f>IF(CALC_EEM!L159="","",CALC_EEM!L159)</f>
        <v>0</v>
      </c>
      <c r="M166">
        <f>IF(CALC_EEM!M159="","",CALC_EEM!M159)</f>
        <v>0</v>
      </c>
      <c r="N166">
        <f>IF(CALC_EEM!N159="","",CALC_EEM!N159)</f>
        <v>0</v>
      </c>
      <c r="O166">
        <f>IF(CALC_EEM!O159="","",CALC_EEM!O159)</f>
        <v>0</v>
      </c>
      <c r="P166">
        <f>IF(CALC_EEM!P159="","",CALC_EEM!P159)</f>
        <v>0</v>
      </c>
      <c r="Q166">
        <f>IF(CALC_EEM!Q159="","",CALC_EEM!Q159)</f>
        <v>0</v>
      </c>
      <c r="R166">
        <f>IF(CALC_EEM!R159="","",CALC_EEM!R159)</f>
        <v>0</v>
      </c>
      <c r="S166">
        <f>IF(CALC_EEM!S159="","",CALC_EEM!S159)</f>
        <v>0</v>
      </c>
      <c r="T166">
        <f>IF(CALC_EEM!T159="","",CALC_EEM!T159)</f>
        <v>0</v>
      </c>
      <c r="U166">
        <f>IF(CALC_EEM!U159="","",CALC_EEM!U159)</f>
        <v>0</v>
      </c>
    </row>
    <row r="167" spans="1:24">
      <c r="A167" t="str">
        <f>IF(CALC_EEM!A160="","",IF(CALC_EEM!A160="GLOBAL","GLOBAL",IF(CALC_EEM!C160="Total","CURSO_TOTAL",IF(CALC_EEM!C160="TotalEsp","CURSO_ESP",IF(CALC_EEM!C160="TotalNoEsp","CURSO_NOESP","CURSO_ASIG")))))</f>
        <v>GLOBAL</v>
      </c>
      <c r="B167" t="str">
        <f>IF(CALC_EEM!A160="","",CALC_EEM!A160)</f>
        <v>GLOBAL</v>
      </c>
      <c r="C167" t="str">
        <f>IF(CALC_EEM!B160="","",CALC_EEM!B160)</f>
        <v>Total</v>
      </c>
      <c r="D167">
        <f>IF(CALC_EEM!D160="","",CALC_EEM!D160)</f>
        <v>0</v>
      </c>
      <c r="E167" s="14" t="str">
        <f>IF(CALC_EEM!E160="","",CALC_EEM!E160)</f>
        <v>—</v>
      </c>
      <c r="F167" s="14" t="str">
        <f>IF(CALC_EEM!F160="","",CALC_EEM!F160)</f>
        <v>—</v>
      </c>
      <c r="G167" t="str">
        <f>IF(CALC_EEM!G160="","",CALC_EEM!G160)</f>
        <v>—</v>
      </c>
      <c r="H167" s="16" t="str">
        <f>IF(CALC_EEM!H160="","",CALC_EEM!H160)</f>
        <v>—</v>
      </c>
      <c r="I167" s="16" t="str">
        <f>IF(CALC_EEM!I160="","",CALC_EEM!I160)</f>
        <v>—</v>
      </c>
      <c r="J167" t="str">
        <f>IF(CALC_EEM!J160="","",CALC_EEM!J160)</f>
        <v>—</v>
      </c>
      <c r="K167" t="str">
        <f>IF(CALC_EEM!K160="","",CALC_EEM!K160)</f>
        <v>—</v>
      </c>
      <c r="L167">
        <f>IF(CALC_EEM!L160="","",CALC_EEM!L160)</f>
        <v>0</v>
      </c>
      <c r="M167">
        <f>IF(CALC_EEM!M160="","",CALC_EEM!M160)</f>
        <v>0</v>
      </c>
      <c r="N167">
        <f>IF(CALC_EEM!N160="","",CALC_EEM!N160)</f>
        <v>0</v>
      </c>
      <c r="O167">
        <f>IF(CALC_EEM!O160="","",CALC_EEM!O160)</f>
        <v>0</v>
      </c>
      <c r="P167">
        <f>IF(CALC_EEM!P160="","",CALC_EEM!P160)</f>
        <v>0</v>
      </c>
      <c r="Q167">
        <f>IF(CALC_EEM!Q160="","",CALC_EEM!Q160)</f>
        <v>0</v>
      </c>
      <c r="R167">
        <f>IF(CALC_EEM!R160="","",CALC_EEM!R160)</f>
        <v>0</v>
      </c>
      <c r="S167">
        <f>IF(CALC_EEM!S160="","",CALC_EEM!S160)</f>
        <v>0</v>
      </c>
      <c r="T167">
        <f>IF(CALC_EEM!T160="","",CALC_EEM!T160)</f>
        <v>0</v>
      </c>
      <c r="U167">
        <f>IF(CALC_EEM!U160="","",CALC_EEM!U160)</f>
        <v>0</v>
      </c>
    </row>
    <row r="168" spans="1:24">
      <c r="A168" t="str">
        <f>IF(CALC_EEM!A161="","",IF(CALC_EEM!A161="GLOBAL","GLOBAL",IF(CALC_EEM!C161="Total","CURSO_TOTAL",IF(CALC_EEM!C161="TotalEsp","CURSO_ESP",IF(CALC_EEM!C161="TotalNoEsp","CURSO_NOESP","CURSO_ASIG")))))</f>
        <v>GLOBAL</v>
      </c>
      <c r="B168" t="str">
        <f>IF(CALC_EEM!A161="","",CALC_EEM!A161)</f>
        <v>GLOBAL</v>
      </c>
      <c r="C168" t="str">
        <f>IF(CALC_EEM!B161="","",CALC_EEM!B161)</f>
        <v>Total</v>
      </c>
      <c r="D168">
        <f>IF(CALC_EEM!D161="","",CALC_EEM!D161)</f>
        <v>0</v>
      </c>
      <c r="E168" s="14" t="str">
        <f>IF(CALC_EEM!E161="","",CALC_EEM!E161)</f>
        <v>—</v>
      </c>
      <c r="F168" s="14" t="str">
        <f>IF(CALC_EEM!F161="","",CALC_EEM!F161)</f>
        <v>—</v>
      </c>
      <c r="G168" t="str">
        <f>IF(CALC_EEM!G161="","",CALC_EEM!G161)</f>
        <v>—</v>
      </c>
      <c r="H168" s="16" t="str">
        <f>IF(CALC_EEM!H161="","",CALC_EEM!H161)</f>
        <v>—</v>
      </c>
      <c r="I168" s="16" t="str">
        <f>IF(CALC_EEM!I161="","",CALC_EEM!I161)</f>
        <v>—</v>
      </c>
      <c r="J168" t="str">
        <f>IF(CALC_EEM!J161="","",CALC_EEM!J161)</f>
        <v>—</v>
      </c>
      <c r="K168" t="str">
        <f>IF(CALC_EEM!K161="","",CALC_EEM!K161)</f>
        <v>—</v>
      </c>
      <c r="L168">
        <f>IF(CALC_EEM!L161="","",CALC_EEM!L161)</f>
        <v>0</v>
      </c>
      <c r="M168">
        <f>IF(CALC_EEM!M161="","",CALC_EEM!M161)</f>
        <v>0</v>
      </c>
      <c r="N168">
        <f>IF(CALC_EEM!N161="","",CALC_EEM!N161)</f>
        <v>0</v>
      </c>
      <c r="O168">
        <f>IF(CALC_EEM!O161="","",CALC_EEM!O161)</f>
        <v>0</v>
      </c>
      <c r="P168">
        <f>IF(CALC_EEM!P161="","",CALC_EEM!P161)</f>
        <v>0</v>
      </c>
      <c r="Q168">
        <f>IF(CALC_EEM!Q161="","",CALC_EEM!Q161)</f>
        <v>0</v>
      </c>
      <c r="R168">
        <f>IF(CALC_EEM!R161="","",CALC_EEM!R161)</f>
        <v>0</v>
      </c>
      <c r="S168">
        <f>IF(CALC_EEM!S161="","",CALC_EEM!S161)</f>
        <v>0</v>
      </c>
      <c r="T168">
        <f>IF(CALC_EEM!T161="","",CALC_EEM!T161)</f>
        <v>0</v>
      </c>
      <c r="U168">
        <f>IF(CALC_EEM!U161="","",CALC_EEM!U161)</f>
        <v>0</v>
      </c>
    </row>
    <row r="169" spans="1:24">
      <c r="A169" t="str">
        <f>IF(CALC_EEM!A162="","",IF(CALC_EEM!A162="GLOBAL","GLOBAL",IF(CALC_EEM!C162="Total","CURSO_TOTAL",IF(CALC_EEM!C162="TotalEsp","CURSO_ESP",IF(CALC_EEM!C162="TotalNoEsp","CURSO_NOESP","CURSO_ASIG")))))</f>
        <v>GLOBAL</v>
      </c>
      <c r="B169" t="str">
        <f>IF(CALC_EEM!A162="","",CALC_EEM!A162)</f>
        <v>GLOBAL</v>
      </c>
      <c r="C169" t="str">
        <f>IF(CALC_EEM!B162="","",CALC_EEM!B162)</f>
        <v>Total</v>
      </c>
      <c r="D169">
        <f>IF(CALC_EEM!D162="","",CALC_EEM!D162)</f>
        <v>0</v>
      </c>
      <c r="E169" s="14" t="str">
        <f>IF(CALC_EEM!E162="","",CALC_EEM!E162)</f>
        <v>—</v>
      </c>
      <c r="F169" s="14" t="str">
        <f>IF(CALC_EEM!F162="","",CALC_EEM!F162)</f>
        <v>—</v>
      </c>
      <c r="G169" t="str">
        <f>IF(CALC_EEM!G162="","",CALC_EEM!G162)</f>
        <v>—</v>
      </c>
      <c r="H169" s="16" t="str">
        <f>IF(CALC_EEM!H162="","",CALC_EEM!H162)</f>
        <v>—</v>
      </c>
      <c r="I169" s="16" t="str">
        <f>IF(CALC_EEM!I162="","",CALC_EEM!I162)</f>
        <v>—</v>
      </c>
      <c r="J169" t="str">
        <f>IF(CALC_EEM!J162="","",CALC_EEM!J162)</f>
        <v>—</v>
      </c>
      <c r="K169" t="str">
        <f>IF(CALC_EEM!K162="","",CALC_EEM!K162)</f>
        <v>—</v>
      </c>
      <c r="L169">
        <f>IF(CALC_EEM!L162="","",CALC_EEM!L162)</f>
        <v>0</v>
      </c>
      <c r="M169">
        <f>IF(CALC_EEM!M162="","",CALC_EEM!M162)</f>
        <v>0</v>
      </c>
      <c r="N169">
        <f>IF(CALC_EEM!N162="","",CALC_EEM!N162)</f>
        <v>0</v>
      </c>
      <c r="O169">
        <f>IF(CALC_EEM!O162="","",CALC_EEM!O162)</f>
        <v>0</v>
      </c>
      <c r="P169">
        <f>IF(CALC_EEM!P162="","",CALC_EEM!P162)</f>
        <v>0</v>
      </c>
      <c r="Q169">
        <f>IF(CALC_EEM!Q162="","",CALC_EEM!Q162)</f>
        <v>0</v>
      </c>
      <c r="R169">
        <f>IF(CALC_EEM!R162="","",CALC_EEM!R162)</f>
        <v>0</v>
      </c>
      <c r="S169">
        <f>IF(CALC_EEM!S162="","",CALC_EEM!S162)</f>
        <v>0</v>
      </c>
      <c r="T169">
        <f>IF(CALC_EEM!T162="","",CALC_EEM!T162)</f>
        <v>0</v>
      </c>
      <c r="U169">
        <f>IF(CALC_EEM!U162="","",CALC_EEM!U162)</f>
        <v>0</v>
      </c>
    </row>
    <row r="170" spans="1:24">
      <c r="A170" t="str">
        <f>IF(CALC_EEM!A163="","",IF(CALC_EEM!A163="GLOBAL","GLOBAL",IF(CALC_EEM!C163="Total","CURSO_TOTAL",IF(CALC_EEM!C163="TotalEsp","CURSO_ESP",IF(CALC_EEM!C163="TotalNoEsp","CURSO_NOESP","CURSO_ASIG")))))</f>
        <v>GLOBAL</v>
      </c>
      <c r="B170" t="str">
        <f>IF(CALC_EEM!A163="","",CALC_EEM!A163)</f>
        <v>GLOBAL</v>
      </c>
      <c r="C170" t="str">
        <f>IF(CALC_EEM!B163="","",CALC_EEM!B163)</f>
        <v>Total</v>
      </c>
      <c r="D170">
        <f>IF(CALC_EEM!D163="","",CALC_EEM!D163)</f>
        <v>0</v>
      </c>
      <c r="E170" s="14" t="str">
        <f>IF(CALC_EEM!E163="","",CALC_EEM!E163)</f>
        <v>—</v>
      </c>
      <c r="F170" s="14" t="str">
        <f>IF(CALC_EEM!F163="","",CALC_EEM!F163)</f>
        <v>—</v>
      </c>
      <c r="G170" t="str">
        <f>IF(CALC_EEM!G163="","",CALC_EEM!G163)</f>
        <v>—</v>
      </c>
      <c r="H170" s="16" t="str">
        <f>IF(CALC_EEM!H163="","",CALC_EEM!H163)</f>
        <v>—</v>
      </c>
      <c r="I170" s="16" t="str">
        <f>IF(CALC_EEM!I163="","",CALC_EEM!I163)</f>
        <v>—</v>
      </c>
      <c r="J170" t="str">
        <f>IF(CALC_EEM!J163="","",CALC_EEM!J163)</f>
        <v>—</v>
      </c>
      <c r="K170" t="str">
        <f>IF(CALC_EEM!K163="","",CALC_EEM!K163)</f>
        <v>—</v>
      </c>
      <c r="L170">
        <f>IF(CALC_EEM!L163="","",CALC_EEM!L163)</f>
        <v>0</v>
      </c>
      <c r="M170">
        <f>IF(CALC_EEM!M163="","",CALC_EEM!M163)</f>
        <v>0</v>
      </c>
      <c r="N170">
        <f>IF(CALC_EEM!N163="","",CALC_EEM!N163)</f>
        <v>0</v>
      </c>
      <c r="O170">
        <f>IF(CALC_EEM!O163="","",CALC_EEM!O163)</f>
        <v>0</v>
      </c>
      <c r="P170">
        <f>IF(CALC_EEM!P163="","",CALC_EEM!P163)</f>
        <v>0</v>
      </c>
      <c r="Q170">
        <f>IF(CALC_EEM!Q163="","",CALC_EEM!Q163)</f>
        <v>0</v>
      </c>
      <c r="R170">
        <f>IF(CALC_EEM!R163="","",CALC_EEM!R163)</f>
        <v>0</v>
      </c>
      <c r="S170">
        <f>IF(CALC_EEM!S163="","",CALC_EEM!S163)</f>
        <v>0</v>
      </c>
      <c r="T170">
        <f>IF(CALC_EEM!T163="","",CALC_EEM!T163)</f>
        <v>0</v>
      </c>
      <c r="U170">
        <f>IF(CALC_EEM!U163="","",CALC_EEM!U163)</f>
        <v>0</v>
      </c>
    </row>
    <row r="171" spans="1:24">
      <c r="A171" t="str">
        <f>IF(CALC_EEM!A164="","",IF(CALC_EEM!A164="GLOBAL","GLOBAL",IF(CALC_EEM!C164="Total","CURSO_TOTAL",IF(CALC_EEM!C164="TotalEsp","CURSO_ESP",IF(CALC_EEM!C164="TotalNoEsp","CURSO_NOESP","CURSO_ASIG")))))</f>
        <v>GLOBAL</v>
      </c>
      <c r="B171" t="str">
        <f>IF(CALC_EEM!A164="","",CALC_EEM!A164)</f>
        <v>GLOBAL</v>
      </c>
      <c r="C171" t="str">
        <f>IF(CALC_EEM!B164="","",CALC_EEM!B164)</f>
        <v>Total</v>
      </c>
      <c r="D171">
        <f>IF(CALC_EEM!D164="","",CALC_EEM!D164)</f>
        <v>0</v>
      </c>
      <c r="E171" s="14" t="str">
        <f>IF(CALC_EEM!E164="","",CALC_EEM!E164)</f>
        <v>—</v>
      </c>
      <c r="F171" s="14" t="str">
        <f>IF(CALC_EEM!F164="","",CALC_EEM!F164)</f>
        <v>—</v>
      </c>
      <c r="G171" t="str">
        <f>IF(CALC_EEM!G164="","",CALC_EEM!G164)</f>
        <v>—</v>
      </c>
      <c r="H171" s="16" t="str">
        <f>IF(CALC_EEM!H164="","",CALC_EEM!H164)</f>
        <v>—</v>
      </c>
      <c r="I171" s="16" t="str">
        <f>IF(CALC_EEM!I164="","",CALC_EEM!I164)</f>
        <v>—</v>
      </c>
      <c r="J171" t="str">
        <f>IF(CALC_EEM!J164="","",CALC_EEM!J164)</f>
        <v>—</v>
      </c>
      <c r="K171" t="str">
        <f>IF(CALC_EEM!K164="","",CALC_EEM!K164)</f>
        <v>—</v>
      </c>
      <c r="L171">
        <f>IF(CALC_EEM!L164="","",CALC_EEM!L164)</f>
        <v>0</v>
      </c>
      <c r="M171">
        <f>IF(CALC_EEM!M164="","",CALC_EEM!M164)</f>
        <v>0</v>
      </c>
      <c r="N171">
        <f>IF(CALC_EEM!N164="","",CALC_EEM!N164)</f>
        <v>0</v>
      </c>
      <c r="O171">
        <f>IF(CALC_EEM!O164="","",CALC_EEM!O164)</f>
        <v>0</v>
      </c>
      <c r="P171">
        <f>IF(CALC_EEM!P164="","",CALC_EEM!P164)</f>
        <v>0</v>
      </c>
      <c r="Q171">
        <f>IF(CALC_EEM!Q164="","",CALC_EEM!Q164)</f>
        <v>0</v>
      </c>
      <c r="R171">
        <f>IF(CALC_EEM!R164="","",CALC_EEM!R164)</f>
        <v>0</v>
      </c>
      <c r="S171">
        <f>IF(CALC_EEM!S164="","",CALC_EEM!S164)</f>
        <v>0</v>
      </c>
      <c r="T171">
        <f>IF(CALC_EEM!T164="","",CALC_EEM!T164)</f>
        <v>0</v>
      </c>
      <c r="U171">
        <f>IF(CALC_EEM!U164="","",CALC_EEM!U164)</f>
        <v>0</v>
      </c>
    </row>
    <row r="172" spans="1:24">
      <c r="A172" t="str">
        <f>IF(CALC_EEM!A165="","",IF(CALC_EEM!A165="GLOBAL","GLOBAL",IF(CALC_EEM!C165="Total","CURSO_TOTAL",IF(CALC_EEM!C165="TotalEsp","CURSO_ESP",IF(CALC_EEM!C165="TotalNoEsp","CURSO_NOESP","CURSO_ASIG")))))</f>
        <v>GLOBAL</v>
      </c>
      <c r="B172" t="str">
        <f>IF(CALC_EEM!A165="","",CALC_EEM!A165)</f>
        <v>GLOBAL</v>
      </c>
      <c r="C172" t="str">
        <f>IF(CALC_EEM!B165="","",CALC_EEM!B165)</f>
        <v>Total</v>
      </c>
      <c r="D172">
        <f>IF(CALC_EEM!D165="","",CALC_EEM!D165)</f>
        <v>0</v>
      </c>
      <c r="E172" s="14" t="str">
        <f>IF(CALC_EEM!E165="","",CALC_EEM!E165)</f>
        <v>—</v>
      </c>
      <c r="F172" s="14" t="str">
        <f>IF(CALC_EEM!F165="","",CALC_EEM!F165)</f>
        <v>—</v>
      </c>
      <c r="G172" t="str">
        <f>IF(CALC_EEM!G165="","",CALC_EEM!G165)</f>
        <v>—</v>
      </c>
      <c r="H172" s="16" t="str">
        <f>IF(CALC_EEM!H165="","",CALC_EEM!H165)</f>
        <v>—</v>
      </c>
      <c r="I172" s="16" t="str">
        <f>IF(CALC_EEM!I165="","",CALC_EEM!I165)</f>
        <v>—</v>
      </c>
      <c r="J172" t="str">
        <f>IF(CALC_EEM!J165="","",CALC_EEM!J165)</f>
        <v>—</v>
      </c>
      <c r="K172" t="str">
        <f>IF(CALC_EEM!K165="","",CALC_EEM!K165)</f>
        <v>—</v>
      </c>
      <c r="L172">
        <f>IF(CALC_EEM!L165="","",CALC_EEM!L165)</f>
        <v>0</v>
      </c>
      <c r="M172">
        <f>IF(CALC_EEM!M165="","",CALC_EEM!M165)</f>
        <v>0</v>
      </c>
      <c r="N172">
        <f>IF(CALC_EEM!N165="","",CALC_EEM!N165)</f>
        <v>0</v>
      </c>
      <c r="O172">
        <f>IF(CALC_EEM!O165="","",CALC_EEM!O165)</f>
        <v>0</v>
      </c>
      <c r="P172">
        <f>IF(CALC_EEM!P165="","",CALC_EEM!P165)</f>
        <v>0</v>
      </c>
      <c r="Q172">
        <f>IF(CALC_EEM!Q165="","",CALC_EEM!Q165)</f>
        <v>0</v>
      </c>
      <c r="R172">
        <f>IF(CALC_EEM!R165="","",CALC_EEM!R165)</f>
        <v>0</v>
      </c>
      <c r="S172">
        <f>IF(CALC_EEM!S165="","",CALC_EEM!S165)</f>
        <v>0</v>
      </c>
      <c r="T172">
        <f>IF(CALC_EEM!T165="","",CALC_EEM!T165)</f>
        <v>0</v>
      </c>
      <c r="U172">
        <f>IF(CALC_EEM!U165="","",CALC_EEM!U165)</f>
        <v>0</v>
      </c>
    </row>
    <row r="173" spans="1:24">
      <c r="A173" t="str">
        <f>IF(CALC_EEM!A166="","",IF(CALC_EEM!A166="GLOBAL","GLOBAL",IF(CALC_EEM!C166="Total","CURSO_TOTAL",IF(CALC_EEM!C166="TotalEsp","CURSO_ESP",IF(CALC_EEM!C166="TotalNoEsp","CURSO_NOESP","CURSO_ASIG")))))</f>
        <v>GLOBAL</v>
      </c>
      <c r="B173" t="str">
        <f>IF(CALC_EEM!A166="","",CALC_EEM!A166)</f>
        <v>GLOBAL</v>
      </c>
      <c r="C173" t="str">
        <f>IF(CALC_EEM!B166="","",CALC_EEM!B166)</f>
        <v>Total</v>
      </c>
      <c r="D173">
        <f>IF(CALC_EEM!D166="","",CALC_EEM!D166)</f>
        <v>0</v>
      </c>
      <c r="E173" s="14" t="str">
        <f>IF(CALC_EEM!E166="","",CALC_EEM!E166)</f>
        <v>—</v>
      </c>
      <c r="F173" s="14" t="str">
        <f>IF(CALC_EEM!F166="","",CALC_EEM!F166)</f>
        <v>—</v>
      </c>
      <c r="G173" t="str">
        <f>IF(CALC_EEM!G166="","",CALC_EEM!G166)</f>
        <v>—</v>
      </c>
      <c r="H173" s="16" t="str">
        <f>IF(CALC_EEM!H166="","",CALC_EEM!H166)</f>
        <v>—</v>
      </c>
      <c r="I173" s="16" t="str">
        <f>IF(CALC_EEM!I166="","",CALC_EEM!I166)</f>
        <v>—</v>
      </c>
      <c r="J173" t="str">
        <f>IF(CALC_EEM!J166="","",CALC_EEM!J166)</f>
        <v>—</v>
      </c>
      <c r="K173" t="str">
        <f>IF(CALC_EEM!K166="","",CALC_EEM!K166)</f>
        <v>—</v>
      </c>
      <c r="L173">
        <f>IF(CALC_EEM!L166="","",CALC_EEM!L166)</f>
        <v>0</v>
      </c>
      <c r="M173">
        <f>IF(CALC_EEM!M166="","",CALC_EEM!M166)</f>
        <v>0</v>
      </c>
      <c r="N173">
        <f>IF(CALC_EEM!N166="","",CALC_EEM!N166)</f>
        <v>0</v>
      </c>
      <c r="O173">
        <f>IF(CALC_EEM!O166="","",CALC_EEM!O166)</f>
        <v>0</v>
      </c>
      <c r="P173">
        <f>IF(CALC_EEM!P166="","",CALC_EEM!P166)</f>
        <v>0</v>
      </c>
      <c r="Q173">
        <f>IF(CALC_EEM!Q166="","",CALC_EEM!Q166)</f>
        <v>0</v>
      </c>
      <c r="R173">
        <f>IF(CALC_EEM!R166="","",CALC_EEM!R166)</f>
        <v>0</v>
      </c>
      <c r="S173">
        <f>IF(CALC_EEM!S166="","",CALC_EEM!S166)</f>
        <v>0</v>
      </c>
      <c r="T173">
        <f>IF(CALC_EEM!T166="","",CALC_EEM!T166)</f>
        <v>0</v>
      </c>
      <c r="U173">
        <f>IF(CALC_EEM!U166="","",CALC_EEM!U166)</f>
        <v>0</v>
      </c>
    </row>
    <row r="174" spans="1:24">
      <c r="A174" t="str">
        <f>IF(CALC_EEM!A167="","",IF(CALC_EEM!A167="GLOBAL","GLOBAL",IF(CALC_EEM!C167="Total","CURSO_TOTAL",IF(CALC_EEM!C167="TotalEsp","CURSO_ESP",IF(CALC_EEM!C167="TotalNoEsp","CURSO_NOESP","CURSO_ASIG")))))</f>
        <v>GLOBAL</v>
      </c>
      <c r="B174" t="str">
        <f>IF(CALC_EEM!A167="","",CALC_EEM!A167)</f>
        <v>GLOBAL</v>
      </c>
      <c r="C174" t="str">
        <f>IF(CALC_EEM!B167="","",CALC_EEM!B167)</f>
        <v>Total</v>
      </c>
      <c r="D174">
        <f>IF(CALC_EEM!D167="","",CALC_EEM!D167)</f>
        <v>0</v>
      </c>
      <c r="E174" s="14" t="str">
        <f>IF(CALC_EEM!E167="","",CALC_EEM!E167)</f>
        <v>—</v>
      </c>
      <c r="F174" s="14" t="str">
        <f>IF(CALC_EEM!F167="","",CALC_EEM!F167)</f>
        <v>—</v>
      </c>
      <c r="G174" t="str">
        <f>IF(CALC_EEM!G167="","",CALC_EEM!G167)</f>
        <v>—</v>
      </c>
      <c r="H174" s="16" t="str">
        <f>IF(CALC_EEM!H167="","",CALC_EEM!H167)</f>
        <v>—</v>
      </c>
      <c r="I174" s="16" t="str">
        <f>IF(CALC_EEM!I167="","",CALC_EEM!I167)</f>
        <v>—</v>
      </c>
      <c r="J174" t="str">
        <f>IF(CALC_EEM!J167="","",CALC_EEM!J167)</f>
        <v>—</v>
      </c>
      <c r="K174" t="str">
        <f>IF(CALC_EEM!K167="","",CALC_EEM!K167)</f>
        <v>—</v>
      </c>
      <c r="L174">
        <f>IF(CALC_EEM!L167="","",CALC_EEM!L167)</f>
        <v>0</v>
      </c>
      <c r="M174">
        <f>IF(CALC_EEM!M167="","",CALC_EEM!M167)</f>
        <v>0</v>
      </c>
      <c r="N174">
        <f>IF(CALC_EEM!N167="","",CALC_EEM!N167)</f>
        <v>0</v>
      </c>
      <c r="O174">
        <f>IF(CALC_EEM!O167="","",CALC_EEM!O167)</f>
        <v>0</v>
      </c>
      <c r="P174">
        <f>IF(CALC_EEM!P167="","",CALC_EEM!P167)</f>
        <v>0</v>
      </c>
      <c r="Q174">
        <f>IF(CALC_EEM!Q167="","",CALC_EEM!Q167)</f>
        <v>0</v>
      </c>
      <c r="R174">
        <f>IF(CALC_EEM!R167="","",CALC_EEM!R167)</f>
        <v>0</v>
      </c>
      <c r="S174">
        <f>IF(CALC_EEM!S167="","",CALC_EEM!S167)</f>
        <v>0</v>
      </c>
      <c r="T174">
        <f>IF(CALC_EEM!T167="","",CALC_EEM!T167)</f>
        <v>0</v>
      </c>
      <c r="U174">
        <f>IF(CALC_EEM!U167="","",CALC_EEM!U167)</f>
        <v>0</v>
      </c>
    </row>
    <row r="175" spans="1:24">
      <c r="A175" t="str">
        <f>IF(CALC_EEM!A168="","",IF(CALC_EEM!A168="GLOBAL","GLOBAL",IF(CALC_EEM!C168="Total","CURSO_TOTAL",IF(CALC_EEM!C168="TotalEsp","CURSO_ESP",IF(CALC_EEM!C168="TotalNoEsp","CURSO_NOESP","CURSO_ASIG")))))</f>
        <v>GLOBAL</v>
      </c>
      <c r="B175" t="str">
        <f>IF(CALC_EEM!A168="","",CALC_EEM!A168)</f>
        <v>GLOBAL</v>
      </c>
      <c r="C175" t="str">
        <f>IF(CALC_EEM!B168="","",CALC_EEM!B168)</f>
        <v>Total</v>
      </c>
      <c r="D175">
        <f>IF(CALC_EEM!D168="","",CALC_EEM!D168)</f>
        <v>0</v>
      </c>
      <c r="E175" s="14" t="str">
        <f>IF(CALC_EEM!E168="","",CALC_EEM!E168)</f>
        <v>—</v>
      </c>
      <c r="F175" s="14" t="str">
        <f>IF(CALC_EEM!F168="","",CALC_EEM!F168)</f>
        <v>—</v>
      </c>
      <c r="G175" t="str">
        <f>IF(CALC_EEM!G168="","",CALC_EEM!G168)</f>
        <v>—</v>
      </c>
      <c r="H175" s="16" t="str">
        <f>IF(CALC_EEM!H168="","",CALC_EEM!H168)</f>
        <v>—</v>
      </c>
      <c r="I175" s="16" t="str">
        <f>IF(CALC_EEM!I168="","",CALC_EEM!I168)</f>
        <v>—</v>
      </c>
      <c r="J175" t="str">
        <f>IF(CALC_EEM!J168="","",CALC_EEM!J168)</f>
        <v>—</v>
      </c>
      <c r="K175" t="str">
        <f>IF(CALC_EEM!K168="","",CALC_EEM!K168)</f>
        <v>—</v>
      </c>
      <c r="L175">
        <f>IF(CALC_EEM!L168="","",CALC_EEM!L168)</f>
        <v>0</v>
      </c>
      <c r="M175">
        <f>IF(CALC_EEM!M168="","",CALC_EEM!M168)</f>
        <v>0</v>
      </c>
      <c r="N175">
        <f>IF(CALC_EEM!N168="","",CALC_EEM!N168)</f>
        <v>0</v>
      </c>
      <c r="O175">
        <f>IF(CALC_EEM!O168="","",CALC_EEM!O168)</f>
        <v>0</v>
      </c>
      <c r="P175">
        <f>IF(CALC_EEM!P168="","",CALC_EEM!P168)</f>
        <v>0</v>
      </c>
      <c r="Q175">
        <f>IF(CALC_EEM!Q168="","",CALC_EEM!Q168)</f>
        <v>0</v>
      </c>
      <c r="R175">
        <f>IF(CALC_EEM!R168="","",CALC_EEM!R168)</f>
        <v>0</v>
      </c>
      <c r="S175">
        <f>IF(CALC_EEM!S168="","",CALC_EEM!S168)</f>
        <v>0</v>
      </c>
      <c r="T175">
        <f>IF(CALC_EEM!T168="","",CALC_EEM!T168)</f>
        <v>0</v>
      </c>
      <c r="U175">
        <f>IF(CALC_EEM!U168="","",CALC_EEM!U168)</f>
        <v>0</v>
      </c>
    </row>
    <row r="176" spans="1:24">
      <c r="A176" t="str">
        <f>IF(CALC_EEM!A169="","",IF(CALC_EEM!A169="GLOBAL","GLOBAL",IF(CALC_EEM!C169="Total","CURSO_TOTAL",IF(CALC_EEM!C169="TotalEsp","CURSO_ESP",IF(CALC_EEM!C169="TotalNoEsp","CURSO_NOESP","CURSO_ASIG")))))</f>
        <v>GLOBAL</v>
      </c>
      <c r="B176" t="str">
        <f>IF(CALC_EEM!A169="","",CALC_EEM!A169)</f>
        <v>GLOBAL</v>
      </c>
      <c r="C176" t="str">
        <f>IF(CALC_EEM!B169="","",CALC_EEM!B169)</f>
        <v>Total</v>
      </c>
      <c r="D176">
        <f>IF(CALC_EEM!D169="","",CALC_EEM!D169)</f>
        <v>0</v>
      </c>
      <c r="E176" s="14" t="str">
        <f>IF(CALC_EEM!E169="","",CALC_EEM!E169)</f>
        <v>—</v>
      </c>
      <c r="F176" s="14" t="str">
        <f>IF(CALC_EEM!F169="","",CALC_EEM!F169)</f>
        <v>—</v>
      </c>
      <c r="G176" t="str">
        <f>IF(CALC_EEM!G169="","",CALC_EEM!G169)</f>
        <v>—</v>
      </c>
      <c r="H176" s="16" t="str">
        <f>IF(CALC_EEM!H169="","",CALC_EEM!H169)</f>
        <v>—</v>
      </c>
      <c r="I176" s="16" t="str">
        <f>IF(CALC_EEM!I169="","",CALC_EEM!I169)</f>
        <v>—</v>
      </c>
      <c r="J176" t="str">
        <f>IF(CALC_EEM!J169="","",CALC_EEM!J169)</f>
        <v>—</v>
      </c>
      <c r="K176" t="str">
        <f>IF(CALC_EEM!K169="","",CALC_EEM!K169)</f>
        <v>—</v>
      </c>
      <c r="L176">
        <f>IF(CALC_EEM!L169="","",CALC_EEM!L169)</f>
        <v>0</v>
      </c>
      <c r="M176">
        <f>IF(CALC_EEM!M169="","",CALC_EEM!M169)</f>
        <v>0</v>
      </c>
      <c r="N176">
        <f>IF(CALC_EEM!N169="","",CALC_EEM!N169)</f>
        <v>0</v>
      </c>
      <c r="O176">
        <f>IF(CALC_EEM!O169="","",CALC_EEM!O169)</f>
        <v>0</v>
      </c>
      <c r="P176">
        <f>IF(CALC_EEM!P169="","",CALC_EEM!P169)</f>
        <v>0</v>
      </c>
      <c r="Q176">
        <f>IF(CALC_EEM!Q169="","",CALC_EEM!Q169)</f>
        <v>0</v>
      </c>
      <c r="R176">
        <f>IF(CALC_EEM!R169="","",CALC_EEM!R169)</f>
        <v>0</v>
      </c>
      <c r="S176">
        <f>IF(CALC_EEM!S169="","",CALC_EEM!S169)</f>
        <v>0</v>
      </c>
      <c r="T176">
        <f>IF(CALC_EEM!T169="","",CALC_EEM!T169)</f>
        <v>0</v>
      </c>
      <c r="U176">
        <f>IF(CALC_EEM!U169="","",CALC_EEM!U169)</f>
        <v>0</v>
      </c>
    </row>
    <row r="177" spans="1:24">
      <c r="A177" t="str">
        <f>IF(CALC_EEM!A170="","",IF(CALC_EEM!A170="GLOBAL","GLOBAL",IF(CALC_EEM!C170="Total","CURSO_TOTAL",IF(CALC_EEM!C170="TotalEsp","CURSO_ESP",IF(CALC_EEM!C170="TotalNoEsp","CURSO_NOESP","CURSO_ASIG")))))</f>
        <v>GLOBAL</v>
      </c>
      <c r="B177" t="str">
        <f>IF(CALC_EEM!A170="","",CALC_EEM!A170)</f>
        <v>GLOBAL</v>
      </c>
      <c r="C177" t="str">
        <f>IF(CALC_EEM!B170="","",CALC_EEM!B170)</f>
        <v>Total</v>
      </c>
      <c r="D177">
        <f>IF(CALC_EEM!D170="","",CALC_EEM!D170)</f>
        <v>0</v>
      </c>
      <c r="E177" s="14" t="str">
        <f>IF(CALC_EEM!E170="","",CALC_EEM!E170)</f>
        <v>—</v>
      </c>
      <c r="F177" s="14" t="str">
        <f>IF(CALC_EEM!F170="","",CALC_EEM!F170)</f>
        <v>—</v>
      </c>
      <c r="G177" t="str">
        <f>IF(CALC_EEM!G170="","",CALC_EEM!G170)</f>
        <v>—</v>
      </c>
      <c r="H177" s="16" t="str">
        <f>IF(CALC_EEM!H170="","",CALC_EEM!H170)</f>
        <v>—</v>
      </c>
      <c r="I177" s="16" t="str">
        <f>IF(CALC_EEM!I170="","",CALC_EEM!I170)</f>
        <v>—</v>
      </c>
      <c r="J177" t="str">
        <f>IF(CALC_EEM!J170="","",CALC_EEM!J170)</f>
        <v>—</v>
      </c>
      <c r="K177" t="str">
        <f>IF(CALC_EEM!K170="","",CALC_EEM!K170)</f>
        <v>—</v>
      </c>
      <c r="L177">
        <f>IF(CALC_EEM!L170="","",CALC_EEM!L170)</f>
        <v>0</v>
      </c>
      <c r="M177">
        <f>IF(CALC_EEM!M170="","",CALC_EEM!M170)</f>
        <v>0</v>
      </c>
      <c r="N177">
        <f>IF(CALC_EEM!N170="","",CALC_EEM!N170)</f>
        <v>0</v>
      </c>
      <c r="O177">
        <f>IF(CALC_EEM!O170="","",CALC_EEM!O170)</f>
        <v>0</v>
      </c>
      <c r="P177">
        <f>IF(CALC_EEM!P170="","",CALC_EEM!P170)</f>
        <v>0</v>
      </c>
      <c r="Q177">
        <f>IF(CALC_EEM!Q170="","",CALC_EEM!Q170)</f>
        <v>0</v>
      </c>
      <c r="R177">
        <f>IF(CALC_EEM!R170="","",CALC_EEM!R170)</f>
        <v>0</v>
      </c>
      <c r="S177">
        <f>IF(CALC_EEM!S170="","",CALC_EEM!S170)</f>
        <v>0</v>
      </c>
      <c r="T177">
        <f>IF(CALC_EEM!T170="","",CALC_EEM!T170)</f>
        <v>0</v>
      </c>
      <c r="U177">
        <f>IF(CALC_EEM!U170="","",CALC_EEM!U170)</f>
        <v>0</v>
      </c>
    </row>
    <row r="178" spans="1:24">
      <c r="A178" t="str">
        <f>IF(CALC_EEM!A171="","",IF(CALC_EEM!A171="GLOBAL","GLOBAL",IF(CALC_EEM!C171="Total","CURSO_TOTAL",IF(CALC_EEM!C171="TotalEsp","CURSO_ESP",IF(CALC_EEM!C171="TotalNoEsp","CURSO_NOESP","CURSO_ASIG")))))</f>
        <v>GLOBAL</v>
      </c>
      <c r="B178" t="str">
        <f>IF(CALC_EEM!A171="","",CALC_EEM!A171)</f>
        <v>GLOBAL</v>
      </c>
      <c r="C178" t="str">
        <f>IF(CALC_EEM!B171="","",CALC_EEM!B171)</f>
        <v>Total</v>
      </c>
      <c r="D178">
        <f>IF(CALC_EEM!D171="","",CALC_EEM!D171)</f>
        <v>0</v>
      </c>
      <c r="E178" s="14" t="str">
        <f>IF(CALC_EEM!E171="","",CALC_EEM!E171)</f>
        <v>—</v>
      </c>
      <c r="F178" s="14" t="str">
        <f>IF(CALC_EEM!F171="","",CALC_EEM!F171)</f>
        <v>—</v>
      </c>
      <c r="G178" t="str">
        <f>IF(CALC_EEM!G171="","",CALC_EEM!G171)</f>
        <v>—</v>
      </c>
      <c r="H178" s="16" t="str">
        <f>IF(CALC_EEM!H171="","",CALC_EEM!H171)</f>
        <v>—</v>
      </c>
      <c r="I178" s="16" t="str">
        <f>IF(CALC_EEM!I171="","",CALC_EEM!I171)</f>
        <v>—</v>
      </c>
      <c r="J178" t="str">
        <f>IF(CALC_EEM!J171="","",CALC_EEM!J171)</f>
        <v>—</v>
      </c>
      <c r="K178" t="str">
        <f>IF(CALC_EEM!K171="","",CALC_EEM!K171)</f>
        <v>—</v>
      </c>
      <c r="L178">
        <f>IF(CALC_EEM!L171="","",CALC_EEM!L171)</f>
        <v>0</v>
      </c>
      <c r="M178">
        <f>IF(CALC_EEM!M171="","",CALC_EEM!M171)</f>
        <v>0</v>
      </c>
      <c r="N178">
        <f>IF(CALC_EEM!N171="","",CALC_EEM!N171)</f>
        <v>0</v>
      </c>
      <c r="O178">
        <f>IF(CALC_EEM!O171="","",CALC_EEM!O171)</f>
        <v>0</v>
      </c>
      <c r="P178">
        <f>IF(CALC_EEM!P171="","",CALC_EEM!P171)</f>
        <v>0</v>
      </c>
      <c r="Q178">
        <f>IF(CALC_EEM!Q171="","",CALC_EEM!Q171)</f>
        <v>0</v>
      </c>
      <c r="R178">
        <f>IF(CALC_EEM!R171="","",CALC_EEM!R171)</f>
        <v>0</v>
      </c>
      <c r="S178">
        <f>IF(CALC_EEM!S171="","",CALC_EEM!S171)</f>
        <v>0</v>
      </c>
      <c r="T178">
        <f>IF(CALC_EEM!T171="","",CALC_EEM!T171)</f>
        <v>0</v>
      </c>
      <c r="U178">
        <f>IF(CALC_EEM!U171="","",CALC_EEM!U171)</f>
        <v>0</v>
      </c>
    </row>
    <row r="179" spans="1:24">
      <c r="A179" t="str">
        <f>IF(CALC_EEM!A172="","",IF(CALC_EEM!A172="GLOBAL","GLOBAL",IF(CALC_EEM!C172="Total","CURSO_TOTAL",IF(CALC_EEM!C172="TotalEsp","CURSO_ESP",IF(CALC_EEM!C172="TotalNoEsp","CURSO_NOESP","CURSO_ASIG")))))</f>
        <v>GLOBAL</v>
      </c>
      <c r="B179" t="str">
        <f>IF(CALC_EEM!A172="","",CALC_EEM!A172)</f>
        <v>GLOBAL</v>
      </c>
      <c r="C179" t="str">
        <f>IF(CALC_EEM!B172="","",CALC_EEM!B172)</f>
        <v>Total</v>
      </c>
      <c r="D179">
        <f>IF(CALC_EEM!D172="","",CALC_EEM!D172)</f>
        <v>0</v>
      </c>
      <c r="E179" s="14" t="str">
        <f>IF(CALC_EEM!E172="","",CALC_EEM!E172)</f>
        <v>—</v>
      </c>
      <c r="F179" s="14" t="str">
        <f>IF(CALC_EEM!F172="","",CALC_EEM!F172)</f>
        <v>—</v>
      </c>
      <c r="G179" t="str">
        <f>IF(CALC_EEM!G172="","",CALC_EEM!G172)</f>
        <v>—</v>
      </c>
      <c r="H179" s="16" t="str">
        <f>IF(CALC_EEM!H172="","",CALC_EEM!H172)</f>
        <v>—</v>
      </c>
      <c r="I179" s="16" t="str">
        <f>IF(CALC_EEM!I172="","",CALC_EEM!I172)</f>
        <v>—</v>
      </c>
      <c r="J179" t="str">
        <f>IF(CALC_EEM!J172="","",CALC_EEM!J172)</f>
        <v>—</v>
      </c>
      <c r="K179" t="str">
        <f>IF(CALC_EEM!K172="","",CALC_EEM!K172)</f>
        <v>—</v>
      </c>
      <c r="L179">
        <f>IF(CALC_EEM!L172="","",CALC_EEM!L172)</f>
        <v>0</v>
      </c>
      <c r="M179">
        <f>IF(CALC_EEM!M172="","",CALC_EEM!M172)</f>
        <v>0</v>
      </c>
      <c r="N179">
        <f>IF(CALC_EEM!N172="","",CALC_EEM!N172)</f>
        <v>0</v>
      </c>
      <c r="O179">
        <f>IF(CALC_EEM!O172="","",CALC_EEM!O172)</f>
        <v>0</v>
      </c>
      <c r="P179">
        <f>IF(CALC_EEM!P172="","",CALC_EEM!P172)</f>
        <v>0</v>
      </c>
      <c r="Q179">
        <f>IF(CALC_EEM!Q172="","",CALC_EEM!Q172)</f>
        <v>0</v>
      </c>
      <c r="R179">
        <f>IF(CALC_EEM!R172="","",CALC_EEM!R172)</f>
        <v>0</v>
      </c>
      <c r="S179">
        <f>IF(CALC_EEM!S172="","",CALC_EEM!S172)</f>
        <v>0</v>
      </c>
      <c r="T179">
        <f>IF(CALC_EEM!T172="","",CALC_EEM!T172)</f>
        <v>0</v>
      </c>
      <c r="U179">
        <f>IF(CALC_EEM!U172="","",CALC_EEM!U172)</f>
        <v>0</v>
      </c>
    </row>
    <row r="180" spans="1:24">
      <c r="A180" t="str">
        <f>IF(CALC_EEM!A173="","",IF(CALC_EEM!A173="GLOBAL","GLOBAL",IF(CALC_EEM!C173="Total","CURSO_TOTAL",IF(CALC_EEM!C173="TotalEsp","CURSO_ESP",IF(CALC_EEM!C173="TotalNoEsp","CURSO_NOESP","CURSO_ASIG")))))</f>
        <v>GLOBAL</v>
      </c>
      <c r="B180" t="str">
        <f>IF(CALC_EEM!A173="","",CALC_EEM!A173)</f>
        <v>GLOBAL</v>
      </c>
      <c r="C180" t="str">
        <f>IF(CALC_EEM!B173="","",CALC_EEM!B173)</f>
        <v>Total</v>
      </c>
      <c r="D180">
        <f>IF(CALC_EEM!D173="","",CALC_EEM!D173)</f>
        <v>0</v>
      </c>
      <c r="E180" s="14" t="str">
        <f>IF(CALC_EEM!E173="","",CALC_EEM!E173)</f>
        <v>—</v>
      </c>
      <c r="F180" s="14" t="str">
        <f>IF(CALC_EEM!F173="","",CALC_EEM!F173)</f>
        <v>—</v>
      </c>
      <c r="G180" t="str">
        <f>IF(CALC_EEM!G173="","",CALC_EEM!G173)</f>
        <v>—</v>
      </c>
      <c r="H180" s="16" t="str">
        <f>IF(CALC_EEM!H173="","",CALC_EEM!H173)</f>
        <v>—</v>
      </c>
      <c r="I180" s="16" t="str">
        <f>IF(CALC_EEM!I173="","",CALC_EEM!I173)</f>
        <v>—</v>
      </c>
      <c r="J180" t="str">
        <f>IF(CALC_EEM!J173="","",CALC_EEM!J173)</f>
        <v>—</v>
      </c>
      <c r="K180" t="str">
        <f>IF(CALC_EEM!K173="","",CALC_EEM!K173)</f>
        <v>—</v>
      </c>
      <c r="L180">
        <f>IF(CALC_EEM!L173="","",CALC_EEM!L173)</f>
        <v>0</v>
      </c>
      <c r="M180">
        <f>IF(CALC_EEM!M173="","",CALC_EEM!M173)</f>
        <v>0</v>
      </c>
      <c r="N180">
        <f>IF(CALC_EEM!N173="","",CALC_EEM!N173)</f>
        <v>0</v>
      </c>
      <c r="O180">
        <f>IF(CALC_EEM!O173="","",CALC_EEM!O173)</f>
        <v>0</v>
      </c>
      <c r="P180">
        <f>IF(CALC_EEM!P173="","",CALC_EEM!P173)</f>
        <v>0</v>
      </c>
      <c r="Q180">
        <f>IF(CALC_EEM!Q173="","",CALC_EEM!Q173)</f>
        <v>0</v>
      </c>
      <c r="R180">
        <f>IF(CALC_EEM!R173="","",CALC_EEM!R173)</f>
        <v>0</v>
      </c>
      <c r="S180">
        <f>IF(CALC_EEM!S173="","",CALC_EEM!S173)</f>
        <v>0</v>
      </c>
      <c r="T180">
        <f>IF(CALC_EEM!T173="","",CALC_EEM!T173)</f>
        <v>0</v>
      </c>
      <c r="U180">
        <f>IF(CALC_EEM!U173="","",CALC_EEM!U173)</f>
        <v>0</v>
      </c>
    </row>
    <row r="181" spans="1:24">
      <c r="A181" t="str">
        <f>IF(CALC_EEM!A174="","",IF(CALC_EEM!A174="GLOBAL","GLOBAL",IF(CALC_EEM!C174="Total","CURSO_TOTAL",IF(CALC_EEM!C174="TotalEsp","CURSO_ESP",IF(CALC_EEM!C174="TotalNoEsp","CURSO_NOESP","CURSO_ASIG")))))</f>
        <v>GLOBAL</v>
      </c>
      <c r="B181" t="str">
        <f>IF(CALC_EEM!A174="","",CALC_EEM!A174)</f>
        <v>GLOBAL</v>
      </c>
      <c r="C181" t="str">
        <f>IF(CALC_EEM!B174="","",CALC_EEM!B174)</f>
        <v>Total</v>
      </c>
      <c r="D181">
        <f>IF(CALC_EEM!D174="","",CALC_EEM!D174)</f>
        <v>0</v>
      </c>
      <c r="E181" s="14" t="str">
        <f>IF(CALC_EEM!E174="","",CALC_EEM!E174)</f>
        <v>—</v>
      </c>
      <c r="F181" s="14" t="str">
        <f>IF(CALC_EEM!F174="","",CALC_EEM!F174)</f>
        <v>—</v>
      </c>
      <c r="G181" t="str">
        <f>IF(CALC_EEM!G174="","",CALC_EEM!G174)</f>
        <v>—</v>
      </c>
      <c r="H181" s="16" t="str">
        <f>IF(CALC_EEM!H174="","",CALC_EEM!H174)</f>
        <v>—</v>
      </c>
      <c r="I181" s="16" t="str">
        <f>IF(CALC_EEM!I174="","",CALC_EEM!I174)</f>
        <v>—</v>
      </c>
      <c r="J181" t="str">
        <f>IF(CALC_EEM!J174="","",CALC_EEM!J174)</f>
        <v>—</v>
      </c>
      <c r="K181" t="str">
        <f>IF(CALC_EEM!K174="","",CALC_EEM!K174)</f>
        <v>—</v>
      </c>
      <c r="L181">
        <f>IF(CALC_EEM!L174="","",CALC_EEM!L174)</f>
        <v>0</v>
      </c>
      <c r="M181">
        <f>IF(CALC_EEM!M174="","",CALC_EEM!M174)</f>
        <v>0</v>
      </c>
      <c r="N181">
        <f>IF(CALC_EEM!N174="","",CALC_EEM!N174)</f>
        <v>0</v>
      </c>
      <c r="O181">
        <f>IF(CALC_EEM!O174="","",CALC_EEM!O174)</f>
        <v>0</v>
      </c>
      <c r="P181">
        <f>IF(CALC_EEM!P174="","",CALC_EEM!P174)</f>
        <v>0</v>
      </c>
      <c r="Q181">
        <f>IF(CALC_EEM!Q174="","",CALC_EEM!Q174)</f>
        <v>0</v>
      </c>
      <c r="R181">
        <f>IF(CALC_EEM!R174="","",CALC_EEM!R174)</f>
        <v>0</v>
      </c>
      <c r="S181">
        <f>IF(CALC_EEM!S174="","",CALC_EEM!S174)</f>
        <v>0</v>
      </c>
      <c r="T181">
        <f>IF(CALC_EEM!T174="","",CALC_EEM!T174)</f>
        <v>0</v>
      </c>
      <c r="U181">
        <f>IF(CALC_EEM!U174="","",CALC_EEM!U174)</f>
        <v>0</v>
      </c>
    </row>
    <row r="182" spans="1:24">
      <c r="A182" t="str">
        <f>IF(CALC_EEM!A175="","",IF(CALC_EEM!A175="GLOBAL","GLOBAL",IF(CALC_EEM!C175="Total","CURSO_TOTAL",IF(CALC_EEM!C175="TotalEsp","CURSO_ESP",IF(CALC_EEM!C175="TotalNoEsp","CURSO_NOESP","CURSO_ASIG")))))</f>
        <v>GLOBAL</v>
      </c>
      <c r="B182" t="str">
        <f>IF(CALC_EEM!A175="","",CALC_EEM!A175)</f>
        <v>GLOBAL</v>
      </c>
      <c r="C182" t="str">
        <f>IF(CALC_EEM!B175="","",CALC_EEM!B175)</f>
        <v>Total</v>
      </c>
      <c r="D182">
        <f>IF(CALC_EEM!D175="","",CALC_EEM!D175)</f>
        <v>0</v>
      </c>
      <c r="E182" s="14" t="str">
        <f>IF(CALC_EEM!E175="","",CALC_EEM!E175)</f>
        <v>—</v>
      </c>
      <c r="F182" s="14" t="str">
        <f>IF(CALC_EEM!F175="","",CALC_EEM!F175)</f>
        <v>—</v>
      </c>
      <c r="G182" t="str">
        <f>IF(CALC_EEM!G175="","",CALC_EEM!G175)</f>
        <v>—</v>
      </c>
      <c r="H182" s="16" t="str">
        <f>IF(CALC_EEM!H175="","",CALC_EEM!H175)</f>
        <v>—</v>
      </c>
      <c r="I182" s="16" t="str">
        <f>IF(CALC_EEM!I175="","",CALC_EEM!I175)</f>
        <v>—</v>
      </c>
      <c r="J182" t="str">
        <f>IF(CALC_EEM!J175="","",CALC_EEM!J175)</f>
        <v>—</v>
      </c>
      <c r="K182" t="str">
        <f>IF(CALC_EEM!K175="","",CALC_EEM!K175)</f>
        <v>—</v>
      </c>
      <c r="L182">
        <f>IF(CALC_EEM!L175="","",CALC_EEM!L175)</f>
        <v>0</v>
      </c>
      <c r="M182">
        <f>IF(CALC_EEM!M175="","",CALC_EEM!M175)</f>
        <v>0</v>
      </c>
      <c r="N182">
        <f>IF(CALC_EEM!N175="","",CALC_EEM!N175)</f>
        <v>0</v>
      </c>
      <c r="O182">
        <f>IF(CALC_EEM!O175="","",CALC_EEM!O175)</f>
        <v>0</v>
      </c>
      <c r="P182">
        <f>IF(CALC_EEM!P175="","",CALC_EEM!P175)</f>
        <v>0</v>
      </c>
      <c r="Q182">
        <f>IF(CALC_EEM!Q175="","",CALC_EEM!Q175)</f>
        <v>0</v>
      </c>
      <c r="R182">
        <f>IF(CALC_EEM!R175="","",CALC_EEM!R175)</f>
        <v>0</v>
      </c>
      <c r="S182">
        <f>IF(CALC_EEM!S175="","",CALC_EEM!S175)</f>
        <v>0</v>
      </c>
      <c r="T182">
        <f>IF(CALC_EEM!T175="","",CALC_EEM!T175)</f>
        <v>0</v>
      </c>
      <c r="U182">
        <f>IF(CALC_EEM!U175="","",CALC_EEM!U175)</f>
        <v>0</v>
      </c>
    </row>
    <row r="183" spans="1:24">
      <c r="A183" t="str">
        <f>IF(CALC_EEM!A176="","",IF(CALC_EEM!A176="GLOBAL","GLOBAL",IF(CALC_EEM!C176="Total","CURSO_TOTAL",IF(CALC_EEM!C176="TotalEsp","CURSO_ESP",IF(CALC_EEM!C176="TotalNoEsp","CURSO_NOESP","CURSO_ASIG")))))</f>
        <v>GLOBAL</v>
      </c>
      <c r="B183" t="str">
        <f>IF(CALC_EEM!A176="","",CALC_EEM!A176)</f>
        <v>GLOBAL</v>
      </c>
      <c r="C183" t="str">
        <f>IF(CALC_EEM!B176="","",CALC_EEM!B176)</f>
        <v>Total</v>
      </c>
      <c r="D183">
        <f>IF(CALC_EEM!D176="","",CALC_EEM!D176)</f>
        <v>0</v>
      </c>
      <c r="E183" s="14" t="str">
        <f>IF(CALC_EEM!E176="","",CALC_EEM!E176)</f>
        <v>—</v>
      </c>
      <c r="F183" s="14" t="str">
        <f>IF(CALC_EEM!F176="","",CALC_EEM!F176)</f>
        <v>—</v>
      </c>
      <c r="G183" t="str">
        <f>IF(CALC_EEM!G176="","",CALC_EEM!G176)</f>
        <v>—</v>
      </c>
      <c r="H183" s="16" t="str">
        <f>IF(CALC_EEM!H176="","",CALC_EEM!H176)</f>
        <v>—</v>
      </c>
      <c r="I183" s="16" t="str">
        <f>IF(CALC_EEM!I176="","",CALC_EEM!I176)</f>
        <v>—</v>
      </c>
      <c r="J183" t="str">
        <f>IF(CALC_EEM!J176="","",CALC_EEM!J176)</f>
        <v>—</v>
      </c>
      <c r="K183" t="str">
        <f>IF(CALC_EEM!K176="","",CALC_EEM!K176)</f>
        <v>—</v>
      </c>
      <c r="L183">
        <f>IF(CALC_EEM!L176="","",CALC_EEM!L176)</f>
        <v>0</v>
      </c>
      <c r="M183">
        <f>IF(CALC_EEM!M176="","",CALC_EEM!M176)</f>
        <v>0</v>
      </c>
      <c r="N183">
        <f>IF(CALC_EEM!N176="","",CALC_EEM!N176)</f>
        <v>0</v>
      </c>
      <c r="O183">
        <f>IF(CALC_EEM!O176="","",CALC_EEM!O176)</f>
        <v>0</v>
      </c>
      <c r="P183">
        <f>IF(CALC_EEM!P176="","",CALC_EEM!P176)</f>
        <v>0</v>
      </c>
      <c r="Q183">
        <f>IF(CALC_EEM!Q176="","",CALC_EEM!Q176)</f>
        <v>0</v>
      </c>
      <c r="R183">
        <f>IF(CALC_EEM!R176="","",CALC_EEM!R176)</f>
        <v>0</v>
      </c>
      <c r="S183">
        <f>IF(CALC_EEM!S176="","",CALC_EEM!S176)</f>
        <v>0</v>
      </c>
      <c r="T183">
        <f>IF(CALC_EEM!T176="","",CALC_EEM!T176)</f>
        <v>0</v>
      </c>
      <c r="U183">
        <f>IF(CALC_EEM!U176="","",CALC_EEM!U176)</f>
        <v>0</v>
      </c>
    </row>
    <row r="184" spans="1:24">
      <c r="A184" t="str">
        <f>IF(CALC_EEM!A177="","",IF(CALC_EEM!A177="GLOBAL","GLOBAL",IF(CALC_EEM!C177="Total","CURSO_TOTAL",IF(CALC_EEM!C177="TotalEsp","CURSO_ESP",IF(CALC_EEM!C177="TotalNoEsp","CURSO_NOESP","CURSO_ASIG")))))</f>
        <v>GLOBAL</v>
      </c>
      <c r="B184" t="str">
        <f>IF(CALC_EEM!A177="","",CALC_EEM!A177)</f>
        <v>GLOBAL</v>
      </c>
      <c r="C184" t="str">
        <f>IF(CALC_EEM!B177="","",CALC_EEM!B177)</f>
        <v>Total</v>
      </c>
      <c r="D184">
        <f>IF(CALC_EEM!D177="","",CALC_EEM!D177)</f>
        <v>0</v>
      </c>
      <c r="E184" s="14" t="str">
        <f>IF(CALC_EEM!E177="","",CALC_EEM!E177)</f>
        <v>—</v>
      </c>
      <c r="F184" s="14" t="str">
        <f>IF(CALC_EEM!F177="","",CALC_EEM!F177)</f>
        <v>—</v>
      </c>
      <c r="G184" t="str">
        <f>IF(CALC_EEM!G177="","",CALC_EEM!G177)</f>
        <v>—</v>
      </c>
      <c r="H184" s="16" t="str">
        <f>IF(CALC_EEM!H177="","",CALC_EEM!H177)</f>
        <v>—</v>
      </c>
      <c r="I184" s="16" t="str">
        <f>IF(CALC_EEM!I177="","",CALC_EEM!I177)</f>
        <v>—</v>
      </c>
      <c r="J184" t="str">
        <f>IF(CALC_EEM!J177="","",CALC_EEM!J177)</f>
        <v>—</v>
      </c>
      <c r="K184" t="str">
        <f>IF(CALC_EEM!K177="","",CALC_EEM!K177)</f>
        <v>—</v>
      </c>
      <c r="L184">
        <f>IF(CALC_EEM!L177="","",CALC_EEM!L177)</f>
        <v>0</v>
      </c>
      <c r="M184">
        <f>IF(CALC_EEM!M177="","",CALC_EEM!M177)</f>
        <v>0</v>
      </c>
      <c r="N184">
        <f>IF(CALC_EEM!N177="","",CALC_EEM!N177)</f>
        <v>0</v>
      </c>
      <c r="O184">
        <f>IF(CALC_EEM!O177="","",CALC_EEM!O177)</f>
        <v>0</v>
      </c>
      <c r="P184">
        <f>IF(CALC_EEM!P177="","",CALC_EEM!P177)</f>
        <v>0</v>
      </c>
      <c r="Q184">
        <f>IF(CALC_EEM!Q177="","",CALC_EEM!Q177)</f>
        <v>0</v>
      </c>
      <c r="R184">
        <f>IF(CALC_EEM!R177="","",CALC_EEM!R177)</f>
        <v>0</v>
      </c>
      <c r="S184">
        <f>IF(CALC_EEM!S177="","",CALC_EEM!S177)</f>
        <v>0</v>
      </c>
      <c r="T184">
        <f>IF(CALC_EEM!T177="","",CALC_EEM!T177)</f>
        <v>0</v>
      </c>
      <c r="U184">
        <f>IF(CALC_EEM!U177="","",CALC_EEM!U177)</f>
        <v>0</v>
      </c>
    </row>
    <row r="185" spans="1:24">
      <c r="A185" t="str">
        <f>IF(CALC_EEM!A178="","",IF(CALC_EEM!A178="GLOBAL","GLOBAL",IF(CALC_EEM!C178="Total","CURSO_TOTAL",IF(CALC_EEM!C178="TotalEsp","CURSO_ESP",IF(CALC_EEM!C178="TotalNoEsp","CURSO_NOESP","CURSO_ASIG")))))</f>
        <v>GLOBAL</v>
      </c>
      <c r="B185" t="str">
        <f>IF(CALC_EEM!A178="","",CALC_EEM!A178)</f>
        <v>GLOBAL</v>
      </c>
      <c r="C185" t="str">
        <f>IF(CALC_EEM!B178="","",CALC_EEM!B178)</f>
        <v>Total</v>
      </c>
      <c r="D185">
        <f>IF(CALC_EEM!D178="","",CALC_EEM!D178)</f>
        <v>0</v>
      </c>
      <c r="E185" s="14" t="str">
        <f>IF(CALC_EEM!E178="","",CALC_EEM!E178)</f>
        <v>—</v>
      </c>
      <c r="F185" s="14" t="str">
        <f>IF(CALC_EEM!F178="","",CALC_EEM!F178)</f>
        <v>—</v>
      </c>
      <c r="G185" t="str">
        <f>IF(CALC_EEM!G178="","",CALC_EEM!G178)</f>
        <v>—</v>
      </c>
      <c r="H185" s="16" t="str">
        <f>IF(CALC_EEM!H178="","",CALC_EEM!H178)</f>
        <v>—</v>
      </c>
      <c r="I185" s="16" t="str">
        <f>IF(CALC_EEM!I178="","",CALC_EEM!I178)</f>
        <v>—</v>
      </c>
      <c r="J185" t="str">
        <f>IF(CALC_EEM!J178="","",CALC_EEM!J178)</f>
        <v>—</v>
      </c>
      <c r="K185" t="str">
        <f>IF(CALC_EEM!K178="","",CALC_EEM!K178)</f>
        <v>—</v>
      </c>
      <c r="L185">
        <f>IF(CALC_EEM!L178="","",CALC_EEM!L178)</f>
        <v>0</v>
      </c>
      <c r="M185">
        <f>IF(CALC_EEM!M178="","",CALC_EEM!M178)</f>
        <v>0</v>
      </c>
      <c r="N185">
        <f>IF(CALC_EEM!N178="","",CALC_EEM!N178)</f>
        <v>0</v>
      </c>
      <c r="O185">
        <f>IF(CALC_EEM!O178="","",CALC_EEM!O178)</f>
        <v>0</v>
      </c>
      <c r="P185">
        <f>IF(CALC_EEM!P178="","",CALC_EEM!P178)</f>
        <v>0</v>
      </c>
      <c r="Q185">
        <f>IF(CALC_EEM!Q178="","",CALC_EEM!Q178)</f>
        <v>0</v>
      </c>
      <c r="R185">
        <f>IF(CALC_EEM!R178="","",CALC_EEM!R178)</f>
        <v>0</v>
      </c>
      <c r="S185">
        <f>IF(CALC_EEM!S178="","",CALC_EEM!S178)</f>
        <v>0</v>
      </c>
      <c r="T185">
        <f>IF(CALC_EEM!T178="","",CALC_EEM!T178)</f>
        <v>0</v>
      </c>
      <c r="U185">
        <f>IF(CALC_EEM!U178="","",CALC_EEM!U178)</f>
        <v>0</v>
      </c>
    </row>
    <row r="186" spans="1:24">
      <c r="A186" t="str">
        <f>IF(CALC_EEM!A179="","",IF(CALC_EEM!A179="GLOBAL","GLOBAL",IF(CALC_EEM!C179="Total","CURSO_TOTAL",IF(CALC_EEM!C179="TotalEsp","CURSO_ESP",IF(CALC_EEM!C179="TotalNoEsp","CURSO_NOESP","CURSO_ASIG")))))</f>
        <v>GLOBAL</v>
      </c>
      <c r="B186" t="str">
        <f>IF(CALC_EEM!A179="","",CALC_EEM!A179)</f>
        <v>GLOBAL</v>
      </c>
      <c r="C186" t="str">
        <f>IF(CALC_EEM!B179="","",CALC_EEM!B179)</f>
        <v>Total</v>
      </c>
      <c r="D186">
        <f>IF(CALC_EEM!D179="","",CALC_EEM!D179)</f>
        <v>0</v>
      </c>
      <c r="E186" s="14" t="str">
        <f>IF(CALC_EEM!E179="","",CALC_EEM!E179)</f>
        <v>—</v>
      </c>
      <c r="F186" s="14" t="str">
        <f>IF(CALC_EEM!F179="","",CALC_EEM!F179)</f>
        <v>—</v>
      </c>
      <c r="G186" t="str">
        <f>IF(CALC_EEM!G179="","",CALC_EEM!G179)</f>
        <v>—</v>
      </c>
      <c r="H186" s="16" t="str">
        <f>IF(CALC_EEM!H179="","",CALC_EEM!H179)</f>
        <v>—</v>
      </c>
      <c r="I186" s="16" t="str">
        <f>IF(CALC_EEM!I179="","",CALC_EEM!I179)</f>
        <v>—</v>
      </c>
      <c r="J186" t="str">
        <f>IF(CALC_EEM!J179="","",CALC_EEM!J179)</f>
        <v>—</v>
      </c>
      <c r="K186" t="str">
        <f>IF(CALC_EEM!K179="","",CALC_EEM!K179)</f>
        <v>—</v>
      </c>
      <c r="L186">
        <f>IF(CALC_EEM!L179="","",CALC_EEM!L179)</f>
        <v>0</v>
      </c>
      <c r="M186">
        <f>IF(CALC_EEM!M179="","",CALC_EEM!M179)</f>
        <v>0</v>
      </c>
      <c r="N186">
        <f>IF(CALC_EEM!N179="","",CALC_EEM!N179)</f>
        <v>0</v>
      </c>
      <c r="O186">
        <f>IF(CALC_EEM!O179="","",CALC_EEM!O179)</f>
        <v>0</v>
      </c>
      <c r="P186">
        <f>IF(CALC_EEM!P179="","",CALC_EEM!P179)</f>
        <v>0</v>
      </c>
      <c r="Q186">
        <f>IF(CALC_EEM!Q179="","",CALC_EEM!Q179)</f>
        <v>0</v>
      </c>
      <c r="R186">
        <f>IF(CALC_EEM!R179="","",CALC_EEM!R179)</f>
        <v>0</v>
      </c>
      <c r="S186">
        <f>IF(CALC_EEM!S179="","",CALC_EEM!S179)</f>
        <v>0</v>
      </c>
      <c r="T186">
        <f>IF(CALC_EEM!T179="","",CALC_EEM!T179)</f>
        <v>0</v>
      </c>
      <c r="U186">
        <f>IF(CALC_EEM!U179="","",CALC_EEM!U179)</f>
        <v>0</v>
      </c>
    </row>
    <row r="187" spans="1:24">
      <c r="A187" t="str">
        <f>IF(CALC_EEM!A180="","",IF(CALC_EEM!A180="GLOBAL","GLOBAL",IF(CALC_EEM!C180="Total","CURSO_TOTAL",IF(CALC_EEM!C180="TotalEsp","CURSO_ESP",IF(CALC_EEM!C180="TotalNoEsp","CURSO_NOESP","CURSO_ASIG")))))</f>
        <v>GLOBAL</v>
      </c>
      <c r="B187" t="str">
        <f>IF(CALC_EEM!A180="","",CALC_EEM!A180)</f>
        <v>GLOBAL</v>
      </c>
      <c r="C187" t="str">
        <f>IF(CALC_EEM!B180="","",CALC_EEM!B180)</f>
        <v>Total</v>
      </c>
      <c r="D187">
        <f>IF(CALC_EEM!D180="","",CALC_EEM!D180)</f>
        <v>0</v>
      </c>
      <c r="E187" s="14" t="str">
        <f>IF(CALC_EEM!E180="","",CALC_EEM!E180)</f>
        <v>—</v>
      </c>
      <c r="F187" s="14" t="str">
        <f>IF(CALC_EEM!F180="","",CALC_EEM!F180)</f>
        <v>—</v>
      </c>
      <c r="G187" t="str">
        <f>IF(CALC_EEM!G180="","",CALC_EEM!G180)</f>
        <v>—</v>
      </c>
      <c r="H187" s="16" t="str">
        <f>IF(CALC_EEM!H180="","",CALC_EEM!H180)</f>
        <v>—</v>
      </c>
      <c r="I187" s="16" t="str">
        <f>IF(CALC_EEM!I180="","",CALC_EEM!I180)</f>
        <v>—</v>
      </c>
      <c r="J187" t="str">
        <f>IF(CALC_EEM!J180="","",CALC_EEM!J180)</f>
        <v>—</v>
      </c>
      <c r="K187" t="str">
        <f>IF(CALC_EEM!K180="","",CALC_EEM!K180)</f>
        <v>—</v>
      </c>
      <c r="L187">
        <f>IF(CALC_EEM!L180="","",CALC_EEM!L180)</f>
        <v>0</v>
      </c>
      <c r="M187">
        <f>IF(CALC_EEM!M180="","",CALC_EEM!M180)</f>
        <v>0</v>
      </c>
      <c r="N187">
        <f>IF(CALC_EEM!N180="","",CALC_EEM!N180)</f>
        <v>0</v>
      </c>
      <c r="O187">
        <f>IF(CALC_EEM!O180="","",CALC_EEM!O180)</f>
        <v>0</v>
      </c>
      <c r="P187">
        <f>IF(CALC_EEM!P180="","",CALC_EEM!P180)</f>
        <v>0</v>
      </c>
      <c r="Q187">
        <f>IF(CALC_EEM!Q180="","",CALC_EEM!Q180)</f>
        <v>0</v>
      </c>
      <c r="R187">
        <f>IF(CALC_EEM!R180="","",CALC_EEM!R180)</f>
        <v>0</v>
      </c>
      <c r="S187">
        <f>IF(CALC_EEM!S180="","",CALC_EEM!S180)</f>
        <v>0</v>
      </c>
      <c r="T187">
        <f>IF(CALC_EEM!T180="","",CALC_EEM!T180)</f>
        <v>0</v>
      </c>
      <c r="U187">
        <f>IF(CALC_EEM!U180="","",CALC_EEM!U180)</f>
        <v>0</v>
      </c>
    </row>
    <row r="188" spans="1:24">
      <c r="A188" t="str">
        <f>IF(CALC_EEM!A181="","",IF(CALC_EEM!A181="GLOBAL","GLOBAL",IF(CALC_EEM!C181="Total","CURSO_TOTAL",IF(CALC_EEM!C181="TotalEsp","CURSO_ESP",IF(CALC_EEM!C181="TotalNoEsp","CURSO_NOESP","CURSO_ASIG")))))</f>
        <v>GLOBAL</v>
      </c>
      <c r="B188" t="str">
        <f>IF(CALC_EEM!A181="","",CALC_EEM!A181)</f>
        <v>GLOBAL</v>
      </c>
      <c r="C188" t="str">
        <f>IF(CALC_EEM!B181="","",CALC_EEM!B181)</f>
        <v>Total</v>
      </c>
      <c r="D188">
        <f>IF(CALC_EEM!D181="","",CALC_EEM!D181)</f>
        <v>0</v>
      </c>
      <c r="E188" s="14" t="str">
        <f>IF(CALC_EEM!E181="","",CALC_EEM!E181)</f>
        <v>—</v>
      </c>
      <c r="F188" s="14" t="str">
        <f>IF(CALC_EEM!F181="","",CALC_EEM!F181)</f>
        <v>—</v>
      </c>
      <c r="G188" t="str">
        <f>IF(CALC_EEM!G181="","",CALC_EEM!G181)</f>
        <v>—</v>
      </c>
      <c r="H188" s="16" t="str">
        <f>IF(CALC_EEM!H181="","",CALC_EEM!H181)</f>
        <v>—</v>
      </c>
      <c r="I188" s="16" t="str">
        <f>IF(CALC_EEM!I181="","",CALC_EEM!I181)</f>
        <v>—</v>
      </c>
      <c r="J188" t="str">
        <f>IF(CALC_EEM!J181="","",CALC_EEM!J181)</f>
        <v>—</v>
      </c>
      <c r="K188" t="str">
        <f>IF(CALC_EEM!K181="","",CALC_EEM!K181)</f>
        <v>—</v>
      </c>
      <c r="L188">
        <f>IF(CALC_EEM!L181="","",CALC_EEM!L181)</f>
        <v>0</v>
      </c>
      <c r="M188">
        <f>IF(CALC_EEM!M181="","",CALC_EEM!M181)</f>
        <v>0</v>
      </c>
      <c r="N188">
        <f>IF(CALC_EEM!N181="","",CALC_EEM!N181)</f>
        <v>0</v>
      </c>
      <c r="O188">
        <f>IF(CALC_EEM!O181="","",CALC_EEM!O181)</f>
        <v>0</v>
      </c>
      <c r="P188">
        <f>IF(CALC_EEM!P181="","",CALC_EEM!P181)</f>
        <v>0</v>
      </c>
      <c r="Q188">
        <f>IF(CALC_EEM!Q181="","",CALC_EEM!Q181)</f>
        <v>0</v>
      </c>
      <c r="R188">
        <f>IF(CALC_EEM!R181="","",CALC_EEM!R181)</f>
        <v>0</v>
      </c>
      <c r="S188">
        <f>IF(CALC_EEM!S181="","",CALC_EEM!S181)</f>
        <v>0</v>
      </c>
      <c r="T188">
        <f>IF(CALC_EEM!T181="","",CALC_EEM!T181)</f>
        <v>0</v>
      </c>
      <c r="U188">
        <f>IF(CALC_EEM!U181="","",CALC_EEM!U181)</f>
        <v>0</v>
      </c>
    </row>
    <row r="189" spans="1:24">
      <c r="A189" t="str">
        <f>IF(CALC_EEM!A182="","",IF(CALC_EEM!A182="GLOBAL","GLOBAL",IF(CALC_EEM!C182="Total","CURSO_TOTAL",IF(CALC_EEM!C182="TotalEsp","CURSO_ESP",IF(CALC_EEM!C182="TotalNoEsp","CURSO_NOESP","CURSO_ASIG")))))</f>
        <v>GLOBAL</v>
      </c>
      <c r="B189" t="str">
        <f>IF(CALC_EEM!A182="","",CALC_EEM!A182)</f>
        <v>GLOBAL</v>
      </c>
      <c r="C189" t="str">
        <f>IF(CALC_EEM!B182="","",CALC_EEM!B182)</f>
        <v>Total</v>
      </c>
      <c r="D189">
        <f>IF(CALC_EEM!D182="","",CALC_EEM!D182)</f>
        <v>0</v>
      </c>
      <c r="E189" s="14" t="str">
        <f>IF(CALC_EEM!E182="","",CALC_EEM!E182)</f>
        <v>—</v>
      </c>
      <c r="F189" s="14" t="str">
        <f>IF(CALC_EEM!F182="","",CALC_EEM!F182)</f>
        <v>—</v>
      </c>
      <c r="G189" t="str">
        <f>IF(CALC_EEM!G182="","",CALC_EEM!G182)</f>
        <v>—</v>
      </c>
      <c r="H189" s="16" t="str">
        <f>IF(CALC_EEM!H182="","",CALC_EEM!H182)</f>
        <v>—</v>
      </c>
      <c r="I189" s="16" t="str">
        <f>IF(CALC_EEM!I182="","",CALC_EEM!I182)</f>
        <v>—</v>
      </c>
      <c r="J189" t="str">
        <f>IF(CALC_EEM!J182="","",CALC_EEM!J182)</f>
        <v>—</v>
      </c>
      <c r="K189" t="str">
        <f>IF(CALC_EEM!K182="","",CALC_EEM!K182)</f>
        <v>—</v>
      </c>
      <c r="L189">
        <f>IF(CALC_EEM!L182="","",CALC_EEM!L182)</f>
        <v>0</v>
      </c>
      <c r="M189">
        <f>IF(CALC_EEM!M182="","",CALC_EEM!M182)</f>
        <v>0</v>
      </c>
      <c r="N189">
        <f>IF(CALC_EEM!N182="","",CALC_EEM!N182)</f>
        <v>0</v>
      </c>
      <c r="O189">
        <f>IF(CALC_EEM!O182="","",CALC_EEM!O182)</f>
        <v>0</v>
      </c>
      <c r="P189">
        <f>IF(CALC_EEM!P182="","",CALC_EEM!P182)</f>
        <v>0</v>
      </c>
      <c r="Q189">
        <f>IF(CALC_EEM!Q182="","",CALC_EEM!Q182)</f>
        <v>0</v>
      </c>
      <c r="R189">
        <f>IF(CALC_EEM!R182="","",CALC_EEM!R182)</f>
        <v>0</v>
      </c>
      <c r="S189">
        <f>IF(CALC_EEM!S182="","",CALC_EEM!S182)</f>
        <v>0</v>
      </c>
      <c r="T189">
        <f>IF(CALC_EEM!T182="","",CALC_EEM!T182)</f>
        <v>0</v>
      </c>
      <c r="U189">
        <f>IF(CALC_EEM!U182="","",CALC_EEM!U182)</f>
        <v>0</v>
      </c>
    </row>
    <row r="190" spans="1:24">
      <c r="A190" t="str">
        <f>IF(CALC_EEM!A183="","",IF(CALC_EEM!A183="GLOBAL","GLOBAL",IF(CALC_EEM!C183="Total","CURSO_TOTAL",IF(CALC_EEM!C183="TotalEsp","CURSO_ESP",IF(CALC_EEM!C183="TotalNoEsp","CURSO_NOESP","CURSO_ASIG")))))</f>
        <v>GLOBAL</v>
      </c>
      <c r="B190" t="str">
        <f>IF(CALC_EEM!A183="","",CALC_EEM!A183)</f>
        <v>GLOBAL</v>
      </c>
      <c r="C190" t="str">
        <f>IF(CALC_EEM!B183="","",CALC_EEM!B183)</f>
        <v>Total</v>
      </c>
      <c r="D190">
        <f>IF(CALC_EEM!D183="","",CALC_EEM!D183)</f>
        <v>0</v>
      </c>
      <c r="E190" s="14" t="str">
        <f>IF(CALC_EEM!E183="","",CALC_EEM!E183)</f>
        <v>—</v>
      </c>
      <c r="F190" s="14" t="str">
        <f>IF(CALC_EEM!F183="","",CALC_EEM!F183)</f>
        <v>—</v>
      </c>
      <c r="G190" t="str">
        <f>IF(CALC_EEM!G183="","",CALC_EEM!G183)</f>
        <v>—</v>
      </c>
      <c r="H190" s="16" t="str">
        <f>IF(CALC_EEM!H183="","",CALC_EEM!H183)</f>
        <v>—</v>
      </c>
      <c r="I190" s="16" t="str">
        <f>IF(CALC_EEM!I183="","",CALC_EEM!I183)</f>
        <v>—</v>
      </c>
      <c r="J190" t="str">
        <f>IF(CALC_EEM!J183="","",CALC_EEM!J183)</f>
        <v>—</v>
      </c>
      <c r="K190" t="str">
        <f>IF(CALC_EEM!K183="","",CALC_EEM!K183)</f>
        <v>—</v>
      </c>
      <c r="L190">
        <f>IF(CALC_EEM!L183="","",CALC_EEM!L183)</f>
        <v>0</v>
      </c>
      <c r="M190">
        <f>IF(CALC_EEM!M183="","",CALC_EEM!M183)</f>
        <v>0</v>
      </c>
      <c r="N190">
        <f>IF(CALC_EEM!N183="","",CALC_EEM!N183)</f>
        <v>0</v>
      </c>
      <c r="O190">
        <f>IF(CALC_EEM!O183="","",CALC_EEM!O183)</f>
        <v>0</v>
      </c>
      <c r="P190">
        <f>IF(CALC_EEM!P183="","",CALC_EEM!P183)</f>
        <v>0</v>
      </c>
      <c r="Q190">
        <f>IF(CALC_EEM!Q183="","",CALC_EEM!Q183)</f>
        <v>0</v>
      </c>
      <c r="R190">
        <f>IF(CALC_EEM!R183="","",CALC_EEM!R183)</f>
        <v>0</v>
      </c>
      <c r="S190">
        <f>IF(CALC_EEM!S183="","",CALC_EEM!S183)</f>
        <v>0</v>
      </c>
      <c r="T190">
        <f>IF(CALC_EEM!T183="","",CALC_EEM!T183)</f>
        <v>0</v>
      </c>
      <c r="U190">
        <f>IF(CALC_EEM!U183="","",CALC_EEM!U183)</f>
        <v>0</v>
      </c>
    </row>
    <row r="191" spans="1:24">
      <c r="A191" t="str">
        <f>IF(CALC_EEM!A184="","",IF(CALC_EEM!A184="GLOBAL","GLOBAL",IF(CALC_EEM!C184="Total","CURSO_TOTAL",IF(CALC_EEM!C184="TotalEsp","CURSO_ESP",IF(CALC_EEM!C184="TotalNoEsp","CURSO_NOESP","CURSO_ASIG")))))</f>
        <v>GLOBAL</v>
      </c>
      <c r="B191" t="str">
        <f>IF(CALC_EEM!A184="","",CALC_EEM!A184)</f>
        <v>GLOBAL</v>
      </c>
      <c r="C191" t="str">
        <f>IF(CALC_EEM!B184="","",CALC_EEM!B184)</f>
        <v>Total</v>
      </c>
      <c r="D191">
        <f>IF(CALC_EEM!D184="","",CALC_EEM!D184)</f>
        <v>0</v>
      </c>
      <c r="E191" s="14" t="str">
        <f>IF(CALC_EEM!E184="","",CALC_EEM!E184)</f>
        <v>—</v>
      </c>
      <c r="F191" s="14" t="str">
        <f>IF(CALC_EEM!F184="","",CALC_EEM!F184)</f>
        <v>—</v>
      </c>
      <c r="G191" t="str">
        <f>IF(CALC_EEM!G184="","",CALC_EEM!G184)</f>
        <v>—</v>
      </c>
      <c r="H191" s="16" t="str">
        <f>IF(CALC_EEM!H184="","",CALC_EEM!H184)</f>
        <v>—</v>
      </c>
      <c r="I191" s="16" t="str">
        <f>IF(CALC_EEM!I184="","",CALC_EEM!I184)</f>
        <v>—</v>
      </c>
      <c r="J191" t="str">
        <f>IF(CALC_EEM!J184="","",CALC_EEM!J184)</f>
        <v>—</v>
      </c>
      <c r="K191" t="str">
        <f>IF(CALC_EEM!K184="","",CALC_EEM!K184)</f>
        <v>—</v>
      </c>
      <c r="L191">
        <f>IF(CALC_EEM!L184="","",CALC_EEM!L184)</f>
        <v>0</v>
      </c>
      <c r="M191">
        <f>IF(CALC_EEM!M184="","",CALC_EEM!M184)</f>
        <v>0</v>
      </c>
      <c r="N191">
        <f>IF(CALC_EEM!N184="","",CALC_EEM!N184)</f>
        <v>0</v>
      </c>
      <c r="O191">
        <f>IF(CALC_EEM!O184="","",CALC_EEM!O184)</f>
        <v>0</v>
      </c>
      <c r="P191">
        <f>IF(CALC_EEM!P184="","",CALC_EEM!P184)</f>
        <v>0</v>
      </c>
      <c r="Q191">
        <f>IF(CALC_EEM!Q184="","",CALC_EEM!Q184)</f>
        <v>0</v>
      </c>
      <c r="R191">
        <f>IF(CALC_EEM!R184="","",CALC_EEM!R184)</f>
        <v>0</v>
      </c>
      <c r="S191">
        <f>IF(CALC_EEM!S184="","",CALC_EEM!S184)</f>
        <v>0</v>
      </c>
      <c r="T191">
        <f>IF(CALC_EEM!T184="","",CALC_EEM!T184)</f>
        <v>0</v>
      </c>
      <c r="U191">
        <f>IF(CALC_EEM!U184="","",CALC_EEM!U184)</f>
        <v>0</v>
      </c>
    </row>
    <row r="192" spans="1:24">
      <c r="A192" t="str">
        <f>IF(CALC_EEM!A185="","",IF(CALC_EEM!A185="GLOBAL","GLOBAL",IF(CALC_EEM!C185="Total","CURSO_TOTAL",IF(CALC_EEM!C185="TotalEsp","CURSO_ESP",IF(CALC_EEM!C185="TotalNoEsp","CURSO_NOESP","CURSO_ASIG")))))</f>
        <v>GLOBAL</v>
      </c>
      <c r="B192" t="str">
        <f>IF(CALC_EEM!A185="","",CALC_EEM!A185)</f>
        <v>GLOBAL</v>
      </c>
      <c r="C192" t="str">
        <f>IF(CALC_EEM!B185="","",CALC_EEM!B185)</f>
        <v>Total</v>
      </c>
      <c r="D192">
        <f>IF(CALC_EEM!D185="","",CALC_EEM!D185)</f>
        <v>0</v>
      </c>
      <c r="E192" s="14" t="str">
        <f>IF(CALC_EEM!E185="","",CALC_EEM!E185)</f>
        <v>—</v>
      </c>
      <c r="F192" s="14" t="str">
        <f>IF(CALC_EEM!F185="","",CALC_EEM!F185)</f>
        <v>—</v>
      </c>
      <c r="G192" t="str">
        <f>IF(CALC_EEM!G185="","",CALC_EEM!G185)</f>
        <v>—</v>
      </c>
      <c r="H192" s="16" t="str">
        <f>IF(CALC_EEM!H185="","",CALC_EEM!H185)</f>
        <v>—</v>
      </c>
      <c r="I192" s="16" t="str">
        <f>IF(CALC_EEM!I185="","",CALC_EEM!I185)</f>
        <v>—</v>
      </c>
      <c r="J192" t="str">
        <f>IF(CALC_EEM!J185="","",CALC_EEM!J185)</f>
        <v>—</v>
      </c>
      <c r="K192" t="str">
        <f>IF(CALC_EEM!K185="","",CALC_EEM!K185)</f>
        <v>—</v>
      </c>
      <c r="L192">
        <f>IF(CALC_EEM!L185="","",CALC_EEM!L185)</f>
        <v>0</v>
      </c>
      <c r="M192">
        <f>IF(CALC_EEM!M185="","",CALC_EEM!M185)</f>
        <v>0</v>
      </c>
      <c r="N192">
        <f>IF(CALC_EEM!N185="","",CALC_EEM!N185)</f>
        <v>0</v>
      </c>
      <c r="O192">
        <f>IF(CALC_EEM!O185="","",CALC_EEM!O185)</f>
        <v>0</v>
      </c>
      <c r="P192">
        <f>IF(CALC_EEM!P185="","",CALC_EEM!P185)</f>
        <v>0</v>
      </c>
      <c r="Q192">
        <f>IF(CALC_EEM!Q185="","",CALC_EEM!Q185)</f>
        <v>0</v>
      </c>
      <c r="R192">
        <f>IF(CALC_EEM!R185="","",CALC_EEM!R185)</f>
        <v>0</v>
      </c>
      <c r="S192">
        <f>IF(CALC_EEM!S185="","",CALC_EEM!S185)</f>
        <v>0</v>
      </c>
      <c r="T192">
        <f>IF(CALC_EEM!T185="","",CALC_EEM!T185)</f>
        <v>0</v>
      </c>
      <c r="U192">
        <f>IF(CALC_EEM!U185="","",CALC_EEM!U185)</f>
        <v>0</v>
      </c>
    </row>
    <row r="193" spans="1:24">
      <c r="A193" t="str">
        <f>IF(CALC_EEM!A186="","",IF(CALC_EEM!A186="GLOBAL","GLOBAL",IF(CALC_EEM!C186="Total","CURSO_TOTAL",IF(CALC_EEM!C186="TotalEsp","CURSO_ESP",IF(CALC_EEM!C186="TotalNoEsp","CURSO_NOESP","CURSO_ASIG")))))</f>
        <v>GLOBAL</v>
      </c>
      <c r="B193" t="str">
        <f>IF(CALC_EEM!A186="","",CALC_EEM!A186)</f>
        <v>GLOBAL</v>
      </c>
      <c r="C193" t="str">
        <f>IF(CALC_EEM!B186="","",CALC_EEM!B186)</f>
        <v>Total</v>
      </c>
      <c r="D193">
        <f>IF(CALC_EEM!D186="","",CALC_EEM!D186)</f>
        <v>0</v>
      </c>
      <c r="E193" s="14" t="str">
        <f>IF(CALC_EEM!E186="","",CALC_EEM!E186)</f>
        <v>—</v>
      </c>
      <c r="F193" s="14" t="str">
        <f>IF(CALC_EEM!F186="","",CALC_EEM!F186)</f>
        <v>—</v>
      </c>
      <c r="G193" t="str">
        <f>IF(CALC_EEM!G186="","",CALC_EEM!G186)</f>
        <v>—</v>
      </c>
      <c r="H193" s="16" t="str">
        <f>IF(CALC_EEM!H186="","",CALC_EEM!H186)</f>
        <v>—</v>
      </c>
      <c r="I193" s="16" t="str">
        <f>IF(CALC_EEM!I186="","",CALC_EEM!I186)</f>
        <v>—</v>
      </c>
      <c r="J193" t="str">
        <f>IF(CALC_EEM!J186="","",CALC_EEM!J186)</f>
        <v>—</v>
      </c>
      <c r="K193" t="str">
        <f>IF(CALC_EEM!K186="","",CALC_EEM!K186)</f>
        <v>—</v>
      </c>
      <c r="L193">
        <f>IF(CALC_EEM!L186="","",CALC_EEM!L186)</f>
        <v>0</v>
      </c>
      <c r="M193">
        <f>IF(CALC_EEM!M186="","",CALC_EEM!M186)</f>
        <v>0</v>
      </c>
      <c r="N193">
        <f>IF(CALC_EEM!N186="","",CALC_EEM!N186)</f>
        <v>0</v>
      </c>
      <c r="O193">
        <f>IF(CALC_EEM!O186="","",CALC_EEM!O186)</f>
        <v>0</v>
      </c>
      <c r="P193">
        <f>IF(CALC_EEM!P186="","",CALC_EEM!P186)</f>
        <v>0</v>
      </c>
      <c r="Q193">
        <f>IF(CALC_EEM!Q186="","",CALC_EEM!Q186)</f>
        <v>0</v>
      </c>
      <c r="R193">
        <f>IF(CALC_EEM!R186="","",CALC_EEM!R186)</f>
        <v>0</v>
      </c>
      <c r="S193">
        <f>IF(CALC_EEM!S186="","",CALC_EEM!S186)</f>
        <v>0</v>
      </c>
      <c r="T193">
        <f>IF(CALC_EEM!T186="","",CALC_EEM!T186)</f>
        <v>0</v>
      </c>
      <c r="U193">
        <f>IF(CALC_EEM!U186="","",CALC_EEM!U186)</f>
        <v>0</v>
      </c>
    </row>
    <row r="195">
      <c r="A195" t="inlineStr">
        <is>
          <t>#AGRUPACIONES</t>
        </is>
      </c>
    </row>
    <row r="196">
      <c r="A196" s="2" t="s">
        <v>133</v>
      </c>
      <c r="B196" s="2" t="s">
        <v>2</v>
      </c>
      <c r="C196" s="2" t="s">
        <v>135</v>
      </c>
    </row>
    <row r="197">
      <c r="A197" t="s">
        <v>136</v>
      </c>
      <c r="B197" t="str">
        <f>IF(CONFIG_ASIGNATURAS!B2="","",CONFIG_ASIGNATURAS!B2)</f>
        <v>Lenguaje Musical</v>
      </c>
      <c r="C197" t="str">
        <f>IF(CONFIG_ASIGNATURAS!B2="","",IF(CONFIG_ASIGNATURAS!E2="",CONFIG_ASIGNATURAS!D2,CONFIG_ASIGNATURAS!D2&amp;";"&amp;CONFIG_ASIGNATURAS!E2))</f>
        <v>Referencia</v>
      </c>
    </row>
    <row r="198">
      <c r="A198" t="s">
        <v>136</v>
      </c>
      <c r="B198" t="str">
        <f>IF(CONFIG_ASIGNATURAS!B3="","",CONFIG_ASIGNATURAS!B3)</f>
        <v>Lenguaje Musical</v>
      </c>
      <c r="C198" t="str">
        <f>IF(CONFIG_ASIGNATURAS!B3="","",IF(CONFIG_ASIGNATURAS!E3="",CONFIG_ASIGNATURAS!D3,CONFIG_ASIGNATURAS!D3&amp;";"&amp;CONFIG_ASIGNATURAS!E3))</f>
        <v>Referencia</v>
      </c>
    </row>
    <row r="199">
      <c r="A199" t="s">
        <v>136</v>
      </c>
      <c r="B199" t="str">
        <f>IF(CONFIG_ASIGNATURAS!B4="","",CONFIG_ASIGNATURAS!B4)</f>
        <v>Lenguaje Musical</v>
      </c>
      <c r="C199" t="str">
        <f>IF(CONFIG_ASIGNATURAS!B4="","",IF(CONFIG_ASIGNATURAS!E4="",CONFIG_ASIGNATURAS!D4,CONFIG_ASIGNATURAS!D4&amp;";"&amp;CONFIG_ASIGNATURAS!E4))</f>
        <v>Referencia</v>
      </c>
    </row>
    <row r="200">
      <c r="A200" t="s">
        <v>136</v>
      </c>
      <c r="B200" t="str">
        <f>IF(CONFIG_ASIGNATURAS!B5="","",CONFIG_ASIGNATURAS!B5)</f>
        <v>Lenguaje Musical</v>
      </c>
      <c r="C200" t="str">
        <f>IF(CONFIG_ASIGNATURAS!B5="","",IF(CONFIG_ASIGNATURAS!E5="",CONFIG_ASIGNATURAS!D5,CONFIG_ASIGNATURAS!D5&amp;";"&amp;CONFIG_ASIGNATURAS!E5))</f>
        <v>Referencia</v>
      </c>
    </row>
    <row r="201">
      <c r="A201" t="s">
        <v>136</v>
      </c>
      <c r="B201" t="str">
        <f>IF(CONFIG_ASIGNATURAS!B6="","",CONFIG_ASIGNATURAS!B6)</f>
        <v>Lenguaje Musical</v>
      </c>
      <c r="C201" t="str">
        <f>IF(CONFIG_ASIGNATURAS!B6="","",IF(CONFIG_ASIGNATURAS!E6="",CONFIG_ASIGNATURAS!D6,CONFIG_ASIGNATURAS!D6&amp;";"&amp;CONFIG_ASIGNATURAS!E6))</f>
        <v>Referencia</v>
      </c>
    </row>
    <row r="202">
      <c r="A202" t="s">
        <v>136</v>
      </c>
      <c r="B202" t="str">
        <f>IF(CONFIG_ASIGNATURAS!B7="","",CONFIG_ASIGNATURAS!B7)</f>
        <v>Lenguaje Musical</v>
      </c>
      <c r="C202" t="str">
        <f>IF(CONFIG_ASIGNATURAS!B7="","",IF(CONFIG_ASIGNATURAS!E7="",CONFIG_ASIGNATURAS!D7,CONFIG_ASIGNATURAS!D7&amp;";"&amp;CONFIG_ASIGNATURAS!E7))</f>
        <v>Referencia</v>
      </c>
    </row>
    <row r="203">
      <c r="A203" t="s">
        <v>136</v>
      </c>
      <c r="B203" t="str">
        <f>IF(CONFIG_ASIGNATURAS!B8="","",CONFIG_ASIGNATURAS!B8)</f>
        <v>Lenguaje Musical</v>
      </c>
      <c r="C203" t="str">
        <f>IF(CONFIG_ASIGNATURAS!B8="","",IF(CONFIG_ASIGNATURAS!E8="",CONFIG_ASIGNATURAS!D8,CONFIG_ASIGNATURAS!D8&amp;";"&amp;CONFIG_ASIGNATURAS!E8))</f>
        <v>Referencia</v>
      </c>
    </row>
    <row r="204">
      <c r="A204" t="s">
        <v>136</v>
      </c>
      <c r="B204" t="str">
        <f>IF(CONFIG_ASIGNATURAS!B9="","",CONFIG_ASIGNATURAS!B9)</f>
        <v>Lenguaje Musical</v>
      </c>
      <c r="C204" t="str">
        <f>IF(CONFIG_ASIGNATURAS!B9="","",IF(CONFIG_ASIGNATURAS!E9="",CONFIG_ASIGNATURAS!D9,CONFIG_ASIGNATURAS!D9&amp;";"&amp;CONFIG_ASIGNATURAS!E9))</f>
        <v>Referencia</v>
      </c>
    </row>
    <row r="205">
      <c r="A205" t="s">
        <v>136</v>
      </c>
      <c r="B205" t="str">
        <f>IF(CONFIG_ASIGNATURAS!B10="","",CONFIG_ASIGNATURAS!B10)</f>
        <v>Lenguaje Musical</v>
      </c>
      <c r="C205" t="str">
        <f>IF(CONFIG_ASIGNATURAS!B10="","",IF(CONFIG_ASIGNATURAS!E10="",CONFIG_ASIGNATURAS!D10,CONFIG_ASIGNATURAS!D10&amp;";"&amp;CONFIG_ASIGNATURAS!E10))</f>
        <v>Referencia</v>
      </c>
    </row>
    <row r="206">
      <c r="A206" t="s">
        <v>136</v>
      </c>
      <c r="B206" t="str">
        <f>IF(CONFIG_ASIGNATURAS!B11="","",CONFIG_ASIGNATURAS!B11)</f>
        <v>Lenguaje Musical</v>
      </c>
      <c r="C206" t="str">
        <f>IF(CONFIG_ASIGNATURAS!B11="","",IF(CONFIG_ASIGNATURAS!E11="",CONFIG_ASIGNATURAS!D11,CONFIG_ASIGNATURAS!D11&amp;";"&amp;CONFIG_ASIGNATURAS!E11))</f>
        <v>Referencia</v>
      </c>
    </row>
    <row r="207">
      <c r="A207" t="s">
        <v>136</v>
      </c>
      <c r="B207" t="str">
        <f>IF(CONFIG_ASIGNATURAS!B12="","",CONFIG_ASIGNATURAS!B12)</f>
        <v>Lenguaje Musical</v>
      </c>
      <c r="C207" t="str">
        <f>IF(CONFIG_ASIGNATURAS!B12="","",IF(CONFIG_ASIGNATURAS!E12="",CONFIG_ASIGNATURAS!D12,CONFIG_ASIGNATURAS!D12&amp;";"&amp;CONFIG_ASIGNATURAS!E12))</f>
        <v>Referencia</v>
      </c>
    </row>
    <row r="208">
      <c r="A208" t="s">
        <v>136</v>
      </c>
      <c r="B208" t="str">
        <f>IF(CONFIG_ASIGNATURAS!B13="","",CONFIG_ASIGNATURAS!B13)</f>
        <v>Lenguaje Musical</v>
      </c>
      <c r="C208" t="str">
        <f>IF(CONFIG_ASIGNATURAS!B13="","",IF(CONFIG_ASIGNATURAS!E13="",CONFIG_ASIGNATURAS!D13,CONFIG_ASIGNATURAS!D13&amp;";"&amp;CONFIG_ASIGNATURAS!E13))</f>
        <v>Referencia</v>
      </c>
    </row>
    <row r="209">
      <c r="A209" t="s">
        <v>136</v>
      </c>
      <c r="B209" t="str">
        <f>IF(CONFIG_ASIGNATURAS!B14="","",CONFIG_ASIGNATURAS!B14)</f>
        <v>Lenguaje Musical</v>
      </c>
      <c r="C209" t="str">
        <f>IF(CONFIG_ASIGNATURAS!B14="","",IF(CONFIG_ASIGNATURAS!E14="",CONFIG_ASIGNATURAS!D14,CONFIG_ASIGNATURAS!D14&amp;";"&amp;CONFIG_ASIGNATURAS!E14))</f>
        <v>Referencia</v>
      </c>
    </row>
    <row r="210">
      <c r="A210" t="s">
        <v>136</v>
      </c>
      <c r="B210" t="str">
        <f>IF(CONFIG_ASIGNATURAS!B15="","",CONFIG_ASIGNATURAS!B15)</f>
        <v>Lenguaje Musical</v>
      </c>
      <c r="C210" t="str">
        <f>IF(CONFIG_ASIGNATURAS!B15="","",IF(CONFIG_ASIGNATURAS!E15="",CONFIG_ASIGNATURAS!D15,CONFIG_ASIGNATURAS!D15&amp;";"&amp;CONFIG_ASIGNATURAS!E15))</f>
        <v>Referencia</v>
      </c>
    </row>
    <row r="211">
      <c r="A211" t="s">
        <v>136</v>
      </c>
      <c r="B211" t="str">
        <f>IF(CONFIG_ASIGNATURAS!B16="","",CONFIG_ASIGNATURAS!B16)</f>
        <v>Lenguaje Musical</v>
      </c>
      <c r="C211" t="str">
        <f>IF(CONFIG_ASIGNATURAS!B16="","",IF(CONFIG_ASIGNATURAS!E16="",CONFIG_ASIGNATURAS!D16,CONFIG_ASIGNATURAS!D16&amp;";"&amp;CONFIG_ASIGNATURAS!E16))</f>
        <v>Referencia</v>
      </c>
    </row>
    <row r="212">
      <c r="A212" t="s">
        <v>136</v>
      </c>
      <c r="B212" t="str">
        <f>IF(CONFIG_ASIGNATURAS!B17="","",CONFIG_ASIGNATURAS!B17)</f>
        <v>Lenguaje Musical</v>
      </c>
      <c r="C212" t="str">
        <f>IF(CONFIG_ASIGNATURAS!B17="","",IF(CONFIG_ASIGNATURAS!E17="",CONFIG_ASIGNATURAS!D17,CONFIG_ASIGNATURAS!D17&amp;";"&amp;CONFIG_ASIGNATURAS!E17))</f>
        <v>Referencia</v>
      </c>
    </row>
    <row r="213">
      <c r="A213" t="s">
        <v>136</v>
      </c>
      <c r="B213" t="str">
        <f>IF(CONFIG_ASIGNATURAS!B18="","",CONFIG_ASIGNATURAS!B18)</f>
        <v>Lenguaje Musical</v>
      </c>
      <c r="C213" t="str">
        <f>IF(CONFIG_ASIGNATURAS!B18="","",IF(CONFIG_ASIGNATURAS!E18="",CONFIG_ASIGNATURAS!D18,CONFIG_ASIGNATURAS!D18&amp;";"&amp;CONFIG_ASIGNATURAS!E18))</f>
        <v>Referencia</v>
      </c>
    </row>
    <row r="214">
      <c r="A214" t="s">
        <v>136</v>
      </c>
      <c r="B214" t="str">
        <f>IF(CONFIG_ASIGNATURAS!B19="","",CONFIG_ASIGNATURAS!B19)</f>
        <v>Lenguaje Musical</v>
      </c>
      <c r="C214" t="str">
        <f>IF(CONFIG_ASIGNATURAS!B19="","",IF(CONFIG_ASIGNATURAS!E19="",CONFIG_ASIGNATURAS!D19,CONFIG_ASIGNATURAS!D19&amp;";"&amp;CONFIG_ASIGNATURAS!E19))</f>
        <v>Referencia</v>
      </c>
    </row>
    <row r="215">
      <c r="A215" t="s">
        <v>136</v>
      </c>
      <c r="B215" t="str">
        <f>IF(CONFIG_ASIGNATURAS!B20="","",CONFIG_ASIGNATURAS!B20)</f>
        <v>Lenguaje Musical</v>
      </c>
      <c r="C215" t="str">
        <f>IF(CONFIG_ASIGNATURAS!B20="","",IF(CONFIG_ASIGNATURAS!E20="",CONFIG_ASIGNATURAS!D20,CONFIG_ASIGNATURAS!D20&amp;";"&amp;CONFIG_ASIGNATURAS!E20))</f>
        <v>Referencia</v>
      </c>
    </row>
    <row r="216">
      <c r="A216" t="s">
        <v>136</v>
      </c>
      <c r="B216" t="str">
        <f>IF(CONFIG_ASIGNATURAS!B21="","",CONFIG_ASIGNATURAS!B21)</f>
        <v>Lenguaje Musical</v>
      </c>
      <c r="C216" t="str">
        <f>IF(CONFIG_ASIGNATURAS!B21="","",IF(CONFIG_ASIGNATURAS!E21="",CONFIG_ASIGNATURAS!D21,CONFIG_ASIGNATURAS!D21&amp;";"&amp;CONFIG_ASIGNATURAS!E21))</f>
        <v>Referencia</v>
      </c>
    </row>
    <row r="217">
      <c r="A217" t="s">
        <v>136</v>
      </c>
      <c r="B217" t="str">
        <f>IF(CONFIG_ASIGNATURAS!B22="","",CONFIG_ASIGNATURAS!B22)</f>
        <v>Lenguaje Musical</v>
      </c>
      <c r="C217" t="str">
        <f>IF(CONFIG_ASIGNATURAS!B22="","",IF(CONFIG_ASIGNATURAS!E22="",CONFIG_ASIGNATURAS!D22,CONFIG_ASIGNATURAS!D22&amp;";"&amp;CONFIG_ASIGNATURAS!E22))</f>
        <v>Referencia</v>
      </c>
    </row>
    <row r="218">
      <c r="A218" t="s">
        <v>136</v>
      </c>
      <c r="B218" t="str">
        <f>IF(CONFIG_ASIGNATURAS!B23="","",CONFIG_ASIGNATURAS!B23)</f>
        <v>Lenguaje Musical</v>
      </c>
      <c r="C218" t="str">
        <f>IF(CONFIG_ASIGNATURAS!B23="","",IF(CONFIG_ASIGNATURAS!E23="",CONFIG_ASIGNATURAS!D23,CONFIG_ASIGNATURAS!D23&amp;";"&amp;CONFIG_ASIGNATURAS!E23))</f>
        <v>Referencia</v>
      </c>
    </row>
    <row r="219">
      <c r="A219" t="s">
        <v>136</v>
      </c>
      <c r="B219" t="str">
        <f>IF(CONFIG_ASIGNATURAS!B24="","",CONFIG_ASIGNATURAS!B24)</f>
        <v>Lenguaje Musical</v>
      </c>
      <c r="C219" t="str">
        <f>IF(CONFIG_ASIGNATURAS!B24="","",IF(CONFIG_ASIGNATURAS!E24="",CONFIG_ASIGNATURAS!D24,CONFIG_ASIGNATURAS!D24&amp;";"&amp;CONFIG_ASIGNATURAS!E24))</f>
        <v>Referencia</v>
      </c>
    </row>
    <row r="220">
      <c r="A220" t="s">
        <v>136</v>
      </c>
      <c r="B220" t="str">
        <f>IF(CONFIG_ASIGNATURAS!B25="","",CONFIG_ASIGNATURAS!B25)</f>
        <v>Lenguaje Musical</v>
      </c>
      <c r="C220" t="str">
        <f>IF(CONFIG_ASIGNATURAS!B25="","",IF(CONFIG_ASIGNATURAS!E25="",CONFIG_ASIGNATURAS!D25,CONFIG_ASIGNATURAS!D25&amp;";"&amp;CONFIG_ASIGNATURAS!E25))</f>
        <v>Referencia</v>
      </c>
    </row>
    <row r="221">
      <c r="A221" t="s">
        <v>136</v>
      </c>
      <c r="B221" t="str">
        <f>IF(CONFIG_ASIGNATURAS!B26="","",CONFIG_ASIGNATURAS!B26)</f>
        <v>Lenguaje Musical</v>
      </c>
      <c r="C221" t="str">
        <f>IF(CONFIG_ASIGNATURAS!B26="","",IF(CONFIG_ASIGNATURAS!E26="",CONFIG_ASIGNATURAS!D26,CONFIG_ASIGNATURAS!D26&amp;";"&amp;CONFIG_ASIGNATURAS!E26))</f>
        <v>Referencia</v>
      </c>
    </row>
    <row r="222">
      <c r="A222" t="s">
        <v>136</v>
      </c>
      <c r="B222" t="str">
        <f>IF(CONFIG_ASIGNATURAS!B27="","",CONFIG_ASIGNATURAS!B27)</f>
        <v>Lenguaje Musical</v>
      </c>
      <c r="C222" t="str">
        <f>IF(CONFIG_ASIGNATURAS!B27="","",IF(CONFIG_ASIGNATURAS!E27="",CONFIG_ASIGNATURAS!D27,CONFIG_ASIGNATURAS!D27&amp;";"&amp;CONFIG_ASIGNATURAS!E27))</f>
        <v>Referencia</v>
      </c>
    </row>
    <row r="223">
      <c r="A223" s="12" t="s">
        <v>137</v>
      </c>
    </row>
    <row r="224">
      <c r="A224" s="2" t="s">
        <v>133</v>
      </c>
      <c r="B224" s="2" t="s">
        <v>75</v>
      </c>
      <c r="C224" s="2" t="s">
        <v>58</v>
      </c>
      <c r="D224" s="2" t="s">
        <v>59</v>
      </c>
      <c r="E224" s="2" t="s">
        <v>108</v>
      </c>
      <c r="F224" s="2" t="s">
        <v>110</v>
      </c>
    </row>
    <row r="225">
      <c r="A225" t="s">
        <v>138</v>
      </c>
      <c r="B225" t="str">
        <f>CALC_CORRELACIONES!A2</f>
        <v>1EEM</v>
      </c>
      <c r="C225" t="str">
        <f>CALC_CORRELACIONES!B2</f>
        <v>Lenguaje Musical</v>
      </c>
      <c r="D225" t="str">
        <f>CALC_CORRELACIONES!C2</f>
        <v>Coro</v>
      </c>
      <c r="E225" s="14" t="str">
        <f>CALC_CORRELACIONES!D2</f>
        <v/>
      </c>
      <c r="F225" t="str">
        <f>CALC_CORRELACIONES!F2</f>
        <v/>
      </c>
    </row>
    <row r="226">
      <c r="A226" t="s">
        <v>138</v>
      </c>
      <c r="B226" t="str">
        <f>CALC_CORRELACIONES!A3</f>
        <v>1EEM</v>
      </c>
      <c r="C226" t="str">
        <f>CALC_CORRELACIONES!B3</f>
        <v>Lenguaje Musical</v>
      </c>
      <c r="D226" t="str">
        <f>CALC_CORRELACIONES!C3</f>
        <v>Especialidad</v>
      </c>
      <c r="E226" s="14" t="str">
        <f>CALC_CORRELACIONES!D3</f>
        <v/>
      </c>
      <c r="F226" t="str">
        <f>CALC_CORRELACIONES!F3</f>
        <v/>
      </c>
    </row>
    <row r="227">
      <c r="A227" t="s">
        <v>138</v>
      </c>
      <c r="B227" t="str">
        <f>CALC_CORRELACIONES!A4</f>
        <v>1EEM</v>
      </c>
      <c r="C227" t="str">
        <f>CALC_CORRELACIONES!B4</f>
        <v>Coro</v>
      </c>
      <c r="D227" t="str">
        <f>CALC_CORRELACIONES!C4</f>
        <v>Especialidad</v>
      </c>
      <c r="E227" s="14" t="str">
        <f>CALC_CORRELACIONES!D4</f>
        <v/>
      </c>
      <c r="F227" t="str">
        <f>CALC_CORRELACIONES!F4</f>
        <v/>
      </c>
    </row>
    <row r="228">
      <c r="A228" t="s">
        <v>138</v>
      </c>
      <c r="B228" t="str">
        <f>CALC_CORRELACIONES!A5</f>
        <v>2EEM</v>
      </c>
      <c r="C228" t="str">
        <f>CALC_CORRELACIONES!B5</f>
        <v>Lenguaje Musical</v>
      </c>
      <c r="D228" t="str">
        <f>CALC_CORRELACIONES!C5</f>
        <v>Coro</v>
      </c>
      <c r="E228" s="14" t="str">
        <f>CALC_CORRELACIONES!D5</f>
        <v/>
      </c>
      <c r="F228" t="str">
        <f>CALC_CORRELACIONES!F5</f>
        <v/>
      </c>
    </row>
    <row r="229">
      <c r="A229" t="s">
        <v>138</v>
      </c>
      <c r="B229" t="str">
        <f>CALC_CORRELACIONES!A6</f>
        <v>2EEM</v>
      </c>
      <c r="C229" t="str">
        <f>CALC_CORRELACIONES!B6</f>
        <v>Lenguaje Musical</v>
      </c>
      <c r="D229" t="str">
        <f>CALC_CORRELACIONES!C6</f>
        <v>Especialidad</v>
      </c>
      <c r="E229" s="14" t="str">
        <f>CALC_CORRELACIONES!D6</f>
        <v/>
      </c>
      <c r="F229" t="str">
        <f>CALC_CORRELACIONES!F6</f>
        <v/>
      </c>
    </row>
    <row r="230">
      <c r="A230" t="s">
        <v>138</v>
      </c>
      <c r="B230" t="str">
        <f>CALC_CORRELACIONES!A7</f>
        <v>2EEM</v>
      </c>
      <c r="C230" t="str">
        <f>CALC_CORRELACIONES!B7</f>
        <v>Coro</v>
      </c>
      <c r="D230" t="str">
        <f>CALC_CORRELACIONES!C7</f>
        <v>Especialidad</v>
      </c>
      <c r="E230" s="14" t="str">
        <f>CALC_CORRELACIONES!D7</f>
        <v/>
      </c>
      <c r="F230" t="str">
        <f>CALC_CORRELACIONES!F7</f>
        <v/>
      </c>
    </row>
    <row r="231">
      <c r="A231" t="s">
        <v>138</v>
      </c>
      <c r="B231" t="str">
        <f>CALC_CORRELACIONES!A8</f>
        <v>3EEM</v>
      </c>
      <c r="C231" t="str">
        <f>CALC_CORRELACIONES!B8</f>
        <v>Lenguaje Musical</v>
      </c>
      <c r="D231" t="str">
        <f>CALC_CORRELACIONES!C8</f>
        <v>Coro</v>
      </c>
      <c r="E231" s="14" t="str">
        <f>CALC_CORRELACIONES!D8</f>
        <v/>
      </c>
      <c r="F231" t="str">
        <f>CALC_CORRELACIONES!F8</f>
        <v/>
      </c>
    </row>
    <row r="232">
      <c r="A232" t="s">
        <v>138</v>
      </c>
      <c r="B232" t="str">
        <f>CALC_CORRELACIONES!A9</f>
        <v>3EEM</v>
      </c>
      <c r="C232" t="str">
        <f>CALC_CORRELACIONES!B9</f>
        <v>Lenguaje Musical</v>
      </c>
      <c r="D232" t="str">
        <f>CALC_CORRELACIONES!C9</f>
        <v>Conjunto</v>
      </c>
      <c r="E232" s="14" t="str">
        <f>CALC_CORRELACIONES!D9</f>
        <v/>
      </c>
      <c r="F232" t="str">
        <f>CALC_CORRELACIONES!F9</f>
        <v/>
      </c>
    </row>
    <row r="233">
      <c r="A233" t="s">
        <v>138</v>
      </c>
      <c r="B233" t="str">
        <f>CALC_CORRELACIONES!A10</f>
        <v>3EEM</v>
      </c>
      <c r="C233" t="str">
        <f>CALC_CORRELACIONES!B10</f>
        <v>Lenguaje Musical</v>
      </c>
      <c r="D233" t="str">
        <f>CALC_CORRELACIONES!C10</f>
        <v>Especialidad</v>
      </c>
      <c r="E233" s="14" t="str">
        <f>CALC_CORRELACIONES!D10</f>
        <v/>
      </c>
      <c r="F233" t="str">
        <f>CALC_CORRELACIONES!F10</f>
        <v/>
      </c>
    </row>
    <row r="234">
      <c r="A234" t="s">
        <v>138</v>
      </c>
      <c r="B234" t="str">
        <f>CALC_CORRELACIONES!A11</f>
        <v>3EEM</v>
      </c>
      <c r="C234" t="str">
        <f>CALC_CORRELACIONES!B11</f>
        <v>Coro</v>
      </c>
      <c r="D234" t="str">
        <f>CALC_CORRELACIONES!C11</f>
        <v>Conjunto</v>
      </c>
      <c r="E234" s="14" t="str">
        <f>CALC_CORRELACIONES!D11</f>
        <v/>
      </c>
      <c r="F234" t="str">
        <f>CALC_CORRELACIONES!F11</f>
        <v/>
      </c>
    </row>
    <row r="235">
      <c r="A235" t="s">
        <v>138</v>
      </c>
      <c r="B235" t="str">
        <f>CALC_CORRELACIONES!A12</f>
        <v>3EEM</v>
      </c>
      <c r="C235" t="str">
        <f>CALC_CORRELACIONES!B12</f>
        <v>Coro</v>
      </c>
      <c r="D235" t="str">
        <f>CALC_CORRELACIONES!C12</f>
        <v>Especialidad</v>
      </c>
      <c r="E235" s="14" t="str">
        <f>CALC_CORRELACIONES!D12</f>
        <v/>
      </c>
      <c r="F235" t="str">
        <f>CALC_CORRELACIONES!F12</f>
        <v/>
      </c>
    </row>
    <row r="236">
      <c r="A236" t="s">
        <v>138</v>
      </c>
      <c r="B236" t="str">
        <f>CALC_CORRELACIONES!A13</f>
        <v>3EEM</v>
      </c>
      <c r="C236" t="str">
        <f>CALC_CORRELACIONES!B13</f>
        <v>Conjunto</v>
      </c>
      <c r="D236" t="str">
        <f>CALC_CORRELACIONES!C13</f>
        <v>Especialidad</v>
      </c>
      <c r="E236" s="14" t="str">
        <f>CALC_CORRELACIONES!D13</f>
        <v/>
      </c>
      <c r="F236" t="str">
        <f>CALC_CORRELACIONES!F13</f>
        <v/>
      </c>
    </row>
    <row r="237">
      <c r="A237" t="s">
        <v>138</v>
      </c>
      <c r="B237" t="str">
        <f>CALC_CORRELACIONES!A14</f>
        <v>4EEM</v>
      </c>
      <c r="C237" t="str">
        <f>CALC_CORRELACIONES!B14</f>
        <v>Lenguaje Musical</v>
      </c>
      <c r="D237" t="str">
        <f>CALC_CORRELACIONES!C14</f>
        <v>Coro</v>
      </c>
      <c r="E237" s="14" t="str">
        <f>CALC_CORRELACIONES!D14</f>
        <v/>
      </c>
      <c r="F237" t="str">
        <f>CALC_CORRELACIONES!F14</f>
        <v/>
      </c>
    </row>
    <row r="238">
      <c r="A238" t="s">
        <v>138</v>
      </c>
      <c r="B238" t="str">
        <f>CALC_CORRELACIONES!A15</f>
        <v>4EEM</v>
      </c>
      <c r="C238" t="str">
        <f>CALC_CORRELACIONES!B15</f>
        <v>Lenguaje Musical</v>
      </c>
      <c r="D238" t="str">
        <f>CALC_CORRELACIONES!C15</f>
        <v>Conjunto</v>
      </c>
      <c r="E238" s="14" t="str">
        <f>CALC_CORRELACIONES!D15</f>
        <v/>
      </c>
      <c r="F238" t="str">
        <f>CALC_CORRELACIONES!F15</f>
        <v/>
      </c>
    </row>
    <row r="239">
      <c r="A239" t="s">
        <v>138</v>
      </c>
      <c r="B239" t="str">
        <f>CALC_CORRELACIONES!A16</f>
        <v>4EEM</v>
      </c>
      <c r="C239" t="str">
        <f>CALC_CORRELACIONES!B16</f>
        <v>Lenguaje Musical</v>
      </c>
      <c r="D239" t="str">
        <f>CALC_CORRELACIONES!C16</f>
        <v>Especialidad</v>
      </c>
      <c r="E239" s="14" t="str">
        <f>CALC_CORRELACIONES!D16</f>
        <v/>
      </c>
      <c r="F239" t="str">
        <f>CALC_CORRELACIONES!F16</f>
        <v/>
      </c>
    </row>
    <row r="240">
      <c r="A240" t="s">
        <v>138</v>
      </c>
      <c r="B240" t="str">
        <f>CALC_CORRELACIONES!A17</f>
        <v>4EEM</v>
      </c>
      <c r="C240" t="str">
        <f>CALC_CORRELACIONES!B17</f>
        <v>Coro</v>
      </c>
      <c r="D240" t="str">
        <f>CALC_CORRELACIONES!C17</f>
        <v>Conjunto</v>
      </c>
      <c r="E240" s="14" t="str">
        <f>CALC_CORRELACIONES!D17</f>
        <v/>
      </c>
      <c r="F240" t="str">
        <f>CALC_CORRELACIONES!F17</f>
        <v/>
      </c>
    </row>
    <row r="241">
      <c r="A241" t="s">
        <v>138</v>
      </c>
      <c r="B241" t="str">
        <f>CALC_CORRELACIONES!A18</f>
        <v>4EEM</v>
      </c>
      <c r="C241" t="str">
        <f>CALC_CORRELACIONES!B18</f>
        <v>Coro</v>
      </c>
      <c r="D241" t="str">
        <f>CALC_CORRELACIONES!C18</f>
        <v>Especialidad</v>
      </c>
      <c r="E241" s="14" t="str">
        <f>CALC_CORRELACIONES!D18</f>
        <v/>
      </c>
      <c r="F241" t="str">
        <f>CALC_CORRELACIONES!F18</f>
        <v/>
      </c>
    </row>
    <row r="242">
      <c r="A242" t="s">
        <v>138</v>
      </c>
      <c r="B242" t="str">
        <f>CALC_CORRELACIONES!A19</f>
        <v>4EEM</v>
      </c>
      <c r="C242" t="str">
        <f>CALC_CORRELACIONES!B19</f>
        <v>Conjunto</v>
      </c>
      <c r="D242" t="str">
        <f>CALC_CORRELACIONES!C19</f>
        <v>Especialidad</v>
      </c>
      <c r="E242" s="14" t="str">
        <f>CALC_CORRELACIONES!D19</f>
        <v/>
      </c>
      <c r="F242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