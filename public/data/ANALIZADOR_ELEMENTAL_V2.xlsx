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<sst xmlns="http://schemas.openxmlformats.org/spreadsheetml/2006/main" count="831" uniqueCount="191">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</sst>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2" t="s">
        <v>8</v>
      </c>
      <c r="K1" s="2" t="s">
        <v>9</v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inlineStr">
        <is>
          <t xml:space="preserve">FI</t>
        </is>
      </c>
    </row>
    <row r="6">
      <c r="A6" t="inlineStr">
        <is>
          <t xml:space="preserve">DobleEspecialidad</t>
        </is>
      </c>
      <c r="B6">
        <f>IFERROR(SUMPRODUCT((DATOS!$G$2:$G$20000=CONFIG_METADATA!$B$4)*(COUNTIFS(CONFIG_ASIGNATURAS!$B$2:$B$27,DATOS!$I$2:$I$20000,CONFIG_ASIGNATURAS!$H$2:$H$27,"Sí",CONFIG_ASIGNATURAS!$G$2:$G$27,"Sí")&gt;0)*1)-COUNTA(_xlfn.UNIQUE(_xlfn._xlws.FILTER(DATOS!$A$2:$A$20000&amp;"|"&amp;DATOS!$I$2:$I$20000,(DATOS!$G$2:$G$20000=CONFIG_METADATA!$B$4)*(COUNTIFS(CONFIG_ASIGNATURAS!$B$2:$B$27,DATOS!$I$2:$I$20000,CONFIG_ASIGNATURAS!$H$2:$H$27,"Sí",CONFIG_ASIGNATURAS!$G$2:$G$27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8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SUMPRODUCT((DATOS!$G$2:$G$20000=CONFIG_METADATA!$B$4)*(COUNTIFS(CONFIG_ASIGNATURAS!$B$5:$B$27,DATOS!$I$2:$I$20000,CONFIG_ASIGNATURAS!$G$5:$G$27,"Sí")&gt;0)*1)</f>
      </c>
      <c r="E3" s="14">
        <f>IFERROR(AVERAGE(IF((DATOS!$G$2:$G$20000=CONFIG_METADATA!$B$4)*(COUNTIFS(CONFIG_ASIGNATURAS!$B$5:$B$27,DATOS!$I$2:$I$20000,CONFIG_ASIGNATURAS!$G$5:$G$27,"Sí")&gt;0),DATOS!$K$2:$K$20000)),"—")</f>
      </c>
      <c r="F3" s="14">
        <f>IFERROR(_xlfn.STDEV.P(IF((DATOS!$G$2:$G$20000=CONFIG_METADATA!$B$4)*(COUNTIFS(CONFIG_ASIGNATURAS!$B$5:$B$27,DATOS!$I$2:$I$20000,CONFIG_ASIGNATURAS!$G$5:$G$27,"Sí")&gt;0),DATOS!$K$2:$K$20000)),"—")</f>
      </c>
      <c r="G3">
        <f>IFERROR(_xlfn.MODE.SNGL(IF((DATOS!$G$2:$G$20000=CONFIG_METADATA!$B$4)*(COUNTIFS(CONFIG_ASIGNATURAS!$B$5:$B$27,DATOS!$I$2:$I$20000,CONFIG_ASIGNATURAS!$G$5:$G$27,"Sí")&gt;0),DATOS!$K$2:$K$20000)),"—")</f>
      </c>
      <c r="H3" s="15">
        <f>IFERROR(SUMPRODUCT((DATOS!$G$2:$G$20000=CONFIG_METADATA!$B$4)*(COUNTIFS(CONFIG_ASIGNATURAS!$B$5:$B$27,DATOS!$I$2:$I$20000,CONFIG_ASIGNATURAS!$G$5:$G$27,"Sí")&gt;0)*(DATOS!$L$2:$L$20000="S"))/SUMPRODUCT((DATOS!$G$2:$G$20000=CONFIG_METADATA!$B$4)*(COUNTIFS(CONFIG_ASIGNATURAS!$B$5:$B$27,DATOS!$I$2:$I$20000,CONFIG_ASIGNATURAS!$G$5:$G$27,"Sí")&gt;0)*1),"—")</f>
      </c>
      <c r="I3" s="15">
        <f>IFERROR(SUMPRODUCT((DATOS!$G$2:$G$20000=CONFIG_METADATA!$B$4)*(COUNTIFS(CONFIG_ASIGNATURAS!$B$5:$B$27,DATOS!$I$2:$I$20000,CONFIG_ASIGNATURAS!$G$5:$G$27,"Sí")&gt;0)*(DATOS!$L$2:$L$20000="N"))/SUMPRODUCT((DATOS!$G$2:$G$20000=CONFIG_METADATA!$B$4)*(COUNTIFS(CONFIG_ASIGNATURAS!$B$5:$B$27,DATOS!$I$2:$I$20000,CONFIG_ASIGNATURAS!$G$5:$G$27,"Sí")&gt;0)*1),"—")</f>
      </c>
      <c r="J3">
        <f>IFERROR(_xlfn.MODE.SNGL(IF((DATOS!$G$2:$G$20000=CONFIG_METADATA!$B$4)*(COUNTIFS(CONFIG_ASIGNATURAS!$B$5:$B$27,DATOS!$I$2:$I$20000,CONFIG_ASIGNATURAS!$G$5:$G$27,"Sí")&gt;0)*(DATOS!$L$2:$L$20000="S"),DATOS!$K$2:$K$20000)),"—")</f>
      </c>
      <c r="K3">
        <f>IFERROR(_xlfn.MODE.SNGL(IF((DATOS!$G$2:$G$20000=CONFIG_METADATA!$B$4)*(COUNTIFS(CONFIG_ASIGNATURAS!$B$5:$B$27,DATOS!$I$2:$I$20000,CONFIG_ASIGNATURAS!$G$5:$G$27,"Sí")&gt;0)*(DATOS!$L$2:$L$20000="N"),DATOS!$K$2:$K$20000)),"—")</f>
      </c>
      <c r="L3">
        <f>SUMPRODUCT((DATOS!$G$2:$G$20000=CONFIG_METADATA!$B$4)*(COUNTIFS(CONFIG_ASIGNATURAS!$B$5:$B$27,DATOS!$I$2:$I$20000,CONFIG_ASIGNATURAS!$G$5:$G$27,"Sí")&gt;0)*(DATOS!$K$2:$K$20000=1))</f>
      </c>
      <c r="M3">
        <f>SUMPRODUCT((DATOS!$G$2:$G$20000=CONFIG_METADATA!$B$4)*(COUNTIFS(CONFIG_ASIGNATURAS!$B$5:$B$27,DATOS!$I$2:$I$20000,CONFIG_ASIGNATURAS!$G$5:$G$27,"Sí")&gt;0)*(DATOS!$K$2:$K$20000=2))</f>
      </c>
      <c r="N3">
        <f>SUMPRODUCT((DATOS!$G$2:$G$20000=CONFIG_METADATA!$B$4)*(COUNTIFS(CONFIG_ASIGNATURAS!$B$5:$B$27,DATOS!$I$2:$I$20000,CONFIG_ASIGNATURAS!$G$5:$G$27,"Sí")&gt;0)*(DATOS!$K$2:$K$20000=3))</f>
      </c>
      <c r="O3">
        <f>SUMPRODUCT((DATOS!$G$2:$G$20000=CONFIG_METADATA!$B$4)*(COUNTIFS(CONFIG_ASIGNATURAS!$B$5:$B$27,DATOS!$I$2:$I$20000,CONFIG_ASIGNATURAS!$G$5:$G$27,"Sí")&gt;0)*(DATOS!$K$2:$K$20000=4))</f>
      </c>
      <c r="P3">
        <f>SUMPRODUCT((DATOS!$G$2:$G$20000=CONFIG_METADATA!$B$4)*(COUNTIFS(CONFIG_ASIGNATURAS!$B$5:$B$27,DATOS!$I$2:$I$20000,CONFIG_ASIGNATURAS!$G$5:$G$27,"Sí")&gt;0)*(DATOS!$K$2:$K$20000=5))</f>
      </c>
      <c r="Q3">
        <f>SUMPRODUCT((DATOS!$G$2:$G$20000=CONFIG_METADATA!$B$4)*(COUNTIFS(CONFIG_ASIGNATURAS!$B$5:$B$27,DATOS!$I$2:$I$20000,CONFIG_ASIGNATURAS!$G$5:$G$27,"Sí")&gt;0)*(DATOS!$K$2:$K$20000=6))</f>
      </c>
      <c r="R3">
        <f>SUMPRODUCT((DATOS!$G$2:$G$20000=CONFIG_METADATA!$B$4)*(COUNTIFS(CONFIG_ASIGNATURAS!$B$5:$B$27,DATOS!$I$2:$I$20000,CONFIG_ASIGNATURAS!$G$5:$G$27,"Sí")&gt;0)*(DATOS!$K$2:$K$20000=7))</f>
      </c>
      <c r="S3">
        <f>SUMPRODUCT((DATOS!$G$2:$G$20000=CONFIG_METADATA!$B$4)*(COUNTIFS(CONFIG_ASIGNATURAS!$B$5:$B$27,DATOS!$I$2:$I$20000,CONFIG_ASIGNATURAS!$G$5:$G$27,"Sí")&gt;0)*(DATOS!$K$2:$K$20000=8))</f>
      </c>
      <c r="T3">
        <f>SUMPRODUCT((DATOS!$G$2:$G$20000=CONFIG_METADATA!$B$4)*(COUNTIFS(CONFIG_ASIGNATURAS!$B$5:$B$27,DATOS!$I$2:$I$20000,CONFIG_ASIGNATURAS!$G$5:$G$27,"Sí")&gt;0)*(DATOS!$K$2:$K$20000=9))</f>
      </c>
      <c r="U3">
        <f>SUMPRODUCT((DATOS!$G$2:$G$20000=CONFIG_METADATA!$B$4)*(COUNTIFS(CONFIG_ASIGNATURAS!$B$5:$B$27,DATOS!$I$2:$I$20000,CONFIG_ASIGNATURAS!$G$5:$G$27,"Sí")&gt;0)*(DATOS!$K$2:$K$20000=10))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SUMPRODUCT((DATOS!$G$2:$G$20000=CONFIG_METADATA!$B$4)*(COUNTIFS(CONFIG_ASIGNATURAS!$B$2:$B$4,DATOS!$I$2:$I$20000,CONFIG_ASIGNATURAS!$G$2:$G$4,"Sí")&gt;0)*1)</f>
      </c>
      <c r="E4" s="14">
        <f>IFERROR(AVERAGE(IF((DATOS!$G$2:$G$20000=CONFIG_METADATA!$B$4)*(COUNTIFS(CONFIG_ASIGNATURAS!$B$2:$B$4,DATOS!$I$2:$I$20000,CONFIG_ASIGNATURAS!$G$2:$G$4,"Sí")&gt;0),DATOS!$K$2:$K$20000)),"—")</f>
      </c>
      <c r="F4" s="14">
        <f>IFERROR(_xlfn.STDEV.P(IF((DATOS!$G$2:$G$20000=CONFIG_METADATA!$B$4)*(COUNTIFS(CONFIG_ASIGNATURAS!$B$2:$B$4,DATOS!$I$2:$I$20000,CONFIG_ASIGNATURAS!$G$2:$G$4,"Sí")&gt;0),DATOS!$K$2:$K$20000)),"—")</f>
      </c>
      <c r="G4">
        <f>IFERROR(_xlfn.MODE.SNGL(IF((DATOS!$G$2:$G$20000=CONFIG_METADATA!$B$4)*(COUNTIFS(CONFIG_ASIGNATURAS!$B$2:$B$4,DATOS!$I$2:$I$20000,CONFIG_ASIGNATURAS!$G$2:$G$4,"Sí")&gt;0),DATOS!$K$2:$K$20000)),"—")</f>
      </c>
      <c r="H4" s="15">
        <f>IFERROR(SUMPRODUCT((DATOS!$G$2:$G$20000=CONFIG_METADATA!$B$4)*(COUNTIFS(CONFIG_ASIGNATURAS!$B$2:$B$4,DATOS!$I$2:$I$20000,CONFIG_ASIGNATURAS!$G$2:$G$4,"Sí")&gt;0)*(DATOS!$L$2:$L$20000="S"))/SUMPRODUCT((DATOS!$G$2:$G$20000=CONFIG_METADATA!$B$4)*(COUNTIFS(CONFIG_ASIGNATURAS!$B$2:$B$4,DATOS!$I$2:$I$20000,CONFIG_ASIGNATURAS!$G$2:$G$4,"Sí")&gt;0)*1),"—")</f>
      </c>
      <c r="I4" s="15">
        <f>IFERROR(SUMPRODUCT((DATOS!$G$2:$G$20000=CONFIG_METADATA!$B$4)*(COUNTIFS(CONFIG_ASIGNATURAS!$B$2:$B$4,DATOS!$I$2:$I$20000,CONFIG_ASIGNATURAS!$G$2:$G$4,"Sí")&gt;0)*(DATOS!$L$2:$L$20000="N"))/SUMPRODUCT((DATOS!$G$2:$G$20000=CONFIG_METADATA!$B$4)*(COUNTIFS(CONFIG_ASIGNATURAS!$B$2:$B$4,DATOS!$I$2:$I$20000,CONFIG_ASIGNATURAS!$G$2:$G$4,"Sí")&gt;0)*1),"—")</f>
      </c>
      <c r="J4">
        <f>IFERROR(_xlfn.MODE.SNGL(IF((DATOS!$G$2:$G$20000=CONFIG_METADATA!$B$4)*(COUNTIFS(CONFIG_ASIGNATURAS!$B$2:$B$4,DATOS!$I$2:$I$20000,CONFIG_ASIGNATURAS!$G$2:$G$4,"Sí")&gt;0)*(DATOS!$L$2:$L$20000="S"),DATOS!$K$2:$K$20000)),"—")</f>
      </c>
      <c r="K4">
        <f>IFERROR(_xlfn.MODE.SNGL(IF((DATOS!$G$2:$G$20000=CONFIG_METADATA!$B$4)*(COUNTIFS(CONFIG_ASIGNATURAS!$B$2:$B$4,DATOS!$I$2:$I$20000,CONFIG_ASIGNATURAS!$G$2:$G$4,"Sí")&gt;0)*(DATOS!$L$2:$L$20000="N"),DATOS!$K$2:$K$20000)),"—")</f>
      </c>
      <c r="L4">
        <f>SUMPRODUCT((DATOS!$G$2:$G$20000=CONFIG_METADATA!$B$4)*(COUNTIFS(CONFIG_ASIGNATURAS!$B$2:$B$4,DATOS!$I$2:$I$20000,CONFIG_ASIGNATURAS!$G$2:$G$4,"Sí")&gt;0)*(DATOS!$K$2:$K$20000=1))</f>
      </c>
      <c r="M4">
        <f>SUMPRODUCT((DATOS!$G$2:$G$20000=CONFIG_METADATA!$B$4)*(COUNTIFS(CONFIG_ASIGNATURAS!$B$2:$B$4,DATOS!$I$2:$I$20000,CONFIG_ASIGNATURAS!$G$2:$G$4,"Sí")&gt;0)*(DATOS!$K$2:$K$20000=2))</f>
      </c>
      <c r="N4">
        <f>SUMPRODUCT((DATOS!$G$2:$G$20000=CONFIG_METADATA!$B$4)*(COUNTIFS(CONFIG_ASIGNATURAS!$B$2:$B$4,DATOS!$I$2:$I$20000,CONFIG_ASIGNATURAS!$G$2:$G$4,"Sí")&gt;0)*(DATOS!$K$2:$K$20000=3))</f>
      </c>
      <c r="O4">
        <f>SUMPRODUCT((DATOS!$G$2:$G$20000=CONFIG_METADATA!$B$4)*(COUNTIFS(CONFIG_ASIGNATURAS!$B$2:$B$4,DATOS!$I$2:$I$20000,CONFIG_ASIGNATURAS!$G$2:$G$4,"Sí")&gt;0)*(DATOS!$K$2:$K$20000=4))</f>
      </c>
      <c r="P4">
        <f>SUMPRODUCT((DATOS!$G$2:$G$20000=CONFIG_METADATA!$B$4)*(COUNTIFS(CONFIG_ASIGNATURAS!$B$2:$B$4,DATOS!$I$2:$I$20000,CONFIG_ASIGNATURAS!$G$2:$G$4,"Sí")&gt;0)*(DATOS!$K$2:$K$20000=5))</f>
      </c>
      <c r="Q4">
        <f>SUMPRODUCT((DATOS!$G$2:$G$20000=CONFIG_METADATA!$B$4)*(COUNTIFS(CONFIG_ASIGNATURAS!$B$2:$B$4,DATOS!$I$2:$I$20000,CONFIG_ASIGNATURAS!$G$2:$G$4,"Sí")&gt;0)*(DATOS!$K$2:$K$20000=6))</f>
      </c>
      <c r="R4">
        <f>SUMPRODUCT((DATOS!$G$2:$G$20000=CONFIG_METADATA!$B$4)*(COUNTIFS(CONFIG_ASIGNATURAS!$B$2:$B$4,DATOS!$I$2:$I$20000,CONFIG_ASIGNATURAS!$G$2:$G$4,"Sí")&gt;0)*(DATOS!$K$2:$K$20000=7))</f>
      </c>
      <c r="S4">
        <f>SUMPRODUCT((DATOS!$G$2:$G$20000=CONFIG_METADATA!$B$4)*(COUNTIFS(CONFIG_ASIGNATURAS!$B$2:$B$4,DATOS!$I$2:$I$20000,CONFIG_ASIGNATURAS!$G$2:$G$4,"Sí")&gt;0)*(DATOS!$K$2:$K$20000=8))</f>
      </c>
      <c r="T4">
        <f>SUMPRODUCT((DATOS!$G$2:$G$20000=CONFIG_METADATA!$B$4)*(COUNTIFS(CONFIG_ASIGNATURAS!$B$2:$B$4,DATOS!$I$2:$I$20000,CONFIG_ASIGNATURAS!$G$2:$G$4,"Sí")&gt;0)*(DATOS!$K$2:$K$20000=9))</f>
      </c>
      <c r="U4">
        <f>SUMPRODUCT((DATOS!$G$2:$G$20000=CONFIG_METADATA!$B$4)*(COUNTIFS(CONFIG_ASIGNATURAS!$B$2:$B$4,DATOS!$I$2:$I$20000,CONFIG_ASIGNATURAS!$G$2:$G$4,"Sí")&gt;0)*(DATOS!$K$2:$K$20000=10))</f>
      </c>
    </row>
    <row r="5" spans="1:22">
      <c r="A5" s="3" t="inlineStr">
        <is>
          <t xml:space="preserve">GLOBAL</t>
        </is>
      </c>
      <c r="B5" s="3">
        <f>IFERROR(INDEX(_xlfn._xlws.FILTER(CONFIG_ASIGNATURAS!$B$2:$B$27,CONFIG_ASIGNATURAS!$G$2:$G$27="Sí"),1),"")</f>
      </c>
      <c r="C5" s="3">
        <f>IF(B5="","",IFERROR(IF(VLOOKUP(B5,CONFIG_ASIGNATURAS!$B$2:$F$27,5,FALSE())="Sí","Especialidad","Asignatura"),"Asignatura"))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>
        <f>IFERROR(INDEX(_xlfn._xlws.FILTER(CONFIG_ASIGNATURAS!$B$2:$B$27,CONFIG_ASIGNATURAS!$G$2:$G$27="Sí"),2),"")</f>
      </c>
      <c r="C6" s="3">
        <f>IF(B6="","",IFERROR(IF(VLOOKUP(B6,CONFIG_ASIGNATURAS!$B$2:$F$27,5,FALSE())="Sí","Especialidad","Asignatura"),"Asignatura"))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>
        <f>IFERROR(INDEX(_xlfn._xlws.FILTER(CONFIG_ASIGNATURAS!$B$2:$B$27,CONFIG_ASIGNATURAS!$G$2:$G$27="Sí"),3),"")</f>
      </c>
      <c r="C7" s="3">
        <f>IF(B7="","",IFERROR(IF(VLOOKUP(B7,CONFIG_ASIGNATURAS!$B$2:$F$27,5,FALSE())="Sí","Especialidad","Asignatura"),"Asignatura"))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>
        <f>IFERROR(INDEX(_xlfn._xlws.FILTER(CONFIG_ASIGNATURAS!$B$2:$B$27,CONFIG_ASIGNATURAS!$G$2:$G$27="Sí"),4),"")</f>
      </c>
      <c r="C8" s="3">
        <f>IF(B8="","",IFERROR(IF(VLOOKUP(B8,CONFIG_ASIGNATURAS!$B$2:$F$27,5,FALSE())="Sí","Especialidad","Asignatura"),"Asignatura"))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>
        <f>IFERROR(INDEX(_xlfn._xlws.FILTER(CONFIG_ASIGNATURAS!$B$2:$B$27,CONFIG_ASIGNATURAS!$G$2:$G$27="Sí"),5),"")</f>
      </c>
      <c r="C9" s="3">
        <f>IF(B9="","",IFERROR(IF(VLOOKUP(B9,CONFIG_ASIGNATURAS!$B$2:$F$27,5,FALSE())="Sí","Especialidad","Asignatura"),"Asignatura"))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>
        <f>IFERROR(INDEX(_xlfn._xlws.FILTER(CONFIG_ASIGNATURAS!$B$2:$B$27,CONFIG_ASIGNATURAS!$G$2:$G$27="Sí"),6),"")</f>
      </c>
      <c r="C10" s="3">
        <f>IF(B10="","",IFERROR(IF(VLOOKUP(B10,CONFIG_ASIGNATURAS!$B$2:$F$27,5,FALSE())="Sí","Especialidad","Asignatura"),"Asignatura"))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>
        <f>IFERROR(INDEX(_xlfn._xlws.FILTER(CONFIG_ASIGNATURAS!$B$2:$B$27,CONFIG_ASIGNATURAS!$G$2:$G$27="Sí"),7),"")</f>
      </c>
      <c r="C11" s="3">
        <f>IF(B11="","",IFERROR(IF(VLOOKUP(B11,CONFIG_ASIGNATURAS!$B$2:$F$27,5,FALSE())="Sí","Especialidad","Asignatura"),"Asignatura"))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>
        <f>IFERROR(INDEX(_xlfn._xlws.FILTER(CONFIG_ASIGNATURAS!$B$2:$B$27,CONFIG_ASIGNATURAS!$G$2:$G$27="Sí"),8),"")</f>
      </c>
      <c r="C12" s="3">
        <f>IF(B12="","",IFERROR(IF(VLOOKUP(B12,CONFIG_ASIGNATURAS!$B$2:$F$27,5,FALSE())="Sí","Especialidad","Asignatura"),"Asignatura"))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>
        <f>IFERROR(INDEX(_xlfn._xlws.FILTER(CONFIG_ASIGNATURAS!$B$2:$B$27,CONFIG_ASIGNATURAS!$G$2:$G$27="Sí"),9),"")</f>
      </c>
      <c r="C13" s="3">
        <f>IF(B13="","",IFERROR(IF(VLOOKUP(B13,CONFIG_ASIGNATURAS!$B$2:$F$27,5,FALSE())="Sí","Especialidad","Asignatura"),"Asignatura"))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>
        <f>IFERROR(INDEX(_xlfn._xlws.FILTER(CONFIG_ASIGNATURAS!$B$2:$B$27,CONFIG_ASIGNATURAS!$G$2:$G$27="Sí"),10),"")</f>
      </c>
      <c r="C14" s="3">
        <f>IF(B14="","",IFERROR(IF(VLOOKUP(B14,CONFIG_ASIGNATURAS!$B$2:$F$27,5,FALSE())="Sí","Especialidad","Asignatura"),"Asignatura"))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>
        <f>IFERROR(INDEX(_xlfn._xlws.FILTER(CONFIG_ASIGNATURAS!$B$2:$B$27,CONFIG_ASIGNATURAS!$G$2:$G$27="Sí"),11),"")</f>
      </c>
      <c r="C15" s="3">
        <f>IF(B15="","",IFERROR(IF(VLOOKUP(B15,CONFIG_ASIGNATURAS!$B$2:$F$27,5,FALSE())="Sí","Especialidad","Asignatura"),"Asignatura"))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>
        <f>IFERROR(INDEX(_xlfn._xlws.FILTER(CONFIG_ASIGNATURAS!$B$2:$B$27,CONFIG_ASIGNATURAS!$G$2:$G$27="Sí"),12),"")</f>
      </c>
      <c r="C16" s="3">
        <f>IF(B16="","",IFERROR(IF(VLOOKUP(B16,CONFIG_ASIGNATURAS!$B$2:$F$27,5,FALSE())="Sí","Especialidad","Asignatura"),"Asignatura"))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>
        <f>IFERROR(INDEX(_xlfn._xlws.FILTER(CONFIG_ASIGNATURAS!$B$2:$B$27,CONFIG_ASIGNATURAS!$G$2:$G$27="Sí"),13),"")</f>
      </c>
      <c r="C17" s="3">
        <f>IF(B17="","",IFERROR(IF(VLOOKUP(B17,CONFIG_ASIGNATURAS!$B$2:$F$27,5,FALSE())="Sí","Especialidad","Asignatura"),"Asignatura"))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>
        <f>IFERROR(INDEX(_xlfn._xlws.FILTER(CONFIG_ASIGNATURAS!$B$2:$B$27,CONFIG_ASIGNATURAS!$G$2:$G$27="Sí"),14),"")</f>
      </c>
      <c r="C18" s="3">
        <f>IF(B18="","",IFERROR(IF(VLOOKUP(B18,CONFIG_ASIGNATURAS!$B$2:$F$27,5,FALSE())="Sí","Especialidad","Asignatura"),"Asignatura"))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>
        <f>IFERROR(INDEX(_xlfn._xlws.FILTER(CONFIG_ASIGNATURAS!$B$2:$B$27,CONFIG_ASIGNATURAS!$G$2:$G$27="Sí"),15),"")</f>
      </c>
      <c r="C19" s="3">
        <f>IF(B19="","",IFERROR(IF(VLOOKUP(B19,CONFIG_ASIGNATURAS!$B$2:$F$27,5,FALSE())="Sí","Especialidad","Asignatura"),"Asignatura"))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>
        <f>IFERROR(INDEX(_xlfn._xlws.FILTER(CONFIG_ASIGNATURAS!$B$2:$B$27,CONFIG_ASIGNATURAS!$G$2:$G$27="Sí"),16),"")</f>
      </c>
      <c r="C20" s="3">
        <f>IF(B20="","",IFERROR(IF(VLOOKUP(B20,CONFIG_ASIGNATURAS!$B$2:$F$27,5,FALSE())="Sí","Especialidad","Asignatura"),"Asignatura"))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>
        <f>IFERROR(INDEX(_xlfn._xlws.FILTER(CONFIG_ASIGNATURAS!$B$2:$B$27,CONFIG_ASIGNATURAS!$G$2:$G$27="Sí"),17),"")</f>
      </c>
      <c r="C21" s="3">
        <f>IF(B21="","",IFERROR(IF(VLOOKUP(B21,CONFIG_ASIGNATURAS!$B$2:$F$27,5,FALSE())="Sí","Especialidad","Asignatura"),"Asignatura"))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>
        <f>IFERROR(INDEX(_xlfn._xlws.FILTER(CONFIG_ASIGNATURAS!$B$2:$B$27,CONFIG_ASIGNATURAS!$G$2:$G$27="Sí"),18),"")</f>
      </c>
      <c r="C22" s="3">
        <f>IF(B22="","",IFERROR(IF(VLOOKUP(B22,CONFIG_ASIGNATURAS!$B$2:$F$27,5,FALSE())="Sí","Especialidad","Asignatura"),"Asignatura"))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>
        <f>IFERROR(INDEX(_xlfn._xlws.FILTER(CONFIG_ASIGNATURAS!$B$2:$B$27,CONFIG_ASIGNATURAS!$G$2:$G$27="Sí"),19),"")</f>
      </c>
      <c r="C23" s="3">
        <f>IF(B23="","",IFERROR(IF(VLOOKUP(B23,CONFIG_ASIGNATURAS!$B$2:$F$27,5,FALSE())="Sí","Especialidad","Asignatura"),"Asignatura"))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>
        <f>IFERROR(INDEX(_xlfn._xlws.FILTER(CONFIG_ASIGNATURAS!$B$2:$B$27,CONFIG_ASIGNATURAS!$G$2:$G$27="Sí"),20),"")</f>
      </c>
      <c r="C24" s="3">
        <f>IF(B24="","",IFERROR(IF(VLOOKUP(B24,CONFIG_ASIGNATURAS!$B$2:$F$27,5,FALSE())="Sí","Especialidad","Asignatura"),"Asignatura"))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>
        <f>IFERROR(INDEX(_xlfn._xlws.FILTER(CONFIG_ASIGNATURAS!$B$2:$B$27,CONFIG_ASIGNATURAS!$G$2:$G$27="Sí"),21),"")</f>
      </c>
      <c r="C25" s="3">
        <f>IF(B25="","",IFERROR(IF(VLOOKUP(B25,CONFIG_ASIGNATURAS!$B$2:$F$27,5,FALSE())="Sí","Especialidad","Asignatura"),"Asignatura"))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>
        <f>IFERROR(INDEX(_xlfn._xlws.FILTER(CONFIG_ASIGNATURAS!$B$2:$B$27,CONFIG_ASIGNATURAS!$G$2:$G$27="Sí"),22),"")</f>
      </c>
      <c r="C26" s="3">
        <f>IF(B26="","",IFERROR(IF(VLOOKUP(B26,CONFIG_ASIGNATURAS!$B$2:$F$27,5,FALSE())="Sí","Especialidad","Asignatura"),"Asignatura"))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>
        <f>IFERROR(INDEX(_xlfn._xlws.FILTER(CONFIG_ASIGNATURAS!$B$2:$B$27,CONFIG_ASIGNATURAS!$G$2:$G$27="Sí"),23),"")</f>
      </c>
      <c r="C27" s="3">
        <f>IF(B27="","",IFERROR(IF(VLOOKUP(B27,CONFIG_ASIGNATURAS!$B$2:$F$27,5,FALSE())="Sí","Especialidad","Asignatura"),"Asignatura"))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>
        <f>IFERROR(INDEX(_xlfn._xlws.FILTER(CONFIG_ASIGNATURAS!$B$2:$B$27,CONFIG_ASIGNATURAS!$G$2:$G$27="Sí"),24),"")</f>
      </c>
      <c r="C28" s="3">
        <f>IF(B28="","",IFERROR(IF(VLOOKUP(B28,CONFIG_ASIGNATURAS!$B$2:$F$27,5,FALSE())="Sí","Especialidad","Asignatura"),"Asignatura"))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>
        <f>IFERROR(INDEX(_xlfn._xlws.FILTER(CONFIG_ASIGNATURAS!$B$2:$B$27,CONFIG_ASIGNATURAS!$G$2:$G$27="Sí"),25),"")</f>
      </c>
      <c r="C29" s="3">
        <f>IF(B29="","",IFERROR(IF(VLOOKUP(B29,CONFIG_ASIGNATURAS!$B$2:$F$27,5,FALSE())="Sí","Especialidad","Asignatura"),"Asignatura"))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>
        <f>IFERROR(INDEX(_xlfn._xlws.FILTER(CONFIG_ASIGNATURAS!$B$2:$B$27,CONFIG_ASIGNATURAS!$G$2:$G$27="Sí"),26),"")</f>
      </c>
      <c r="C30" s="3">
        <f>IF(B30="","",IFERROR(IF(VLOOKUP(B30,CONFIG_ASIGNATURAS!$B$2:$F$27,5,FALSE())="Sí","Especialidad","Asignatura"),"Asignatura"))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>
        <f>IFERROR(INDEX(_xlfn._xlws.FILTER(CONFIG_ASIGNATURAS!$B$2:$B$27,CONFIG_ASIGNATURAS!$G$2:$G$27="Sí"),27),"")</f>
      </c>
      <c r="C31" s="3">
        <f>IF(B31="","",IFERROR(IF(VLOOKUP(B31,CONFIG_ASIGNATURAS!$B$2:$F$27,5,FALSE())="Sí","Especialidad","Asignatura"),"Asignatura"))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>
        <f>IFERROR(INDEX(_xlfn._xlws.FILTER(CONFIG_ASIGNATURAS!$B$2:$B$27,CONFIG_ASIGNATURAS!$G$2:$G$27="Sí"),28),"")</f>
      </c>
      <c r="C32" s="3">
        <f>IF(B32="","",IFERROR(IF(VLOOKUP(B32,CONFIG_ASIGNATURAS!$B$2:$F$27,5,FALSE())="Sí","Especialidad","Asignatura"),"Asignatura"))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>
        <f>IFERROR(INDEX(_xlfn._xlws.FILTER(CONFIG_ASIGNATURAS!$B$2:$B$27,CONFIG_ASIGNATURAS!$G$2:$G$27="Sí"),29),"")</f>
      </c>
      <c r="C33" s="3">
        <f>IF(B33="","",IFERROR(IF(VLOOKUP(B33,CONFIG_ASIGNATURAS!$B$2:$F$27,5,FALSE())="Sí","Especialidad","Asignatura"),"Asignatura"))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>
        <f>IFERROR(INDEX(_xlfn._xlws.FILTER(CONFIG_ASIGNATURAS!$B$2:$B$27,CONFIG_ASIGNATURAS!$G$2:$G$27="Sí"),30),"")</f>
      </c>
      <c r="C34" s="3">
        <f>IF(B34="","",IFERROR(IF(VLOOKUP(B34,CONFIG_ASIGNATURAS!$B$2:$F$27,5,FALSE())="Sí","Especialidad","Asignatura"),"Asignatura"))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>
        <f>IFERROR(INDEX(_xlfn._xlws.FILTER(CONFIG_ASIGNATURAS!$B$2:$B$27,CONFIG_ASIGNATURAS!$G$2:$G$27="Sí"),31),"")</f>
      </c>
      <c r="C35" s="3">
        <f>IF(B35="","",IFERROR(IF(VLOOKUP(B35,CONFIG_ASIGNATURAS!$B$2:$F$27,5,FALSE())="Sí","Especialidad","Asignatura"),"Asignatura"))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>
        <f>IFERROR(INDEX(_xlfn._xlws.FILTER(CONFIG_ASIGNATURAS!$B$2:$B$27,CONFIG_ASIGNATURAS!$G$2:$G$27="Sí"),32),"")</f>
      </c>
      <c r="C36" s="3">
        <f>IF(B36="","",IFERROR(IF(VLOOKUP(B36,CONFIG_ASIGNATURAS!$B$2:$F$27,5,FALSE())="Sí","Especialidad","Asignatura"),"Asignatura"))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>
        <f>IFERROR(INDEX(_xlfn._xlws.FILTER(CONFIG_ASIGNATURAS!$B$2:$B$27,CONFIG_ASIGNATURAS!$G$2:$G$27="Sí"),33),"")</f>
      </c>
      <c r="C37" s="3">
        <f>IF(B37="","",IFERROR(IF(VLOOKUP(B37,CONFIG_ASIGNATURAS!$B$2:$F$27,5,FALSE())="Sí","Especialidad","Asignatura"),"Asignatura"))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>
        <f>IFERROR(INDEX(_xlfn._xlws.FILTER(CONFIG_ASIGNATURAS!$B$2:$B$27,CONFIG_ASIGNATURAS!$G$2:$G$27="Sí"),34),"")</f>
      </c>
      <c r="C38" s="3">
        <f>IF(B38="","",IFERROR(IF(VLOOKUP(B38,CONFIG_ASIGNATURAS!$B$2:$F$27,5,FALSE())="Sí","Especialidad","Asignatura"),"Asignatura"))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1EEM</t>
        </is>
      </c>
      <c r="B39" s="3" t="inlineStr">
        <is>
          <t xml:space="preserve">Total</t>
        </is>
      </c>
      <c r="C39" s="3" t="inlineStr">
        <is>
          <t xml:space="preserve">Total</t>
        </is>
      </c>
      <c r="D39">
        <f>COUNTIFS(DATOS!G:G,CONFIG_METADATA!$B$4,DATOS!D:D,A39)</f>
        <v>0</v>
      </c>
      <c r="E39" s="14" t="str">
        <f>IFERROR(AVERAGEIFS(DATOS!K:K,DATOS!G:G,CONFIG_METADATA!$B$4,DATOS!D:D,A39),"—")</f>
        <v>—</v>
      </c>
      <c r="F39" s="14" t="str" cm="1">
        <f t="array" ref="F39">IFERROR(_xlfn.STDEV.P(IF((DATOS!$G$2:$G$20000=CONFIG_METADATA!$B$4)*(DATOS!$D$2:$D$20000=A39),DATOS!$K$2:$K$20000)),"—")</f>
        <v>—</v>
      </c>
      <c r="G39" t="str" cm="1">
        <f t="array" ref="G39">IFERROR(_xlfn.MODE.SNGL(IF((DATOS!$G$2:$G$20000=CONFIG_METADATA!$B$4)*(DATOS!$D$2:$D$20000=A39),DATOS!$K$2:$K$20000)),"—")</f>
        <v>—</v>
      </c>
      <c r="H39" s="15" t="str">
        <f>IFERROR(COUNTIFS(DATOS!$G$2:$G$20000,CONFIG_METADATA!$B$4,DATOS!$D$2:$D$20000,A39,DATOS!$L$2:$L$20000,"S")/COUNTIFS(DATOS!$G$2:$G$20000,CONFIG_METADATA!$B$4,DATOS!$D$2:$D$20000,A39),"—")</f>
        <v>—</v>
      </c>
      <c r="I39" s="15" t="str">
        <f>IFERROR(COUNTIFS(DATOS!$G$2:$G$20000,CONFIG_METADATA!$B$4,DATOS!$D$2:$D$20000,A39,DATOS!$L$2:$L$20000,"N")/COUNTIFS(DATOS!$G$2:$G$20000,CONFIG_METADATA!$B$4,DATOS!$D$2:$D$20000,A39),"—")</f>
        <v>—</v>
      </c>
      <c r="J39" t="str" cm="1">
        <f t="array" ref="J39">IFERROR(_xlfn.MODE.SNGL(IF((DATOS!$G$2:$G$20000=CONFIG_METADATA!$B$4)*(DATOS!$D$2:$D$20000=A39)*(DATOS!$L$2:$L$20000="S"),DATOS!$K$2:$K$20000)),"—")</f>
        <v>—</v>
      </c>
      <c r="K39" t="str" cm="1">
        <f t="array" ref="K39">IFERROR(_xlfn.MODE.SNGL(IF((DATOS!$G$2:$G$20000=CONFIG_METADATA!$B$4)*(DATOS!$D$2:$D$20000=A39)*(DATOS!$L$2:$L$20000="N"),DATOS!$K$2:$K$20000)),"—")</f>
        <v>—</v>
      </c>
      <c r="L39" cm="1">
        <f t="array" ref="L39">SUMPRODUCT((DATOS!$G$2:$G$20000=CONFIG_METADATA!$B$4)*(DATOS!$D$2:$D$20000=A39)*(DATOS!$K$2:$K$20000=1))</f>
        <v>0</v>
      </c>
      <c r="M39" cm="1">
        <f t="array" ref="M39">SUMPRODUCT((DATOS!$G$2:$G$20000=CONFIG_METADATA!$B$4)*(DATOS!$D$2:$D$20000=A39)*(DATOS!$K$2:$K$20000=2))</f>
        <v>0</v>
      </c>
      <c r="N39" cm="1">
        <f t="array" ref="N39">SUMPRODUCT((DATOS!$G$2:$G$20000=CONFIG_METADATA!$B$4)*(DATOS!$D$2:$D$20000=A39)*(DATOS!$K$2:$K$20000=3))</f>
        <v>0</v>
      </c>
      <c r="O39" cm="1">
        <f t="array" ref="O39">SUMPRODUCT((DATOS!$G$2:$G$20000=CONFIG_METADATA!$B$4)*(DATOS!$D$2:$D$20000=A39)*(DATOS!$K$2:$K$20000=4))</f>
        <v>0</v>
      </c>
      <c r="P39" cm="1">
        <f t="array" ref="P39">SUMPRODUCT((DATOS!$G$2:$G$20000=CONFIG_METADATA!$B$4)*(DATOS!$D$2:$D$20000=A39)*(DATOS!$K$2:$K$20000=5))</f>
        <v>0</v>
      </c>
      <c r="Q39" cm="1">
        <f t="array" ref="Q39">SUMPRODUCT((DATOS!$G$2:$G$20000=CONFIG_METADATA!$B$4)*(DATOS!$D$2:$D$20000=A39)*(DATOS!$K$2:$K$20000=6))</f>
        <v>0</v>
      </c>
      <c r="R39" cm="1">
        <f t="array" ref="R39">SUMPRODUCT((DATOS!$G$2:$G$20000=CONFIG_METADATA!$B$4)*(DATOS!$D$2:$D$20000=A39)*(DATOS!$K$2:$K$20000=7))</f>
        <v>0</v>
      </c>
      <c r="S39" cm="1">
        <f t="array" ref="S39">SUMPRODUCT((DATOS!$G$2:$G$20000=CONFIG_METADATA!$B$4)*(DATOS!$D$2:$D$20000=A39)*(DATOS!$K$2:$K$20000=8))</f>
        <v>0</v>
      </c>
      <c r="T39" cm="1">
        <f t="array" ref="T39">SUMPRODUCT((DATOS!$G$2:$G$20000=CONFIG_METADATA!$B$4)*(DATOS!$D$2:$D$20000=A39)*(DATOS!$K$2:$K$20000=9))</f>
        <v>0</v>
      </c>
      <c r="U39" cm="1">
        <f t="array" ref="U39">SUMPRODUCT((DATOS!$G$2:$G$20000=CONFIG_METADATA!$B$4)*(DATOS!$D$2:$D$20000=A39)*(DATOS!$K$2:$K$20000=10))</f>
        <v>0</v>
      </c>
    </row>
    <row r="40" spans="1:22">
      <c r="A40" s="3" t="inlineStr">
        <is>
          <t xml:space="preserve">1EEM</t>
        </is>
      </c>
      <c r="B40" s="3" t="inlineStr">
        <is>
          <t xml:space="preserve">Total Especialidad</t>
        </is>
      </c>
      <c r="C40" s="3" t="inlineStr">
        <is>
          <t xml:space="preserve">TotalEsp</t>
        </is>
      </c>
      <c r="D40">
        <f>SUMPRODUCT((DATOS!$G$2:$G$20000=CONFIG_METADATA!$B$4)*(DATOS!$D$2:$D$20000=A40)*(COUNTIFS(CONFIG_ASIGNATURAS!$B$5:$B$27,DATOS!$I$2:$I$20000,CONFIG_ASIGNATURAS!$G$5:$G$27,"Sí")&gt;0)*1)</f>
      </c>
      <c r="E40" s="14">
        <f>IFERROR(AVERAGE(IF((DATOS!$G$2:$G$20000=CONFIG_METADATA!$B$4)*(DATOS!$D$2:$D$20000=A40)*(COUNTIFS(CONFIG_ASIGNATURAS!$B$5:$B$27,DATOS!$I$2:$I$20000,CONFIG_ASIGNATURAS!$G$5:$G$27,"Sí")&gt;0),DATOS!$K$2:$K$20000)),"—")</f>
      </c>
      <c r="F40" s="14">
        <f>IFERROR(_xlfn.STDEV.P(IF((DATOS!$G$2:$G$20000=CONFIG_METADATA!$B$4)*(DATOS!$D$2:$D$20000=A40)*(COUNTIFS(CONFIG_ASIGNATURAS!$B$5:$B$27,DATOS!$I$2:$I$20000,CONFIG_ASIGNATURAS!$G$5:$G$27,"Sí")&gt;0),DATOS!$K$2:$K$20000)),"—")</f>
      </c>
      <c r="G40">
        <f>IFERROR(_xlfn.MODE.SNGL(IF((DATOS!$G$2:$G$20000=CONFIG_METADATA!$B$4)*(DATOS!$D$2:$D$20000=A40)*(COUNTIFS(CONFIG_ASIGNATURAS!$B$5:$B$27,DATOS!$I$2:$I$20000,CONFIG_ASIGNATURAS!$G$5:$G$27,"Sí")&gt;0),DATOS!$K$2:$K$20000)),"—")</f>
      </c>
      <c r="H40" s="15">
        <f>IFERROR(SUMPRODUCT((DATOS!$G$2:$G$20000=CONFIG_METADATA!$B$4)*(DATOS!$D$2:$D$20000=A40)*(COUNTIFS(CONFIG_ASIGNATURAS!$B$5:$B$27,DATOS!$I$2:$I$20000,CONFIG_ASIGNATURAS!$G$5:$G$27,"Sí")&gt;0)*(DATOS!$L$2:$L$20000="S"))/SUMPRODUCT((DATOS!$G$2:$G$20000=CONFIG_METADATA!$B$4)*(DATOS!$D$2:$D$20000=A40)*(COUNTIFS(CONFIG_ASIGNATURAS!$B$5:$B$27,DATOS!$I$2:$I$20000,CONFIG_ASIGNATURAS!$G$5:$G$27,"Sí")&gt;0)*1),"—")</f>
      </c>
      <c r="I40" s="15">
        <f>IFERROR(SUMPRODUCT((DATOS!$G$2:$G$20000=CONFIG_METADATA!$B$4)*(DATOS!$D$2:$D$20000=A40)*(COUNTIFS(CONFIG_ASIGNATURAS!$B$5:$B$27,DATOS!$I$2:$I$20000,CONFIG_ASIGNATURAS!$G$5:$G$27,"Sí")&gt;0)*(DATOS!$L$2:$L$20000="N"))/SUMPRODUCT((DATOS!$G$2:$G$20000=CONFIG_METADATA!$B$4)*(DATOS!$D$2:$D$20000=A40)*(COUNTIFS(CONFIG_ASIGNATURAS!$B$5:$B$27,DATOS!$I$2:$I$20000,CONFIG_ASIGNATURAS!$G$5:$G$27,"Sí")&gt;0)*1),"—")</f>
      </c>
      <c r="J40">
        <f>IFERROR(_xlfn.MODE.SNGL(IF((DATOS!$G$2:$G$20000=CONFIG_METADATA!$B$4)*(DATOS!$D$2:$D$20000=A40)*(COUNTIFS(CONFIG_ASIGNATURAS!$B$5:$B$27,DATOS!$I$2:$I$20000,CONFIG_ASIGNATURAS!$G$5:$G$27,"Sí")&gt;0)*(DATOS!$L$2:$L$20000="S"),DATOS!$K$2:$K$20000)),"—")</f>
      </c>
      <c r="K40">
        <f>IFERROR(_xlfn.MODE.SNGL(IF((DATOS!$G$2:$G$20000=CONFIG_METADATA!$B$4)*(DATOS!$D$2:$D$20000=A40)*(COUNTIFS(CONFIG_ASIGNATURAS!$B$5:$B$27,DATOS!$I$2:$I$20000,CONFIG_ASIGNATURAS!$G$5:$G$27,"Sí")&gt;0)*(DATOS!$L$2:$L$20000="N"),DATOS!$K$2:$K$20000)),"—")</f>
      </c>
      <c r="L40">
        <f>SUMPRODUCT((DATOS!$G$2:$G$20000=CONFIG_METADATA!$B$4)*(DATOS!$D$2:$D$20000=A40)*(COUNTIFS(CONFIG_ASIGNATURAS!$B$5:$B$27,DATOS!$I$2:$I$20000,CONFIG_ASIGNATURAS!$G$5:$G$27,"Sí")&gt;0)*(DATOS!$K$2:$K$20000=1))</f>
      </c>
      <c r="M40">
        <f>SUMPRODUCT((DATOS!$G$2:$G$20000=CONFIG_METADATA!$B$4)*(DATOS!$D$2:$D$20000=A40)*(COUNTIFS(CONFIG_ASIGNATURAS!$B$5:$B$27,DATOS!$I$2:$I$20000,CONFIG_ASIGNATURAS!$G$5:$G$27,"Sí")&gt;0)*(DATOS!$K$2:$K$20000=2))</f>
      </c>
      <c r="N40">
        <f>SUMPRODUCT((DATOS!$G$2:$G$20000=CONFIG_METADATA!$B$4)*(DATOS!$D$2:$D$20000=A40)*(COUNTIFS(CONFIG_ASIGNATURAS!$B$5:$B$27,DATOS!$I$2:$I$20000,CONFIG_ASIGNATURAS!$G$5:$G$27,"Sí")&gt;0)*(DATOS!$K$2:$K$20000=3))</f>
      </c>
      <c r="O40">
        <f>SUMPRODUCT((DATOS!$G$2:$G$20000=CONFIG_METADATA!$B$4)*(DATOS!$D$2:$D$20000=A40)*(COUNTIFS(CONFIG_ASIGNATURAS!$B$5:$B$27,DATOS!$I$2:$I$20000,CONFIG_ASIGNATURAS!$G$5:$G$27,"Sí")&gt;0)*(DATOS!$K$2:$K$20000=4))</f>
      </c>
      <c r="P40">
        <f>SUMPRODUCT((DATOS!$G$2:$G$20000=CONFIG_METADATA!$B$4)*(DATOS!$D$2:$D$20000=A40)*(COUNTIFS(CONFIG_ASIGNATURAS!$B$5:$B$27,DATOS!$I$2:$I$20000,CONFIG_ASIGNATURAS!$G$5:$G$27,"Sí")&gt;0)*(DATOS!$K$2:$K$20000=5))</f>
      </c>
      <c r="Q40">
        <f>SUMPRODUCT((DATOS!$G$2:$G$20000=CONFIG_METADATA!$B$4)*(DATOS!$D$2:$D$20000=A40)*(COUNTIFS(CONFIG_ASIGNATURAS!$B$5:$B$27,DATOS!$I$2:$I$20000,CONFIG_ASIGNATURAS!$G$5:$G$27,"Sí")&gt;0)*(DATOS!$K$2:$K$20000=6))</f>
      </c>
      <c r="R40">
        <f>SUMPRODUCT((DATOS!$G$2:$G$20000=CONFIG_METADATA!$B$4)*(DATOS!$D$2:$D$20000=A40)*(COUNTIFS(CONFIG_ASIGNATURAS!$B$5:$B$27,DATOS!$I$2:$I$20000,CONFIG_ASIGNATURAS!$G$5:$G$27,"Sí")&gt;0)*(DATOS!$K$2:$K$20000=7))</f>
      </c>
      <c r="S40">
        <f>SUMPRODUCT((DATOS!$G$2:$G$20000=CONFIG_METADATA!$B$4)*(DATOS!$D$2:$D$20000=A40)*(COUNTIFS(CONFIG_ASIGNATURAS!$B$5:$B$27,DATOS!$I$2:$I$20000,CONFIG_ASIGNATURAS!$G$5:$G$27,"Sí")&gt;0)*(DATOS!$K$2:$K$20000=8))</f>
      </c>
      <c r="T40">
        <f>SUMPRODUCT((DATOS!$G$2:$G$20000=CONFIG_METADATA!$B$4)*(DATOS!$D$2:$D$20000=A40)*(COUNTIFS(CONFIG_ASIGNATURAS!$B$5:$B$27,DATOS!$I$2:$I$20000,CONFIG_ASIGNATURAS!$G$5:$G$27,"Sí")&gt;0)*(DATOS!$K$2:$K$20000=9))</f>
      </c>
      <c r="U40">
        <f>SUMPRODUCT((DATOS!$G$2:$G$20000=CONFIG_METADATA!$B$4)*(DATOS!$D$2:$D$20000=A40)*(COUNTIFS(CONFIG_ASIGNATURAS!$B$5:$B$27,DATOS!$I$2:$I$20000,CONFIG_ASIGNATURAS!$G$5:$G$27,"Sí")&gt;0)*(DATOS!$K$2:$K$20000=10))</f>
      </c>
    </row>
    <row r="41" spans="1:22">
      <c r="A41" s="3" t="inlineStr">
        <is>
          <t xml:space="preserve">1EEM</t>
        </is>
      </c>
      <c r="B41" s="3" t="inlineStr">
        <is>
          <t xml:space="preserve">Total no Especialidad</t>
        </is>
      </c>
      <c r="C41" s="3" t="inlineStr">
        <is>
          <t xml:space="preserve">TotalNoEsp</t>
        </is>
      </c>
      <c r="D41">
        <f>SUMPRODUCT((DATOS!$G$2:$G$20000=CONFIG_METADATA!$B$4)*(DATOS!$D$2:$D$20000=A41)*(COUNTIFS(CONFIG_ASIGNATURAS!$B$2:$B$4,DATOS!$I$2:$I$20000,CONFIG_ASIGNATURAS!$G$2:$G$4,"Sí")&gt;0)*1)</f>
      </c>
      <c r="E41" s="14">
        <f>IFERROR(AVERAGE(IF((DATOS!$G$2:$G$20000=CONFIG_METADATA!$B$4)*(DATOS!$D$2:$D$20000=A41)*(COUNTIFS(CONFIG_ASIGNATURAS!$B$2:$B$4,DATOS!$I$2:$I$20000,CONFIG_ASIGNATURAS!$G$2:$G$4,"Sí")&gt;0),DATOS!$K$2:$K$20000)),"—")</f>
      </c>
      <c r="F41" s="14">
        <f>IFERROR(_xlfn.STDEV.P(IF((DATOS!$G$2:$G$20000=CONFIG_METADATA!$B$4)*(DATOS!$D$2:$D$20000=A41)*(COUNTIFS(CONFIG_ASIGNATURAS!$B$2:$B$4,DATOS!$I$2:$I$20000,CONFIG_ASIGNATURAS!$G$2:$G$4,"Sí")&gt;0),DATOS!$K$2:$K$20000)),"—")</f>
      </c>
      <c r="G41">
        <f>IFERROR(_xlfn.MODE.SNGL(IF((DATOS!$G$2:$G$20000=CONFIG_METADATA!$B$4)*(DATOS!$D$2:$D$20000=A41)*(COUNTIFS(CONFIG_ASIGNATURAS!$B$2:$B$4,DATOS!$I$2:$I$20000,CONFIG_ASIGNATURAS!$G$2:$G$4,"Sí")&gt;0),DATOS!$K$2:$K$20000)),"—")</f>
      </c>
      <c r="H41" s="15">
        <f>IFERROR(SUMPRODUCT((DATOS!$G$2:$G$20000=CONFIG_METADATA!$B$4)*(DATOS!$D$2:$D$20000=A41)*(COUNTIFS(CONFIG_ASIGNATURAS!$B$2:$B$4,DATOS!$I$2:$I$20000,CONFIG_ASIGNATURAS!$G$2:$G$4,"Sí")&gt;0)*(DATOS!$L$2:$L$20000="S"))/SUMPRODUCT((DATOS!$G$2:$G$20000=CONFIG_METADATA!$B$4)*(DATOS!$D$2:$D$20000=A41)*(COUNTIFS(CONFIG_ASIGNATURAS!$B$2:$B$4,DATOS!$I$2:$I$20000,CONFIG_ASIGNATURAS!$G$2:$G$4,"Sí")&gt;0)*1),"—")</f>
      </c>
      <c r="I41" s="15">
        <f>IFERROR(SUMPRODUCT((DATOS!$G$2:$G$20000=CONFIG_METADATA!$B$4)*(DATOS!$D$2:$D$20000=A41)*(COUNTIFS(CONFIG_ASIGNATURAS!$B$2:$B$4,DATOS!$I$2:$I$20000,CONFIG_ASIGNATURAS!$G$2:$G$4,"Sí")&gt;0)*(DATOS!$L$2:$L$20000="N"))/SUMPRODUCT((DATOS!$G$2:$G$20000=CONFIG_METADATA!$B$4)*(DATOS!$D$2:$D$20000=A41)*(COUNTIFS(CONFIG_ASIGNATURAS!$B$2:$B$4,DATOS!$I$2:$I$20000,CONFIG_ASIGNATURAS!$G$2:$G$4,"Sí")&gt;0)*1),"—")</f>
      </c>
      <c r="J41">
        <f>IFERROR(_xlfn.MODE.SNGL(IF((DATOS!$G$2:$G$20000=CONFIG_METADATA!$B$4)*(DATOS!$D$2:$D$20000=A41)*(COUNTIFS(CONFIG_ASIGNATURAS!$B$2:$B$4,DATOS!$I$2:$I$20000,CONFIG_ASIGNATURAS!$G$2:$G$4,"Sí")&gt;0)*(DATOS!$L$2:$L$20000="S"),DATOS!$K$2:$K$20000)),"—")</f>
      </c>
      <c r="K41">
        <f>IFERROR(_xlfn.MODE.SNGL(IF((DATOS!$G$2:$G$20000=CONFIG_METADATA!$B$4)*(DATOS!$D$2:$D$20000=A41)*(COUNTIFS(CONFIG_ASIGNATURAS!$B$2:$B$4,DATOS!$I$2:$I$20000,CONFIG_ASIGNATURAS!$G$2:$G$4,"Sí")&gt;0)*(DATOS!$L$2:$L$20000="N"),DATOS!$K$2:$K$20000)),"—")</f>
      </c>
      <c r="L41">
        <f>SUMPRODUCT((DATOS!$G$2:$G$20000=CONFIG_METADATA!$B$4)*(DATOS!$D$2:$D$20000=A41)*(COUNTIFS(CONFIG_ASIGNATURAS!$B$2:$B$4,DATOS!$I$2:$I$20000,CONFIG_ASIGNATURAS!$G$2:$G$4,"Sí")&gt;0)*(DATOS!$K$2:$K$20000=1))</f>
      </c>
      <c r="M41">
        <f>SUMPRODUCT((DATOS!$G$2:$G$20000=CONFIG_METADATA!$B$4)*(DATOS!$D$2:$D$20000=A41)*(COUNTIFS(CONFIG_ASIGNATURAS!$B$2:$B$4,DATOS!$I$2:$I$20000,CONFIG_ASIGNATURAS!$G$2:$G$4,"Sí")&gt;0)*(DATOS!$K$2:$K$20000=2))</f>
      </c>
      <c r="N41">
        <f>SUMPRODUCT((DATOS!$G$2:$G$20000=CONFIG_METADATA!$B$4)*(DATOS!$D$2:$D$20000=A41)*(COUNTIFS(CONFIG_ASIGNATURAS!$B$2:$B$4,DATOS!$I$2:$I$20000,CONFIG_ASIGNATURAS!$G$2:$G$4,"Sí")&gt;0)*(DATOS!$K$2:$K$20000=3))</f>
      </c>
      <c r="O41">
        <f>SUMPRODUCT((DATOS!$G$2:$G$20000=CONFIG_METADATA!$B$4)*(DATOS!$D$2:$D$20000=A41)*(COUNTIFS(CONFIG_ASIGNATURAS!$B$2:$B$4,DATOS!$I$2:$I$20000,CONFIG_ASIGNATURAS!$G$2:$G$4,"Sí")&gt;0)*(DATOS!$K$2:$K$20000=4))</f>
      </c>
      <c r="P41">
        <f>SUMPRODUCT((DATOS!$G$2:$G$20000=CONFIG_METADATA!$B$4)*(DATOS!$D$2:$D$20000=A41)*(COUNTIFS(CONFIG_ASIGNATURAS!$B$2:$B$4,DATOS!$I$2:$I$20000,CONFIG_ASIGNATURAS!$G$2:$G$4,"Sí")&gt;0)*(DATOS!$K$2:$K$20000=5))</f>
      </c>
      <c r="Q41">
        <f>SUMPRODUCT((DATOS!$G$2:$G$20000=CONFIG_METADATA!$B$4)*(DATOS!$D$2:$D$20000=A41)*(COUNTIFS(CONFIG_ASIGNATURAS!$B$2:$B$4,DATOS!$I$2:$I$20000,CONFIG_ASIGNATURAS!$G$2:$G$4,"Sí")&gt;0)*(DATOS!$K$2:$K$20000=6))</f>
      </c>
      <c r="R41">
        <f>SUMPRODUCT((DATOS!$G$2:$G$20000=CONFIG_METADATA!$B$4)*(DATOS!$D$2:$D$20000=A41)*(COUNTIFS(CONFIG_ASIGNATURAS!$B$2:$B$4,DATOS!$I$2:$I$20000,CONFIG_ASIGNATURAS!$G$2:$G$4,"Sí")&gt;0)*(DATOS!$K$2:$K$20000=7))</f>
      </c>
      <c r="S41">
        <f>SUMPRODUCT((DATOS!$G$2:$G$20000=CONFIG_METADATA!$B$4)*(DATOS!$D$2:$D$20000=A41)*(COUNTIFS(CONFIG_ASIGNATURAS!$B$2:$B$4,DATOS!$I$2:$I$20000,CONFIG_ASIGNATURAS!$G$2:$G$4,"Sí")&gt;0)*(DATOS!$K$2:$K$20000=8))</f>
      </c>
      <c r="T41">
        <f>SUMPRODUCT((DATOS!$G$2:$G$20000=CONFIG_METADATA!$B$4)*(DATOS!$D$2:$D$20000=A41)*(COUNTIFS(CONFIG_ASIGNATURAS!$B$2:$B$4,DATOS!$I$2:$I$20000,CONFIG_ASIGNATURAS!$G$2:$G$4,"Sí")&gt;0)*(DATOS!$K$2:$K$20000=9))</f>
      </c>
      <c r="U41">
        <f>SUMPRODUCT((DATOS!$G$2:$G$20000=CONFIG_METADATA!$B$4)*(DATOS!$D$2:$D$20000=A41)*(COUNTIFS(CONFIG_ASIGNATURAS!$B$2:$B$4,DATOS!$I$2:$I$20000,CONFIG_ASIGNATURAS!$G$2:$G$4,"Sí")&gt;0)*(DATOS!$K$2:$K$20000=10))</f>
      </c>
    </row>
    <row r="42" spans="1:22">
      <c r="A42" s="3" t="inlineStr">
        <is>
          <t xml:space="preserve">1EEM</t>
        </is>
      </c>
      <c r="B42" s="3">
        <f>IFERROR(INDEX(_xlfn._xlws.FILTER(CONFIG_ASIGNATURAS!$B$2:$B$27,CONFIG_ASIGNATURAS!$G$2:$G$27="Sí"),1),"")</f>
      </c>
      <c r="C42" s="3">
        <f>IF(B42="","",IFERROR(IF(VLOOKUP(B42,CONFIG_ASIGNATURAS!$B$2:$F$27,5,FALSE())="Sí","Especialidad","Asignatura"),"Asignatura"))</f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>
      <c r="A43" s="3" t="inlineStr">
        <is>
          <t xml:space="preserve">1EEM</t>
        </is>
      </c>
      <c r="B43" s="3">
        <f>IFERROR(INDEX(_xlfn._xlws.FILTER(CONFIG_ASIGNATURAS!$B$2:$B$27,CONFIG_ASIGNATURAS!$G$2:$G$27="Sí"),2),"")</f>
      </c>
      <c r="C43" s="3">
        <f>IF(B43="","",IFERROR(IF(VLOOKUP(B43,CONFIG_ASIGNATURAS!$B$2:$F$27,5,FALSE())="Sí","Especialidad","Asignatura"),"Asignatura"))</f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>
      <c r="A44" s="3" t="inlineStr">
        <is>
          <t xml:space="preserve">1EEM</t>
        </is>
      </c>
      <c r="B44" s="3">
        <f>IFERROR(INDEX(_xlfn._xlws.FILTER(CONFIG_ASIGNATURAS!$B$2:$B$27,CONFIG_ASIGNATURAS!$G$2:$G$27="Sí"),3),"")</f>
      </c>
      <c r="C44" s="3">
        <f>IF(B44="","",IFERROR(IF(VLOOKUP(B44,CONFIG_ASIGNATURAS!$B$2:$F$27,5,FALSE())="Sí","Especialidad","Asignatura"),"Asignatura"))</f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>
      <c r="A45" s="3" t="inlineStr">
        <is>
          <t xml:space="preserve">1EEM</t>
        </is>
      </c>
      <c r="B45" s="3">
        <f>IFERROR(INDEX(_xlfn._xlws.FILTER(CONFIG_ASIGNATURAS!$B$2:$B$27,CONFIG_ASIGNATURAS!$G$2:$G$27="Sí"),4),"")</f>
      </c>
      <c r="C45" s="3">
        <f>IF(B45="","",IFERROR(IF(VLOOKUP(B45,CONFIG_ASIGNATURAS!$B$2:$F$27,5,FALSE())="Sí","Especialidad","Asignatura"),"Asignatura"))</f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>
      <c r="A46" s="3" t="inlineStr">
        <is>
          <t xml:space="preserve">1EEM</t>
        </is>
      </c>
      <c r="B46" s="3">
        <f>IFERROR(INDEX(_xlfn._xlws.FILTER(CONFIG_ASIGNATURAS!$B$2:$B$27,CONFIG_ASIGNATURAS!$G$2:$G$27="Sí"),5),"")</f>
      </c>
      <c r="C46" s="3">
        <f>IF(B46="","",IFERROR(IF(VLOOKUP(B46,CONFIG_ASIGNATURAS!$B$2:$F$27,5,FALSE())="Sí","Especialidad","Asignatura"),"Asignatura"))</f>
      </c>
      <c r="D46">
        <f>IF(V46="Sí",COUNTIFS(DATOS!G:G,CONFIG_METADATA!$B$4,DATOS!D:D,A46,DATOS!I:I,B46),"")</f>
        <v>0</v>
      </c>
      <c r="E46" s="14" t="str">
        <f>IF(V46="Sí",IFERROR(AVERAGEIFS(DATOS!K:K,DATOS!G:G,CONFIG_METADATA!$B$4,DATOS!D:D,A46,DATOS!I:I,B46),"—"),"")</f>
        <v>—</v>
      </c>
      <c r="F46" s="14" t="str" cm="1">
        <f t="array" ref="F46">IF(V46="Sí",IFERROR(_xlfn.STDEV.P(IF((DATOS!$G$2:$G$20000=CONFIG_METADATA!$B$4)*(DATOS!$D$2:$D$20000=A46)*(DATOS!$I$2:$I$20000=B46),DATOS!$K$2:$K$20000)),"—"),"")</f>
        <v>—</v>
      </c>
      <c r="G46" t="str" cm="1">
        <f t="array" ref="G46">IF(V46="Sí",IFERROR(_xlfn.MODE.SNGL(IF((DATOS!$G$2:$G$20000=CONFIG_METADATA!$B$4)*(DATOS!$D$2:$D$20000=A46)*(DATOS!$I$2:$I$20000=B46),DATOS!$K$2:$K$20000)),"—"),"")</f>
        <v>—</v>
      </c>
      <c r="H46" s="15" t="str">
        <f>IF(V46="Sí",IFERROR(COUNTIFS(DATOS!G:G,CONFIG_METADATA!$B$4,DATOS!D:D,A46,DATOS!I:I,B46,DATOS!L:L,"S")/COUNTIFS(DATOS!G:G,CONFIG_METADATA!$B$4,DATOS!D:D,A46,DATOS!I:I,B46),"—"),"")</f>
        <v>—</v>
      </c>
      <c r="I46" s="15" t="str">
        <f>IF(V46="Sí",IFERROR(COUNTIFS(DATOS!G:G,CONFIG_METADATA!$B$4,DATOS!D:D,A46,DATOS!I:I,B46,DATOS!L:L,"N")/COUNTIFS(DATOS!G:G,CONFIG_METADATA!$B$4,DATOS!D:D,A46,DATOS!I:I,B46),"—"),"")</f>
        <v>—</v>
      </c>
      <c r="J46" t="str" cm="1">
        <f t="array" ref="J46">IF(V46="Sí",IFERROR(_xlfn.MODE.SNGL(IF((DATOS!$G$2:$G$20000=CONFIG_METADATA!$B$4)*(DATOS!$D$2:$D$20000=A46)*(DATOS!$I$2:$I$20000=B46)*(DATOS!$L$2:$L$20000="S"),DATOS!$K$2:$K$20000)),"—"),"")</f>
        <v>—</v>
      </c>
      <c r="K46" t="str" cm="1">
        <f t="array" ref="K46">IF(V46="Sí",IFERROR(_xlfn.MODE.SNGL(IF((DATOS!$G$2:$G$20000=CONFIG_METADATA!$B$4)*(DATOS!$D$2:$D$20000=A46)*(DATOS!$I$2:$I$20000=B46)*(DATOS!$L$2:$L$20000="N"),DATOS!$K$2:$K$20000)),"—"),"")</f>
        <v>—</v>
      </c>
      <c r="L46">
        <f>IF(V46="Sí",COUNTIFS(DATOS!G:G,CONFIG_METADATA!$B$4,DATOS!D:D,A46,DATOS!I:I,B46,DATOS!K:K,1),"")</f>
        <v>0</v>
      </c>
      <c r="M46">
        <f>IF(V46="Sí",COUNTIFS(DATOS!G:G,CONFIG_METADATA!$B$4,DATOS!D:D,A46,DATOS!I:I,B46,DATOS!K:K,2),"")</f>
        <v>0</v>
      </c>
      <c r="N46">
        <f>IF(V46="Sí",COUNTIFS(DATOS!G:G,CONFIG_METADATA!$B$4,DATOS!D:D,A46,DATOS!I:I,B46,DATOS!K:K,3),"")</f>
        <v>0</v>
      </c>
      <c r="O46">
        <f>IF(V46="Sí",COUNTIFS(DATOS!G:G,CONFIG_METADATA!$B$4,DATOS!D:D,A46,DATOS!I:I,B46,DATOS!K:K,4),"")</f>
        <v>0</v>
      </c>
      <c r="P46">
        <f>IF(V46="Sí",COUNTIFS(DATOS!G:G,CONFIG_METADATA!$B$4,DATOS!D:D,A46,DATOS!I:I,B46,DATOS!K:K,5),"")</f>
        <v>0</v>
      </c>
      <c r="Q46">
        <f>IF(V46="Sí",COUNTIFS(DATOS!G:G,CONFIG_METADATA!$B$4,DATOS!D:D,A46,DATOS!I:I,B46,DATOS!K:K,6),"")</f>
        <v>0</v>
      </c>
      <c r="R46">
        <f>IF(V46="Sí",COUNTIFS(DATOS!G:G,CONFIG_METADATA!$B$4,DATOS!D:D,A46,DATOS!I:I,B46,DATOS!K:K,7),"")</f>
        <v>0</v>
      </c>
      <c r="S46">
        <f>IF(V46="Sí",COUNTIFS(DATOS!G:G,CONFIG_METADATA!$B$4,DATOS!D:D,A46,DATOS!I:I,B46,DATOS!K:K,8),"")</f>
        <v>0</v>
      </c>
      <c r="T46">
        <f>IF(V46="Sí",COUNTIFS(DATOS!G:G,CONFIG_METADATA!$B$4,DATOS!D:D,A46,DATOS!I:I,B46,DATOS!K:K,9),"")</f>
        <v>0</v>
      </c>
      <c r="U46">
        <f>IF(V46="Sí",COUNTIFS(DATOS!G:G,CONFIG_METADATA!$B$4,DATOS!D:D,A46,DATOS!I:I,B46,DATOS!K:K,10),"")</f>
        <v>0</v>
      </c>
      <c r="V46" t="str">
        <f>IFERROR(IF(ISERROR(FIND(A46,VLOOKUP(B46,CONFIG_ASIGNATURAS!B:C,2,FALSE()))),"No","Sí"),"No")</f>
        <v>Sí</v>
      </c>
    </row>
    <row r="47" spans="1:22">
      <c r="A47" s="3" t="inlineStr">
        <is>
          <t xml:space="preserve">1EEM</t>
        </is>
      </c>
      <c r="B47" s="3">
        <f>IFERROR(INDEX(_xlfn._xlws.FILTER(CONFIG_ASIGNATURAS!$B$2:$B$27,CONFIG_ASIGNATURAS!$G$2:$G$27="Sí"),6),"")</f>
      </c>
      <c r="C47" s="3">
        <f>IF(B47="","",IFERROR(IF(VLOOKUP(B47,CONFIG_ASIGNATURAS!$B$2:$F$27,5,FALSE())="Sí","Especialidad","Asignatura"),"Asignatura"))</f>
      </c>
      <c r="D47">
        <f>IF(V47="Sí",COUNTIFS(DATOS!G:G,CONFIG_METADATA!$B$4,DATOS!D:D,A47,DATOS!I:I,B47),"")</f>
        <v>0</v>
      </c>
      <c r="E47" s="14" t="str">
        <f>IF(V47="Sí",IFERROR(AVERAGEIFS(DATOS!K:K,DATOS!G:G,CONFIG_METADATA!$B$4,DATOS!D:D,A47,DATOS!I:I,B47),"—"),"")</f>
        <v>—</v>
      </c>
      <c r="F47" s="14" t="str" cm="1">
        <f t="array" ref="F47">IF(V47="Sí",IFERROR(_xlfn.STDEV.P(IF((DATOS!$G$2:$G$20000=CONFIG_METADATA!$B$4)*(DATOS!$D$2:$D$20000=A47)*(DATOS!$I$2:$I$20000=B47),DATOS!$K$2:$K$20000)),"—"),"")</f>
        <v>—</v>
      </c>
      <c r="G47" t="str" cm="1">
        <f t="array" ref="G47">IF(V47="Sí",IFERROR(_xlfn.MODE.SNGL(IF((DATOS!$G$2:$G$20000=CONFIG_METADATA!$B$4)*(DATOS!$D$2:$D$20000=A47)*(DATOS!$I$2:$I$20000=B47),DATOS!$K$2:$K$20000)),"—"),"")</f>
        <v>—</v>
      </c>
      <c r="H47" s="15" t="str">
        <f>IF(V47="Sí",IFERROR(COUNTIFS(DATOS!G:G,CONFIG_METADATA!$B$4,DATOS!D:D,A47,DATOS!I:I,B47,DATOS!L:L,"S")/COUNTIFS(DATOS!G:G,CONFIG_METADATA!$B$4,DATOS!D:D,A47,DATOS!I:I,B47),"—"),"")</f>
        <v>—</v>
      </c>
      <c r="I47" s="15" t="str">
        <f>IF(V47="Sí",IFERROR(COUNTIFS(DATOS!G:G,CONFIG_METADATA!$B$4,DATOS!D:D,A47,DATOS!I:I,B47,DATOS!L:L,"N")/COUNTIFS(DATOS!G:G,CONFIG_METADATA!$B$4,DATOS!D:D,A47,DATOS!I:I,B47),"—"),"")</f>
        <v>—</v>
      </c>
      <c r="J47" t="str" cm="1">
        <f t="array" ref="J47">IF(V47="Sí",IFERROR(_xlfn.MODE.SNGL(IF((DATOS!$G$2:$G$20000=CONFIG_METADATA!$B$4)*(DATOS!$D$2:$D$20000=A47)*(DATOS!$I$2:$I$20000=B47)*(DATOS!$L$2:$L$20000="S"),DATOS!$K$2:$K$20000)),"—"),"")</f>
        <v>—</v>
      </c>
      <c r="K47" t="str" cm="1">
        <f t="array" ref="K47">IF(V47="Sí",IFERROR(_xlfn.MODE.SNGL(IF((DATOS!$G$2:$G$20000=CONFIG_METADATA!$B$4)*(DATOS!$D$2:$D$20000=A47)*(DATOS!$I$2:$I$20000=B47)*(DATOS!$L$2:$L$20000="N"),DATOS!$K$2:$K$20000)),"—"),"")</f>
        <v>—</v>
      </c>
      <c r="L47">
        <f>IF(V47="Sí",COUNTIFS(DATOS!G:G,CONFIG_METADATA!$B$4,DATOS!D:D,A47,DATOS!I:I,B47,DATOS!K:K,1),"")</f>
        <v>0</v>
      </c>
      <c r="M47">
        <f>IF(V47="Sí",COUNTIFS(DATOS!G:G,CONFIG_METADATA!$B$4,DATOS!D:D,A47,DATOS!I:I,B47,DATOS!K:K,2),"")</f>
        <v>0</v>
      </c>
      <c r="N47">
        <f>IF(V47="Sí",COUNTIFS(DATOS!G:G,CONFIG_METADATA!$B$4,DATOS!D:D,A47,DATOS!I:I,B47,DATOS!K:K,3),"")</f>
        <v>0</v>
      </c>
      <c r="O47">
        <f>IF(V47="Sí",COUNTIFS(DATOS!G:G,CONFIG_METADATA!$B$4,DATOS!D:D,A47,DATOS!I:I,B47,DATOS!K:K,4),"")</f>
        <v>0</v>
      </c>
      <c r="P47">
        <f>IF(V47="Sí",COUNTIFS(DATOS!G:G,CONFIG_METADATA!$B$4,DATOS!D:D,A47,DATOS!I:I,B47,DATOS!K:K,5),"")</f>
        <v>0</v>
      </c>
      <c r="Q47">
        <f>IF(V47="Sí",COUNTIFS(DATOS!G:G,CONFIG_METADATA!$B$4,DATOS!D:D,A47,DATOS!I:I,B47,DATOS!K:K,6),"")</f>
        <v>0</v>
      </c>
      <c r="R47">
        <f>IF(V47="Sí",COUNTIFS(DATOS!G:G,CONFIG_METADATA!$B$4,DATOS!D:D,A47,DATOS!I:I,B47,DATOS!K:K,7),"")</f>
        <v>0</v>
      </c>
      <c r="S47">
        <f>IF(V47="Sí",COUNTIFS(DATOS!G:G,CONFIG_METADATA!$B$4,DATOS!D:D,A47,DATOS!I:I,B47,DATOS!K:K,8),"")</f>
        <v>0</v>
      </c>
      <c r="T47">
        <f>IF(V47="Sí",COUNTIFS(DATOS!G:G,CONFIG_METADATA!$B$4,DATOS!D:D,A47,DATOS!I:I,B47,DATOS!K:K,9),"")</f>
        <v>0</v>
      </c>
      <c r="U47">
        <f>IF(V47="Sí",COUNTIFS(DATOS!G:G,CONFIG_METADATA!$B$4,DATOS!D:D,A47,DATOS!I:I,B47,DATOS!K:K,10),"")</f>
        <v>0</v>
      </c>
      <c r="V47" t="str">
        <f>IFERROR(IF(ISERROR(FIND(A47,VLOOKUP(B47,CONFIG_ASIGNATURAS!B:C,2,FALSE()))),"No","Sí"),"No")</f>
        <v>Sí</v>
      </c>
    </row>
    <row r="48" spans="1:22">
      <c r="A48" s="3" t="inlineStr">
        <is>
          <t xml:space="preserve">1EEM</t>
        </is>
      </c>
      <c r="B48" s="3">
        <f>IFERROR(INDEX(_xlfn._xlws.FILTER(CONFIG_ASIGNATURAS!$B$2:$B$27,CONFIG_ASIGNATURAS!$G$2:$G$27="Sí"),7),"")</f>
      </c>
      <c r="C48" s="3">
        <f>IF(B48="","",IFERROR(IF(VLOOKUP(B48,CONFIG_ASIGNATURAS!$B$2:$F$27,5,FALSE())="Sí","Especialidad","Asignatura"),"Asignatura"))</f>
      </c>
      <c r="D48">
        <f>IF(V48="Sí",COUNTIFS(DATOS!G:G,CONFIG_METADATA!$B$4,DATOS!D:D,A48,DATOS!I:I,B48),"")</f>
        <v>0</v>
      </c>
      <c r="E48" s="14" t="str">
        <f>IF(V48="Sí",IFERROR(AVERAGEIFS(DATOS!K:K,DATOS!G:G,CONFIG_METADATA!$B$4,DATOS!D:D,A48,DATOS!I:I,B48),"—"),"")</f>
        <v>—</v>
      </c>
      <c r="F48" s="14" t="str" cm="1">
        <f t="array" ref="F48">IF(V48="Sí",IFERROR(_xlfn.STDEV.P(IF((DATOS!$G$2:$G$20000=CONFIG_METADATA!$B$4)*(DATOS!$D$2:$D$20000=A48)*(DATOS!$I$2:$I$20000=B48),DATOS!$K$2:$K$20000)),"—"),"")</f>
        <v>—</v>
      </c>
      <c r="G48" t="str" cm="1">
        <f t="array" ref="G48">IF(V48="Sí",IFERROR(_xlfn.MODE.SNGL(IF((DATOS!$G$2:$G$20000=CONFIG_METADATA!$B$4)*(DATOS!$D$2:$D$20000=A48)*(DATOS!$I$2:$I$20000=B48),DATOS!$K$2:$K$20000)),"—"),"")</f>
        <v>—</v>
      </c>
      <c r="H48" s="15" t="str">
        <f>IF(V48="Sí",IFERROR(COUNTIFS(DATOS!G:G,CONFIG_METADATA!$B$4,DATOS!D:D,A48,DATOS!I:I,B48,DATOS!L:L,"S")/COUNTIFS(DATOS!G:G,CONFIG_METADATA!$B$4,DATOS!D:D,A48,DATOS!I:I,B48),"—"),"")</f>
        <v>—</v>
      </c>
      <c r="I48" s="15" t="str">
        <f>IF(V48="Sí",IFERROR(COUNTIFS(DATOS!G:G,CONFIG_METADATA!$B$4,DATOS!D:D,A48,DATOS!I:I,B48,DATOS!L:L,"N")/COUNTIFS(DATOS!G:G,CONFIG_METADATA!$B$4,DATOS!D:D,A48,DATOS!I:I,B48),"—"),"")</f>
        <v>—</v>
      </c>
      <c r="J48" t="str" cm="1">
        <f t="array" ref="J48">IF(V48="Sí",IFERROR(_xlfn.MODE.SNGL(IF((DATOS!$G$2:$G$20000=CONFIG_METADATA!$B$4)*(DATOS!$D$2:$D$20000=A48)*(DATOS!$I$2:$I$20000=B48)*(DATOS!$L$2:$L$20000="S"),DATOS!$K$2:$K$20000)),"—"),"")</f>
        <v>—</v>
      </c>
      <c r="K48" t="str" cm="1">
        <f t="array" ref="K48">IF(V48="Sí",IFERROR(_xlfn.MODE.SNGL(IF((DATOS!$G$2:$G$20000=CONFIG_METADATA!$B$4)*(DATOS!$D$2:$D$20000=A48)*(DATOS!$I$2:$I$20000=B48)*(DATOS!$L$2:$L$20000="N"),DATOS!$K$2:$K$20000)),"—"),"")</f>
        <v>—</v>
      </c>
      <c r="L48">
        <f>IF(V48="Sí",COUNTIFS(DATOS!G:G,CONFIG_METADATA!$B$4,DATOS!D:D,A48,DATOS!I:I,B48,DATOS!K:K,1),"")</f>
        <v>0</v>
      </c>
      <c r="M48">
        <f>IF(V48="Sí",COUNTIFS(DATOS!G:G,CONFIG_METADATA!$B$4,DATOS!D:D,A48,DATOS!I:I,B48,DATOS!K:K,2),"")</f>
        <v>0</v>
      </c>
      <c r="N48">
        <f>IF(V48="Sí",COUNTIFS(DATOS!G:G,CONFIG_METADATA!$B$4,DATOS!D:D,A48,DATOS!I:I,B48,DATOS!K:K,3),"")</f>
        <v>0</v>
      </c>
      <c r="O48">
        <f>IF(V48="Sí",COUNTIFS(DATOS!G:G,CONFIG_METADATA!$B$4,DATOS!D:D,A48,DATOS!I:I,B48,DATOS!K:K,4),"")</f>
        <v>0</v>
      </c>
      <c r="P48">
        <f>IF(V48="Sí",COUNTIFS(DATOS!G:G,CONFIG_METADATA!$B$4,DATOS!D:D,A48,DATOS!I:I,B48,DATOS!K:K,5),"")</f>
        <v>0</v>
      </c>
      <c r="Q48">
        <f>IF(V48="Sí",COUNTIFS(DATOS!G:G,CONFIG_METADATA!$B$4,DATOS!D:D,A48,DATOS!I:I,B48,DATOS!K:K,6),"")</f>
        <v>0</v>
      </c>
      <c r="R48">
        <f>IF(V48="Sí",COUNTIFS(DATOS!G:G,CONFIG_METADATA!$B$4,DATOS!D:D,A48,DATOS!I:I,B48,DATOS!K:K,7),"")</f>
        <v>0</v>
      </c>
      <c r="S48">
        <f>IF(V48="Sí",COUNTIFS(DATOS!G:G,CONFIG_METADATA!$B$4,DATOS!D:D,A48,DATOS!I:I,B48,DATOS!K:K,8),"")</f>
        <v>0</v>
      </c>
      <c r="T48">
        <f>IF(V48="Sí",COUNTIFS(DATOS!G:G,CONFIG_METADATA!$B$4,DATOS!D:D,A48,DATOS!I:I,B48,DATOS!K:K,9),"")</f>
        <v>0</v>
      </c>
      <c r="U48">
        <f>IF(V48="Sí",COUNTIFS(DATOS!G:G,CONFIG_METADATA!$B$4,DATOS!D:D,A48,DATOS!I:I,B48,DATOS!K:K,10),"")</f>
        <v>0</v>
      </c>
      <c r="V48" t="str">
        <f>IFERROR(IF(ISERROR(FIND(A48,VLOOKUP(B48,CONFIG_ASIGNATURAS!B:C,2,FALSE()))),"No","Sí"),"No")</f>
        <v>Sí</v>
      </c>
    </row>
    <row r="49" spans="1:22">
      <c r="A49" s="3" t="inlineStr">
        <is>
          <t xml:space="preserve">1EEM</t>
        </is>
      </c>
      <c r="B49" s="3">
        <f>IFERROR(INDEX(_xlfn._xlws.FILTER(CONFIG_ASIGNATURAS!$B$2:$B$27,CONFIG_ASIGNATURAS!$G$2:$G$27="Sí"),8),"")</f>
      </c>
      <c r="C49" s="3">
        <f>IF(B49="","",IFERROR(IF(VLOOKUP(B49,CONFIG_ASIGNATURAS!$B$2:$F$27,5,FALSE())="Sí","Especialidad","Asignatura"),"Asignatura"))</f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>
      <c r="A50" s="3" t="inlineStr">
        <is>
          <t xml:space="preserve">1EEM</t>
        </is>
      </c>
      <c r="B50" s="3">
        <f>IFERROR(INDEX(_xlfn._xlws.FILTER(CONFIG_ASIGNATURAS!$B$2:$B$27,CONFIG_ASIGNATURAS!$G$2:$G$27="Sí"),9),"")</f>
      </c>
      <c r="C50" s="3">
        <f>IF(B50="","",IFERROR(IF(VLOOKUP(B50,CONFIG_ASIGNATURAS!$B$2:$F$27,5,FALSE())="Sí","Especialidad","Asignatura"),"Asignatura"))</f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>
      <c r="A51" s="3" t="inlineStr">
        <is>
          <t xml:space="preserve">1EEM</t>
        </is>
      </c>
      <c r="B51" s="3">
        <f>IFERROR(INDEX(_xlfn._xlws.FILTER(CONFIG_ASIGNATURAS!$B$2:$B$27,CONFIG_ASIGNATURAS!$G$2:$G$27="Sí"),10),"")</f>
      </c>
      <c r="C51" s="3">
        <f>IF(B51="","",IFERROR(IF(VLOOKUP(B51,CONFIG_ASIGNATURAS!$B$2:$F$27,5,FALSE())="Sí","Especialidad","Asignatura"),"Asignatura"))</f>
      </c>
      <c r="D51">
        <f>IF(V51="Sí",COUNTIFS(DATOS!G:G,CONFIG_METADATA!$B$4,DATOS!D:D,A51,DATOS!I:I,B51),"")</f>
        <v>0</v>
      </c>
      <c r="E51" s="14" t="str">
        <f>IF(V51="Sí",IFERROR(AVERAGEIFS(DATOS!K:K,DATOS!G:G,CONFIG_METADATA!$B$4,DATOS!D:D,A51,DATOS!I:I,B51),"—"),"")</f>
        <v>—</v>
      </c>
      <c r="F51" s="14" t="str" cm="1">
        <f t="array" ref="F51">IF(V51="Sí",IFERROR(_xlfn.STDEV.P(IF((DATOS!$G$2:$G$20000=CONFIG_METADATA!$B$4)*(DATOS!$D$2:$D$20000=A51)*(DATOS!$I$2:$I$20000=B51),DATOS!$K$2:$K$20000)),"—"),"")</f>
        <v>—</v>
      </c>
      <c r="G51" t="str" cm="1">
        <f t="array" ref="G51">IF(V51="Sí",IFERROR(_xlfn.MODE.SNGL(IF((DATOS!$G$2:$G$20000=CONFIG_METADATA!$B$4)*(DATOS!$D$2:$D$20000=A51)*(DATOS!$I$2:$I$20000=B51),DATOS!$K$2:$K$20000)),"—"),"")</f>
        <v>—</v>
      </c>
      <c r="H51" s="15" t="str">
        <f>IF(V51="Sí",IFERROR(COUNTIFS(DATOS!G:G,CONFIG_METADATA!$B$4,DATOS!D:D,A51,DATOS!I:I,B51,DATOS!L:L,"S")/COUNTIFS(DATOS!G:G,CONFIG_METADATA!$B$4,DATOS!D:D,A51,DATOS!I:I,B51),"—"),"")</f>
        <v>—</v>
      </c>
      <c r="I51" s="15" t="str">
        <f>IF(V51="Sí",IFERROR(COUNTIFS(DATOS!G:G,CONFIG_METADATA!$B$4,DATOS!D:D,A51,DATOS!I:I,B51,DATOS!L:L,"N")/COUNTIFS(DATOS!G:G,CONFIG_METADATA!$B$4,DATOS!D:D,A51,DATOS!I:I,B51),"—"),"")</f>
        <v>—</v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>—</v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>—</v>
      </c>
      <c r="L51">
        <f>IF(V51="Sí",COUNTIFS(DATOS!G:G,CONFIG_METADATA!$B$4,DATOS!D:D,A51,DATOS!I:I,B51,DATOS!K:K,1),"")</f>
        <v>0</v>
      </c>
      <c r="M51">
        <f>IF(V51="Sí",COUNTIFS(DATOS!G:G,CONFIG_METADATA!$B$4,DATOS!D:D,A51,DATOS!I:I,B51,DATOS!K:K,2),"")</f>
        <v>0</v>
      </c>
      <c r="N51">
        <f>IF(V51="Sí",COUNTIFS(DATOS!G:G,CONFIG_METADATA!$B$4,DATOS!D:D,A51,DATOS!I:I,B51,DATOS!K:K,3),"")</f>
        <v>0</v>
      </c>
      <c r="O51">
        <f>IF(V51="Sí",COUNTIFS(DATOS!G:G,CONFIG_METADATA!$B$4,DATOS!D:D,A51,DATOS!I:I,B51,DATOS!K:K,4),"")</f>
        <v>0</v>
      </c>
      <c r="P51">
        <f>IF(V51="Sí",COUNTIFS(DATOS!G:G,CONFIG_METADATA!$B$4,DATOS!D:D,A51,DATOS!I:I,B51,DATOS!K:K,5),"")</f>
        <v>0</v>
      </c>
      <c r="Q51">
        <f>IF(V51="Sí",COUNTIFS(DATOS!G:G,CONFIG_METADATA!$B$4,DATOS!D:D,A51,DATOS!I:I,B51,DATOS!K:K,6),"")</f>
        <v>0</v>
      </c>
      <c r="R51">
        <f>IF(V51="Sí",COUNTIFS(DATOS!G:G,CONFIG_METADATA!$B$4,DATOS!D:D,A51,DATOS!I:I,B51,DATOS!K:K,7),"")</f>
        <v>0</v>
      </c>
      <c r="S51">
        <f>IF(V51="Sí",COUNTIFS(DATOS!G:G,CONFIG_METADATA!$B$4,DATOS!D:D,A51,DATOS!I:I,B51,DATOS!K:K,8),"")</f>
        <v>0</v>
      </c>
      <c r="T51">
        <f>IF(V51="Sí",COUNTIFS(DATOS!G:G,CONFIG_METADATA!$B$4,DATOS!D:D,A51,DATOS!I:I,B51,DATOS!K:K,9),"")</f>
        <v>0</v>
      </c>
      <c r="U51">
        <f>IF(V51="Sí",COUNTIFS(DATOS!G:G,CONFIG_METADATA!$B$4,DATOS!D:D,A51,DATOS!I:I,B51,DATOS!K:K,10),"")</f>
        <v>0</v>
      </c>
      <c r="V51" t="str">
        <f>IFERROR(IF(ISERROR(FIND(A51,VLOOKUP(B51,CONFIG_ASIGNATURAS!B:C,2,FALSE()))),"No","Sí"),"No")</f>
        <v>Sí</v>
      </c>
    </row>
    <row r="52" spans="1:22">
      <c r="A52" s="3" t="inlineStr">
        <is>
          <t xml:space="preserve">1EEM</t>
        </is>
      </c>
      <c r="B52" s="3">
        <f>IFERROR(INDEX(_xlfn._xlws.FILTER(CONFIG_ASIGNATURAS!$B$2:$B$27,CONFIG_ASIGNATURAS!$G$2:$G$27="Sí"),11),"")</f>
      </c>
      <c r="C52" s="3">
        <f>IF(B52="","",IFERROR(IF(VLOOKUP(B52,CONFIG_ASIGNATURAS!$B$2:$F$27,5,FALSE())="Sí","Especialidad","Asignatura"),"Asignatura"))</f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>
      <c r="A53" s="3" t="inlineStr">
        <is>
          <t xml:space="preserve">1EEM</t>
        </is>
      </c>
      <c r="B53" s="3">
        <f>IFERROR(INDEX(_xlfn._xlws.FILTER(CONFIG_ASIGNATURAS!$B$2:$B$27,CONFIG_ASIGNATURAS!$G$2:$G$27="Sí"),12),"")</f>
      </c>
      <c r="C53" s="3">
        <f>IF(B53="","",IFERROR(IF(VLOOKUP(B53,CONFIG_ASIGNATURAS!$B$2:$F$27,5,FALSE())="Sí","Especialidad","Asignatura"),"Asignatura"))</f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>
      <c r="A54" s="3" t="inlineStr">
        <is>
          <t xml:space="preserve">1EEM</t>
        </is>
      </c>
      <c r="B54" s="3">
        <f>IFERROR(INDEX(_xlfn._xlws.FILTER(CONFIG_ASIGNATURAS!$B$2:$B$27,CONFIG_ASIGNATURAS!$G$2:$G$27="Sí"),13),"")</f>
      </c>
      <c r="C54" s="3">
        <f>IF(B54="","",IFERROR(IF(VLOOKUP(B54,CONFIG_ASIGNATURAS!$B$2:$F$27,5,FALSE())="Sí","Especialidad","Asignatura"),"Asignatura"))</f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>
      <c r="A55" s="3" t="inlineStr">
        <is>
          <t xml:space="preserve">1EEM</t>
        </is>
      </c>
      <c r="B55" s="3">
        <f>IFERROR(INDEX(_xlfn._xlws.FILTER(CONFIG_ASIGNATURAS!$B$2:$B$27,CONFIG_ASIGNATURAS!$G$2:$G$27="Sí"),14),"")</f>
      </c>
      <c r="C55" s="3">
        <f>IF(B55="","",IFERROR(IF(VLOOKUP(B55,CONFIG_ASIGNATURAS!$B$2:$F$27,5,FALSE())="Sí","Especialidad","Asignatura"),"Asignatura"))</f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>
      <c r="A56" s="3" t="inlineStr">
        <is>
          <t xml:space="preserve">1EEM</t>
        </is>
      </c>
      <c r="B56" s="3">
        <f>IFERROR(INDEX(_xlfn._xlws.FILTER(CONFIG_ASIGNATURAS!$B$2:$B$27,CONFIG_ASIGNATURAS!$G$2:$G$27="Sí"),15),"")</f>
      </c>
      <c r="C56" s="3">
        <f>IF(B56="","",IFERROR(IF(VLOOKUP(B56,CONFIG_ASIGNATURAS!$B$2:$F$27,5,FALSE())="Sí","Especialidad","Asignatura"),"Asignatura"))</f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>
      <c r="A57" s="3" t="inlineStr">
        <is>
          <t xml:space="preserve">1EEM</t>
        </is>
      </c>
      <c r="B57" s="3">
        <f>IFERROR(INDEX(_xlfn._xlws.FILTER(CONFIG_ASIGNATURAS!$B$2:$B$27,CONFIG_ASIGNATURAS!$G$2:$G$27="Sí"),16),"")</f>
      </c>
      <c r="C57" s="3">
        <f>IF(B57="","",IFERROR(IF(VLOOKUP(B57,CONFIG_ASIGNATURAS!$B$2:$F$27,5,FALSE())="Sí","Especialidad","Asignatura"),"Asignatura"))</f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>
      <c r="A58" s="3" t="inlineStr">
        <is>
          <t xml:space="preserve">1EEM</t>
        </is>
      </c>
      <c r="B58" s="3">
        <f>IFERROR(INDEX(_xlfn._xlws.FILTER(CONFIG_ASIGNATURAS!$B$2:$B$27,CONFIG_ASIGNATURAS!$G$2:$G$27="Sí"),17),"")</f>
      </c>
      <c r="C58" s="3">
        <f>IF(B58="","",IFERROR(IF(VLOOKUP(B58,CONFIG_ASIGNATURAS!$B$2:$F$27,5,FALSE())="Sí","Especialidad","Asignatura"),"Asignatura"))</f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>
      <c r="A59" s="3" t="inlineStr">
        <is>
          <t xml:space="preserve">1EEM</t>
        </is>
      </c>
      <c r="B59" s="3">
        <f>IFERROR(INDEX(_xlfn._xlws.FILTER(CONFIG_ASIGNATURAS!$B$2:$B$27,CONFIG_ASIGNATURAS!$G$2:$G$27="Sí"),18),"")</f>
      </c>
      <c r="C59" s="3">
        <f>IF(B59="","",IFERROR(IF(VLOOKUP(B59,CONFIG_ASIGNATURAS!$B$2:$F$27,5,FALSE())="Sí","Especialidad","Asignatura"),"Asignatura"))</f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>
      <c r="A60" s="3" t="inlineStr">
        <is>
          <t xml:space="preserve">1EEM</t>
        </is>
      </c>
      <c r="B60" s="3">
        <f>IFERROR(INDEX(_xlfn._xlws.FILTER(CONFIG_ASIGNATURAS!$B$2:$B$27,CONFIG_ASIGNATURAS!$G$2:$G$27="Sí"),19),"")</f>
      </c>
      <c r="C60" s="3">
        <f>IF(B60="","",IFERROR(IF(VLOOKUP(B60,CONFIG_ASIGNATURAS!$B$2:$F$27,5,FALSE())="Sí","Especialidad","Asignatura"),"Asignatura"))</f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>
      <c r="A61" s="3" t="inlineStr">
        <is>
          <t xml:space="preserve">1EEM</t>
        </is>
      </c>
      <c r="B61" s="3">
        <f>IFERROR(INDEX(_xlfn._xlws.FILTER(CONFIG_ASIGNATURAS!$B$2:$B$27,CONFIG_ASIGNATURAS!$G$2:$G$27="Sí"),20),"")</f>
      </c>
      <c r="C61" s="3">
        <f>IF(B61="","",IFERROR(IF(VLOOKUP(B61,CONFIG_ASIGNATURAS!$B$2:$F$27,5,FALSE())="Sí","Especialidad","Asignatura"),"Asignatura"))</f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>
      <c r="A62" s="3" t="inlineStr">
        <is>
          <t xml:space="preserve">1EEM</t>
        </is>
      </c>
      <c r="B62" s="3">
        <f>IFERROR(INDEX(_xlfn._xlws.FILTER(CONFIG_ASIGNATURAS!$B$2:$B$27,CONFIG_ASIGNATURAS!$G$2:$G$27="Sí"),21),"")</f>
      </c>
      <c r="C62" s="3">
        <f>IF(B62="","",IFERROR(IF(VLOOKUP(B62,CONFIG_ASIGNATURAS!$B$2:$F$27,5,FALSE())="Sí","Especialidad","Asignatura"),"Asignatura"))</f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>
      <c r="A63" s="3" t="inlineStr">
        <is>
          <t xml:space="preserve">1EEM</t>
        </is>
      </c>
      <c r="B63" s="3">
        <f>IFERROR(INDEX(_xlfn._xlws.FILTER(CONFIG_ASIGNATURAS!$B$2:$B$27,CONFIG_ASIGNATURAS!$G$2:$G$27="Sí"),22),"")</f>
      </c>
      <c r="C63" s="3">
        <f>IF(B63="","",IFERROR(IF(VLOOKUP(B63,CONFIG_ASIGNATURAS!$B$2:$F$27,5,FALSE())="Sí","Especialidad","Asignatura"),"Asignatura"))</f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>
      <c r="A64" s="3" t="inlineStr">
        <is>
          <t xml:space="preserve">1EEM</t>
        </is>
      </c>
      <c r="B64" s="3">
        <f>IFERROR(INDEX(_xlfn._xlws.FILTER(CONFIG_ASIGNATURAS!$B$2:$B$27,CONFIG_ASIGNATURAS!$G$2:$G$27="Sí"),23),"")</f>
      </c>
      <c r="C64" s="3">
        <f>IF(B64="","",IFERROR(IF(VLOOKUP(B64,CONFIG_ASIGNATURAS!$B$2:$F$27,5,FALSE())="Sí","Especialidad","Asignatura"),"Asignatura"))</f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>
      <c r="A65" s="3" t="inlineStr">
        <is>
          <t xml:space="preserve">1EEM</t>
        </is>
      </c>
      <c r="B65" s="3">
        <f>IFERROR(INDEX(_xlfn._xlws.FILTER(CONFIG_ASIGNATURAS!$B$2:$B$27,CONFIG_ASIGNATURAS!$G$2:$G$27="Sí"),24),"")</f>
      </c>
      <c r="C65" s="3">
        <f>IF(B65="","",IFERROR(IF(VLOOKUP(B65,CONFIG_ASIGNATURAS!$B$2:$F$27,5,FALSE())="Sí","Especialidad","Asignatura"),"Asignatura"))</f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>
      <c r="A66" s="3" t="inlineStr">
        <is>
          <t xml:space="preserve">1EEM</t>
        </is>
      </c>
      <c r="B66" s="3">
        <f>IFERROR(INDEX(_xlfn._xlws.FILTER(CONFIG_ASIGNATURAS!$B$2:$B$27,CONFIG_ASIGNATURAS!$G$2:$G$27="Sí"),25),"")</f>
      </c>
      <c r="C66" s="3">
        <f>IF(B66="","",IFERROR(IF(VLOOKUP(B66,CONFIG_ASIGNATURAS!$B$2:$F$27,5,FALSE())="Sí","Especialidad","Asignatura"),"Asignatura"))</f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>
      <c r="A67" s="3" t="inlineStr">
        <is>
          <t xml:space="preserve">1EEM</t>
        </is>
      </c>
      <c r="B67" s="3">
        <f>IFERROR(INDEX(_xlfn._xlws.FILTER(CONFIG_ASIGNATURAS!$B$2:$B$27,CONFIG_ASIGNATURAS!$G$2:$G$27="Sí"),26),"")</f>
      </c>
      <c r="C67" s="3">
        <f>IF(B67="","",IFERROR(IF(VLOOKUP(B67,CONFIG_ASIGNATURAS!$B$2:$F$27,5,FALSE())="Sí","Especialidad","Asignatura"),"Asignatura"))</f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>
      <c r="A68" s="3" t="inlineStr">
        <is>
          <t xml:space="preserve">1EEM</t>
        </is>
      </c>
      <c r="B68" s="3">
        <f>IFERROR(INDEX(_xlfn._xlws.FILTER(CONFIG_ASIGNATURAS!$B$2:$B$27,CONFIG_ASIGNATURAS!$G$2:$G$27="Sí"),27),"")</f>
      </c>
      <c r="C68" s="3">
        <f>IF(B68="","",IFERROR(IF(VLOOKUP(B68,CONFIG_ASIGNATURAS!$B$2:$F$27,5,FALSE())="Sí","Especialidad","Asignatura"),"Asignatura"))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>
        <f>IFERROR(INDEX(_xlfn._xlws.FILTER(CONFIG_ASIGNATURAS!$B$2:$B$27,CONFIG_ASIGNATURAS!$G$2:$G$27="Sí"),28),"")</f>
      </c>
      <c r="C69" s="3">
        <f>IF(B69="","",IFERROR(IF(VLOOKUP(B69,CONFIG_ASIGNATURAS!$B$2:$F$27,5,FALSE())="Sí","Especialidad","Asignatura"),"Asignatura"))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>
        <f>IFERROR(INDEX(_xlfn._xlws.FILTER(CONFIG_ASIGNATURAS!$B$2:$B$27,CONFIG_ASIGNATURAS!$G$2:$G$27="Sí"),29),"")</f>
      </c>
      <c r="C70" s="3">
        <f>IF(B70="","",IFERROR(IF(VLOOKUP(B70,CONFIG_ASIGNATURAS!$B$2:$F$27,5,FALSE())="Sí","Especialidad","Asignatura"),"Asignatura"))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>
        <f>IFERROR(INDEX(_xlfn._xlws.FILTER(CONFIG_ASIGNATURAS!$B$2:$B$27,CONFIG_ASIGNATURAS!$G$2:$G$27="Sí"),30),"")</f>
      </c>
      <c r="C71" s="3">
        <f>IF(B71="","",IFERROR(IF(VLOOKUP(B71,CONFIG_ASIGNATURAS!$B$2:$F$27,5,FALSE())="Sí","Especialidad","Asignatura"),"Asignatura"))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>
        <f>IFERROR(INDEX(_xlfn._xlws.FILTER(CONFIG_ASIGNATURAS!$B$2:$B$27,CONFIG_ASIGNATURAS!$G$2:$G$27="Sí"),31),"")</f>
      </c>
      <c r="C72" s="3">
        <f>IF(B72="","",IFERROR(IF(VLOOKUP(B72,CONFIG_ASIGNATURAS!$B$2:$F$27,5,FALSE())="Sí","Especialidad","Asignatura"),"Asignatura"))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>
        <f>IFERROR(INDEX(_xlfn._xlws.FILTER(CONFIG_ASIGNATURAS!$B$2:$B$27,CONFIG_ASIGNATURAS!$G$2:$G$27="Sí"),32),"")</f>
      </c>
      <c r="C73" s="3">
        <f>IF(B73="","",IFERROR(IF(VLOOKUP(B73,CONFIG_ASIGNATURAS!$B$2:$F$27,5,FALSE())="Sí","Especialidad","Asignatura"),"Asignatura"))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>
        <f>IFERROR(INDEX(_xlfn._xlws.FILTER(CONFIG_ASIGNATURAS!$B$2:$B$27,CONFIG_ASIGNATURAS!$G$2:$G$27="Sí"),33),"")</f>
      </c>
      <c r="C74" s="3">
        <f>IF(B74="","",IFERROR(IF(VLOOKUP(B74,CONFIG_ASIGNATURAS!$B$2:$F$27,5,FALSE())="Sí","Especialidad","Asignatura"),"Asignatura"))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>
        <f>IFERROR(INDEX(_xlfn._xlws.FILTER(CONFIG_ASIGNATURAS!$B$2:$B$27,CONFIG_ASIGNATURAS!$G$2:$G$27="Sí"),34),"")</f>
      </c>
      <c r="C75" s="3">
        <f>IF(B75="","",IFERROR(IF(VLOOKUP(B75,CONFIG_ASIGNATURAS!$B$2:$F$27,5,FALSE())="Sí","Especialidad","Asignatura"),"Asignatura"))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2EEM</t>
        </is>
      </c>
      <c r="B76" s="3" t="inlineStr">
        <is>
          <t xml:space="preserve">Total</t>
        </is>
      </c>
      <c r="C76" s="3" t="inlineStr">
        <is>
          <t xml:space="preserve">Total</t>
        </is>
      </c>
      <c r="D76">
        <f>COUNTIFS(DATOS!G:G,CONFIG_METADATA!$B$4,DATOS!D:D,A76)</f>
        <v>0</v>
      </c>
      <c r="E76" s="14" t="str">
        <f>IFERROR(AVERAGEIFS(DATOS!K:K,DATOS!G:G,CONFIG_METADATA!$B$4,DATOS!D:D,A76),"—")</f>
        <v>—</v>
      </c>
      <c r="F76" s="14" t="str" cm="1">
        <f t="array" ref="F76">IFERROR(_xlfn.STDEV.P(IF((DATOS!$G$2:$G$20000=CONFIG_METADATA!$B$4)*(DATOS!$D$2:$D$20000=A76),DATOS!$K$2:$K$20000)),"—")</f>
        <v>—</v>
      </c>
      <c r="G76" t="str" cm="1">
        <f t="array" ref="G76">IFERROR(_xlfn.MODE.SNGL(IF((DATOS!$G$2:$G$20000=CONFIG_METADATA!$B$4)*(DATOS!$D$2:$D$20000=A76),DATOS!$K$2:$K$20000)),"—")</f>
        <v>—</v>
      </c>
      <c r="H76" s="15" t="str">
        <f>IFERROR(COUNTIFS(DATOS!$G$2:$G$20000,CONFIG_METADATA!$B$4,DATOS!$D$2:$D$20000,A76,DATOS!$L$2:$L$20000,"S")/COUNTIFS(DATOS!$G$2:$G$20000,CONFIG_METADATA!$B$4,DATOS!$D$2:$D$20000,A76),"—")</f>
        <v>—</v>
      </c>
      <c r="I76" s="15" t="str">
        <f>IFERROR(COUNTIFS(DATOS!$G$2:$G$20000,CONFIG_METADATA!$B$4,DATOS!$D$2:$D$20000,A76,DATOS!$L$2:$L$20000,"N")/COUNTIFS(DATOS!$G$2:$G$20000,CONFIG_METADATA!$B$4,DATOS!$D$2:$D$20000,A76),"—")</f>
        <v>—</v>
      </c>
      <c r="J76" t="str" cm="1">
        <f t="array" ref="J76">IFERROR(_xlfn.MODE.SNGL(IF((DATOS!$G$2:$G$20000=CONFIG_METADATA!$B$4)*(DATOS!$D$2:$D$20000=A76)*(DATOS!$L$2:$L$20000="S"),DATOS!$K$2:$K$20000)),"—")</f>
        <v>—</v>
      </c>
      <c r="K76" t="str" cm="1">
        <f t="array" ref="K76">IFERROR(_xlfn.MODE.SNGL(IF((DATOS!$G$2:$G$20000=CONFIG_METADATA!$B$4)*(DATOS!$D$2:$D$20000=A76)*(DATOS!$L$2:$L$20000="N"),DATOS!$K$2:$K$20000)),"—")</f>
        <v>—</v>
      </c>
      <c r="L76" cm="1">
        <f t="array" ref="L76">SUMPRODUCT((DATOS!$G$2:$G$20000=CONFIG_METADATA!$B$4)*(DATOS!$D$2:$D$20000=A76)*(DATOS!$K$2:$K$20000=1))</f>
        <v>0</v>
      </c>
      <c r="M76" cm="1">
        <f t="array" ref="M76">SUMPRODUCT((DATOS!$G$2:$G$20000=CONFIG_METADATA!$B$4)*(DATOS!$D$2:$D$20000=A76)*(DATOS!$K$2:$K$20000=2))</f>
        <v>0</v>
      </c>
      <c r="N76" cm="1">
        <f t="array" ref="N76">SUMPRODUCT((DATOS!$G$2:$G$20000=CONFIG_METADATA!$B$4)*(DATOS!$D$2:$D$20000=A76)*(DATOS!$K$2:$K$20000=3))</f>
        <v>0</v>
      </c>
      <c r="O76" cm="1">
        <f t="array" ref="O76">SUMPRODUCT((DATOS!$G$2:$G$20000=CONFIG_METADATA!$B$4)*(DATOS!$D$2:$D$20000=A76)*(DATOS!$K$2:$K$20000=4))</f>
        <v>0</v>
      </c>
      <c r="P76" cm="1">
        <f t="array" ref="P76">SUMPRODUCT((DATOS!$G$2:$G$20000=CONFIG_METADATA!$B$4)*(DATOS!$D$2:$D$20000=A76)*(DATOS!$K$2:$K$20000=5))</f>
        <v>0</v>
      </c>
      <c r="Q76" cm="1">
        <f t="array" ref="Q76">SUMPRODUCT((DATOS!$G$2:$G$20000=CONFIG_METADATA!$B$4)*(DATOS!$D$2:$D$20000=A76)*(DATOS!$K$2:$K$20000=6))</f>
        <v>0</v>
      </c>
      <c r="R76" cm="1">
        <f t="array" ref="R76">SUMPRODUCT((DATOS!$G$2:$G$20000=CONFIG_METADATA!$B$4)*(DATOS!$D$2:$D$20000=A76)*(DATOS!$K$2:$K$20000=7))</f>
        <v>0</v>
      </c>
      <c r="S76" cm="1">
        <f t="array" ref="S76">SUMPRODUCT((DATOS!$G$2:$G$20000=CONFIG_METADATA!$B$4)*(DATOS!$D$2:$D$20000=A76)*(DATOS!$K$2:$K$20000=8))</f>
        <v>0</v>
      </c>
      <c r="T76" cm="1">
        <f t="array" ref="T76">SUMPRODUCT((DATOS!$G$2:$G$20000=CONFIG_METADATA!$B$4)*(DATOS!$D$2:$D$20000=A76)*(DATOS!$K$2:$K$20000=9))</f>
        <v>0</v>
      </c>
      <c r="U76" cm="1">
        <f t="array" ref="U76">SUMPRODUCT((DATOS!$G$2:$G$20000=CONFIG_METADATA!$B$4)*(DATOS!$D$2:$D$20000=A76)*(DATOS!$K$2:$K$20000=10))</f>
        <v>0</v>
      </c>
    </row>
    <row r="77" spans="1:22">
      <c r="A77" s="3" t="inlineStr">
        <is>
          <t xml:space="preserve">2EEM</t>
        </is>
      </c>
      <c r="B77" s="3" t="inlineStr">
        <is>
          <t xml:space="preserve">Total Especialidad</t>
        </is>
      </c>
      <c r="C77" s="3" t="inlineStr">
        <is>
          <t xml:space="preserve">TotalEsp</t>
        </is>
      </c>
      <c r="D77">
        <f>SUMPRODUCT((DATOS!$G$2:$G$20000=CONFIG_METADATA!$B$4)*(DATOS!$D$2:$D$20000=A77)*(COUNTIFS(CONFIG_ASIGNATURAS!$B$5:$B$27,DATOS!$I$2:$I$20000,CONFIG_ASIGNATURAS!$G$5:$G$27,"Sí")&gt;0)*1)</f>
      </c>
      <c r="E77" s="14">
        <f>IFERROR(AVERAGE(IF((DATOS!$G$2:$G$20000=CONFIG_METADATA!$B$4)*(DATOS!$D$2:$D$20000=A77)*(COUNTIFS(CONFIG_ASIGNATURAS!$B$5:$B$27,DATOS!$I$2:$I$20000,CONFIG_ASIGNATURAS!$G$5:$G$27,"Sí")&gt;0),DATOS!$K$2:$K$20000)),"—")</f>
      </c>
      <c r="F77" s="14">
        <f>IFERROR(_xlfn.STDEV.P(IF((DATOS!$G$2:$G$20000=CONFIG_METADATA!$B$4)*(DATOS!$D$2:$D$20000=A77)*(COUNTIFS(CONFIG_ASIGNATURAS!$B$5:$B$27,DATOS!$I$2:$I$20000,CONFIG_ASIGNATURAS!$G$5:$G$27,"Sí")&gt;0),DATOS!$K$2:$K$20000)),"—")</f>
      </c>
      <c r="G77">
        <f>IFERROR(_xlfn.MODE.SNGL(IF((DATOS!$G$2:$G$20000=CONFIG_METADATA!$B$4)*(DATOS!$D$2:$D$20000=A77)*(COUNTIFS(CONFIG_ASIGNATURAS!$B$5:$B$27,DATOS!$I$2:$I$20000,CONFIG_ASIGNATURAS!$G$5:$G$27,"Sí")&gt;0),DATOS!$K$2:$K$20000)),"—")</f>
      </c>
      <c r="H77" s="15">
        <f>IFERROR(SUMPRODUCT((DATOS!$G$2:$G$20000=CONFIG_METADATA!$B$4)*(DATOS!$D$2:$D$20000=A77)*(COUNTIFS(CONFIG_ASIGNATURAS!$B$5:$B$27,DATOS!$I$2:$I$20000,CONFIG_ASIGNATURAS!$G$5:$G$27,"Sí")&gt;0)*(DATOS!$L$2:$L$20000="S"))/SUMPRODUCT((DATOS!$G$2:$G$20000=CONFIG_METADATA!$B$4)*(DATOS!$D$2:$D$20000=A77)*(COUNTIFS(CONFIG_ASIGNATURAS!$B$5:$B$27,DATOS!$I$2:$I$20000,CONFIG_ASIGNATURAS!$G$5:$G$27,"Sí")&gt;0)*1),"—")</f>
      </c>
      <c r="I77" s="15">
        <f>IFERROR(SUMPRODUCT((DATOS!$G$2:$G$20000=CONFIG_METADATA!$B$4)*(DATOS!$D$2:$D$20000=A77)*(COUNTIFS(CONFIG_ASIGNATURAS!$B$5:$B$27,DATOS!$I$2:$I$20000,CONFIG_ASIGNATURAS!$G$5:$G$27,"Sí")&gt;0)*(DATOS!$L$2:$L$20000="N"))/SUMPRODUCT((DATOS!$G$2:$G$20000=CONFIG_METADATA!$B$4)*(DATOS!$D$2:$D$20000=A77)*(COUNTIFS(CONFIG_ASIGNATURAS!$B$5:$B$27,DATOS!$I$2:$I$20000,CONFIG_ASIGNATURAS!$G$5:$G$27,"Sí")&gt;0)*1),"—")</f>
      </c>
      <c r="J77">
        <f>IFERROR(_xlfn.MODE.SNGL(IF((DATOS!$G$2:$G$20000=CONFIG_METADATA!$B$4)*(DATOS!$D$2:$D$20000=A77)*(COUNTIFS(CONFIG_ASIGNATURAS!$B$5:$B$27,DATOS!$I$2:$I$20000,CONFIG_ASIGNATURAS!$G$5:$G$27,"Sí")&gt;0)*(DATOS!$L$2:$L$20000="S"),DATOS!$K$2:$K$20000)),"—")</f>
      </c>
      <c r="K77">
        <f>IFERROR(_xlfn.MODE.SNGL(IF((DATOS!$G$2:$G$20000=CONFIG_METADATA!$B$4)*(DATOS!$D$2:$D$20000=A77)*(COUNTIFS(CONFIG_ASIGNATURAS!$B$5:$B$27,DATOS!$I$2:$I$20000,CONFIG_ASIGNATURAS!$G$5:$G$27,"Sí")&gt;0)*(DATOS!$L$2:$L$20000="N"),DATOS!$K$2:$K$20000)),"—")</f>
      </c>
      <c r="L77">
        <f>SUMPRODUCT((DATOS!$G$2:$G$20000=CONFIG_METADATA!$B$4)*(DATOS!$D$2:$D$20000=A77)*(COUNTIFS(CONFIG_ASIGNATURAS!$B$5:$B$27,DATOS!$I$2:$I$20000,CONFIG_ASIGNATURAS!$G$5:$G$27,"Sí")&gt;0)*(DATOS!$K$2:$K$20000=1))</f>
      </c>
      <c r="M77">
        <f>SUMPRODUCT((DATOS!$G$2:$G$20000=CONFIG_METADATA!$B$4)*(DATOS!$D$2:$D$20000=A77)*(COUNTIFS(CONFIG_ASIGNATURAS!$B$5:$B$27,DATOS!$I$2:$I$20000,CONFIG_ASIGNATURAS!$G$5:$G$27,"Sí")&gt;0)*(DATOS!$K$2:$K$20000=2))</f>
      </c>
      <c r="N77">
        <f>SUMPRODUCT((DATOS!$G$2:$G$20000=CONFIG_METADATA!$B$4)*(DATOS!$D$2:$D$20000=A77)*(COUNTIFS(CONFIG_ASIGNATURAS!$B$5:$B$27,DATOS!$I$2:$I$20000,CONFIG_ASIGNATURAS!$G$5:$G$27,"Sí")&gt;0)*(DATOS!$K$2:$K$20000=3))</f>
      </c>
      <c r="O77">
        <f>SUMPRODUCT((DATOS!$G$2:$G$20000=CONFIG_METADATA!$B$4)*(DATOS!$D$2:$D$20000=A77)*(COUNTIFS(CONFIG_ASIGNATURAS!$B$5:$B$27,DATOS!$I$2:$I$20000,CONFIG_ASIGNATURAS!$G$5:$G$27,"Sí")&gt;0)*(DATOS!$K$2:$K$20000=4))</f>
      </c>
      <c r="P77">
        <f>SUMPRODUCT((DATOS!$G$2:$G$20000=CONFIG_METADATA!$B$4)*(DATOS!$D$2:$D$20000=A77)*(COUNTIFS(CONFIG_ASIGNATURAS!$B$5:$B$27,DATOS!$I$2:$I$20000,CONFIG_ASIGNATURAS!$G$5:$G$27,"Sí")&gt;0)*(DATOS!$K$2:$K$20000=5))</f>
      </c>
      <c r="Q77">
        <f>SUMPRODUCT((DATOS!$G$2:$G$20000=CONFIG_METADATA!$B$4)*(DATOS!$D$2:$D$20000=A77)*(COUNTIFS(CONFIG_ASIGNATURAS!$B$5:$B$27,DATOS!$I$2:$I$20000,CONFIG_ASIGNATURAS!$G$5:$G$27,"Sí")&gt;0)*(DATOS!$K$2:$K$20000=6))</f>
      </c>
      <c r="R77">
        <f>SUMPRODUCT((DATOS!$G$2:$G$20000=CONFIG_METADATA!$B$4)*(DATOS!$D$2:$D$20000=A77)*(COUNTIFS(CONFIG_ASIGNATURAS!$B$5:$B$27,DATOS!$I$2:$I$20000,CONFIG_ASIGNATURAS!$G$5:$G$27,"Sí")&gt;0)*(DATOS!$K$2:$K$20000=7))</f>
      </c>
      <c r="S77">
        <f>SUMPRODUCT((DATOS!$G$2:$G$20000=CONFIG_METADATA!$B$4)*(DATOS!$D$2:$D$20000=A77)*(COUNTIFS(CONFIG_ASIGNATURAS!$B$5:$B$27,DATOS!$I$2:$I$20000,CONFIG_ASIGNATURAS!$G$5:$G$27,"Sí")&gt;0)*(DATOS!$K$2:$K$20000=8))</f>
      </c>
      <c r="T77">
        <f>SUMPRODUCT((DATOS!$G$2:$G$20000=CONFIG_METADATA!$B$4)*(DATOS!$D$2:$D$20000=A77)*(COUNTIFS(CONFIG_ASIGNATURAS!$B$5:$B$27,DATOS!$I$2:$I$20000,CONFIG_ASIGNATURAS!$G$5:$G$27,"Sí")&gt;0)*(DATOS!$K$2:$K$20000=9))</f>
      </c>
      <c r="U77">
        <f>SUMPRODUCT((DATOS!$G$2:$G$20000=CONFIG_METADATA!$B$4)*(DATOS!$D$2:$D$20000=A77)*(COUNTIFS(CONFIG_ASIGNATURAS!$B$5:$B$27,DATOS!$I$2:$I$20000,CONFIG_ASIGNATURAS!$G$5:$G$27,"Sí")&gt;0)*(DATOS!$K$2:$K$20000=10))</f>
      </c>
    </row>
    <row r="78" spans="1:22">
      <c r="A78" s="3" t="inlineStr">
        <is>
          <t xml:space="preserve">2EEM</t>
        </is>
      </c>
      <c r="B78" s="3" t="inlineStr">
        <is>
          <t xml:space="preserve">Total no Especialidad</t>
        </is>
      </c>
      <c r="C78" s="3" t="inlineStr">
        <is>
          <t xml:space="preserve">TotalNoEsp</t>
        </is>
      </c>
      <c r="D78">
        <f>SUMPRODUCT((DATOS!$G$2:$G$20000=CONFIG_METADATA!$B$4)*(DATOS!$D$2:$D$20000=A78)*(COUNTIFS(CONFIG_ASIGNATURAS!$B$2:$B$4,DATOS!$I$2:$I$20000,CONFIG_ASIGNATURAS!$G$2:$G$4,"Sí")&gt;0)*1)</f>
      </c>
      <c r="E78" s="14">
        <f>IFERROR(AVERAGE(IF((DATOS!$G$2:$G$20000=CONFIG_METADATA!$B$4)*(DATOS!$D$2:$D$20000=A78)*(COUNTIFS(CONFIG_ASIGNATURAS!$B$2:$B$4,DATOS!$I$2:$I$20000,CONFIG_ASIGNATURAS!$G$2:$G$4,"Sí")&gt;0),DATOS!$K$2:$K$20000)),"—")</f>
      </c>
      <c r="F78" s="14">
        <f>IFERROR(_xlfn.STDEV.P(IF((DATOS!$G$2:$G$20000=CONFIG_METADATA!$B$4)*(DATOS!$D$2:$D$20000=A78)*(COUNTIFS(CONFIG_ASIGNATURAS!$B$2:$B$4,DATOS!$I$2:$I$20000,CONFIG_ASIGNATURAS!$G$2:$G$4,"Sí")&gt;0),DATOS!$K$2:$K$20000)),"—")</f>
      </c>
      <c r="G78">
        <f>IFERROR(_xlfn.MODE.SNGL(IF((DATOS!$G$2:$G$20000=CONFIG_METADATA!$B$4)*(DATOS!$D$2:$D$20000=A78)*(COUNTIFS(CONFIG_ASIGNATURAS!$B$2:$B$4,DATOS!$I$2:$I$20000,CONFIG_ASIGNATURAS!$G$2:$G$4,"Sí")&gt;0),DATOS!$K$2:$K$20000)),"—")</f>
      </c>
      <c r="H78" s="15">
        <f>IFERROR(SUMPRODUCT((DATOS!$G$2:$G$20000=CONFIG_METADATA!$B$4)*(DATOS!$D$2:$D$20000=A78)*(COUNTIFS(CONFIG_ASIGNATURAS!$B$2:$B$4,DATOS!$I$2:$I$20000,CONFIG_ASIGNATURAS!$G$2:$G$4,"Sí")&gt;0)*(DATOS!$L$2:$L$20000="S"))/SUMPRODUCT((DATOS!$G$2:$G$20000=CONFIG_METADATA!$B$4)*(DATOS!$D$2:$D$20000=A78)*(COUNTIFS(CONFIG_ASIGNATURAS!$B$2:$B$4,DATOS!$I$2:$I$20000,CONFIG_ASIGNATURAS!$G$2:$G$4,"Sí")&gt;0)*1),"—")</f>
      </c>
      <c r="I78" s="15">
        <f>IFERROR(SUMPRODUCT((DATOS!$G$2:$G$20000=CONFIG_METADATA!$B$4)*(DATOS!$D$2:$D$20000=A78)*(COUNTIFS(CONFIG_ASIGNATURAS!$B$2:$B$4,DATOS!$I$2:$I$20000,CONFIG_ASIGNATURAS!$G$2:$G$4,"Sí")&gt;0)*(DATOS!$L$2:$L$20000="N"))/SUMPRODUCT((DATOS!$G$2:$G$20000=CONFIG_METADATA!$B$4)*(DATOS!$D$2:$D$20000=A78)*(COUNTIFS(CONFIG_ASIGNATURAS!$B$2:$B$4,DATOS!$I$2:$I$20000,CONFIG_ASIGNATURAS!$G$2:$G$4,"Sí")&gt;0)*1),"—")</f>
      </c>
      <c r="J78">
        <f>IFERROR(_xlfn.MODE.SNGL(IF((DATOS!$G$2:$G$20000=CONFIG_METADATA!$B$4)*(DATOS!$D$2:$D$20000=A78)*(COUNTIFS(CONFIG_ASIGNATURAS!$B$2:$B$4,DATOS!$I$2:$I$20000,CONFIG_ASIGNATURAS!$G$2:$G$4,"Sí")&gt;0)*(DATOS!$L$2:$L$20000="S"),DATOS!$K$2:$K$20000)),"—")</f>
      </c>
      <c r="K78">
        <f>IFERROR(_xlfn.MODE.SNGL(IF((DATOS!$G$2:$G$20000=CONFIG_METADATA!$B$4)*(DATOS!$D$2:$D$20000=A78)*(COUNTIFS(CONFIG_ASIGNATURAS!$B$2:$B$4,DATOS!$I$2:$I$20000,CONFIG_ASIGNATURAS!$G$2:$G$4,"Sí")&gt;0)*(DATOS!$L$2:$L$20000="N"),DATOS!$K$2:$K$20000)),"—")</f>
      </c>
      <c r="L78">
        <f>SUMPRODUCT((DATOS!$G$2:$G$20000=CONFIG_METADATA!$B$4)*(DATOS!$D$2:$D$20000=A78)*(COUNTIFS(CONFIG_ASIGNATURAS!$B$2:$B$4,DATOS!$I$2:$I$20000,CONFIG_ASIGNATURAS!$G$2:$G$4,"Sí")&gt;0)*(DATOS!$K$2:$K$20000=1))</f>
      </c>
      <c r="M78">
        <f>SUMPRODUCT((DATOS!$G$2:$G$20000=CONFIG_METADATA!$B$4)*(DATOS!$D$2:$D$20000=A78)*(COUNTIFS(CONFIG_ASIGNATURAS!$B$2:$B$4,DATOS!$I$2:$I$20000,CONFIG_ASIGNATURAS!$G$2:$G$4,"Sí")&gt;0)*(DATOS!$K$2:$K$20000=2))</f>
      </c>
      <c r="N78">
        <f>SUMPRODUCT((DATOS!$G$2:$G$20000=CONFIG_METADATA!$B$4)*(DATOS!$D$2:$D$20000=A78)*(COUNTIFS(CONFIG_ASIGNATURAS!$B$2:$B$4,DATOS!$I$2:$I$20000,CONFIG_ASIGNATURAS!$G$2:$G$4,"Sí")&gt;0)*(DATOS!$K$2:$K$20000=3))</f>
      </c>
      <c r="O78">
        <f>SUMPRODUCT((DATOS!$G$2:$G$20000=CONFIG_METADATA!$B$4)*(DATOS!$D$2:$D$20000=A78)*(COUNTIFS(CONFIG_ASIGNATURAS!$B$2:$B$4,DATOS!$I$2:$I$20000,CONFIG_ASIGNATURAS!$G$2:$G$4,"Sí")&gt;0)*(DATOS!$K$2:$K$20000=4))</f>
      </c>
      <c r="P78">
        <f>SUMPRODUCT((DATOS!$G$2:$G$20000=CONFIG_METADATA!$B$4)*(DATOS!$D$2:$D$20000=A78)*(COUNTIFS(CONFIG_ASIGNATURAS!$B$2:$B$4,DATOS!$I$2:$I$20000,CONFIG_ASIGNATURAS!$G$2:$G$4,"Sí")&gt;0)*(DATOS!$K$2:$K$20000=5))</f>
      </c>
      <c r="Q78">
        <f>SUMPRODUCT((DATOS!$G$2:$G$20000=CONFIG_METADATA!$B$4)*(DATOS!$D$2:$D$20000=A78)*(COUNTIFS(CONFIG_ASIGNATURAS!$B$2:$B$4,DATOS!$I$2:$I$20000,CONFIG_ASIGNATURAS!$G$2:$G$4,"Sí")&gt;0)*(DATOS!$K$2:$K$20000=6))</f>
      </c>
      <c r="R78">
        <f>SUMPRODUCT((DATOS!$G$2:$G$20000=CONFIG_METADATA!$B$4)*(DATOS!$D$2:$D$20000=A78)*(COUNTIFS(CONFIG_ASIGNATURAS!$B$2:$B$4,DATOS!$I$2:$I$20000,CONFIG_ASIGNATURAS!$G$2:$G$4,"Sí")&gt;0)*(DATOS!$K$2:$K$20000=7))</f>
      </c>
      <c r="S78">
        <f>SUMPRODUCT((DATOS!$G$2:$G$20000=CONFIG_METADATA!$B$4)*(DATOS!$D$2:$D$20000=A78)*(COUNTIFS(CONFIG_ASIGNATURAS!$B$2:$B$4,DATOS!$I$2:$I$20000,CONFIG_ASIGNATURAS!$G$2:$G$4,"Sí")&gt;0)*(DATOS!$K$2:$K$20000=8))</f>
      </c>
      <c r="T78">
        <f>SUMPRODUCT((DATOS!$G$2:$G$20000=CONFIG_METADATA!$B$4)*(DATOS!$D$2:$D$20000=A78)*(COUNTIFS(CONFIG_ASIGNATURAS!$B$2:$B$4,DATOS!$I$2:$I$20000,CONFIG_ASIGNATURAS!$G$2:$G$4,"Sí")&gt;0)*(DATOS!$K$2:$K$20000=9))</f>
      </c>
      <c r="U78">
        <f>SUMPRODUCT((DATOS!$G$2:$G$20000=CONFIG_METADATA!$B$4)*(DATOS!$D$2:$D$20000=A78)*(COUNTIFS(CONFIG_ASIGNATURAS!$B$2:$B$4,DATOS!$I$2:$I$20000,CONFIG_ASIGNATURAS!$G$2:$G$4,"Sí")&gt;0)*(DATOS!$K$2:$K$20000=10))</f>
      </c>
    </row>
    <row r="79" spans="1:22">
      <c r="A79" s="3" t="inlineStr">
        <is>
          <t xml:space="preserve">2EEM</t>
        </is>
      </c>
      <c r="B79" s="3">
        <f>IFERROR(INDEX(_xlfn._xlws.FILTER(CONFIG_ASIGNATURAS!$B$2:$B$27,CONFIG_ASIGNATURAS!$G$2:$G$27="Sí"),1),"")</f>
      </c>
      <c r="C79" s="3">
        <f>IF(B79="","",IFERROR(IF(VLOOKUP(B79,CONFIG_ASIGNATURAS!$B$2:$F$27,5,FALSE())="Sí","Especialidad","Asignatura"),"Asignatura"))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2EEM</t>
        </is>
      </c>
      <c r="B80" s="3">
        <f>IFERROR(INDEX(_xlfn._xlws.FILTER(CONFIG_ASIGNATURAS!$B$2:$B$27,CONFIG_ASIGNATURAS!$G$2:$G$27="Sí"),2),"")</f>
      </c>
      <c r="C80" s="3">
        <f>IF(B80="","",IFERROR(IF(VLOOKUP(B80,CONFIG_ASIGNATURAS!$B$2:$F$27,5,FALSE())="Sí","Especialidad","Asignatura"),"Asignatura"))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2EEM</t>
        </is>
      </c>
      <c r="B81" s="3">
        <f>IFERROR(INDEX(_xlfn._xlws.FILTER(CONFIG_ASIGNATURAS!$B$2:$B$27,CONFIG_ASIGNATURAS!$G$2:$G$27="Sí"),3),"")</f>
      </c>
      <c r="C81" s="3">
        <f>IF(B81="","",IFERROR(IF(VLOOKUP(B81,CONFIG_ASIGNATURAS!$B$2:$F$27,5,FALSE())="Sí","Especialidad","Asignatura"),"Asignatura"))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2EEM</t>
        </is>
      </c>
      <c r="B82" s="3">
        <f>IFERROR(INDEX(_xlfn._xlws.FILTER(CONFIG_ASIGNATURAS!$B$2:$B$27,CONFIG_ASIGNATURAS!$G$2:$G$27="Sí"),4),"")</f>
      </c>
      <c r="C82" s="3">
        <f>IF(B82="","",IFERROR(IF(VLOOKUP(B82,CONFIG_ASIGNATURAS!$B$2:$F$27,5,FALSE())="Sí","Especialidad","Asignatura"),"Asignatura"))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2EEM</t>
        </is>
      </c>
      <c r="B83" s="3">
        <f>IFERROR(INDEX(_xlfn._xlws.FILTER(CONFIG_ASIGNATURAS!$B$2:$B$27,CONFIG_ASIGNATURAS!$G$2:$G$27="Sí"),5),"")</f>
      </c>
      <c r="C83" s="3">
        <f>IF(B83="","",IFERROR(IF(VLOOKUP(B83,CONFIG_ASIGNATURAS!$B$2:$F$27,5,FALSE())="Sí","Especialidad","Asignatura"),"Asignatura"))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2EEM</t>
        </is>
      </c>
      <c r="B84" s="3">
        <f>IFERROR(INDEX(_xlfn._xlws.FILTER(CONFIG_ASIGNATURAS!$B$2:$B$27,CONFIG_ASIGNATURAS!$G$2:$G$27="Sí"),6),"")</f>
      </c>
      <c r="C84" s="3">
        <f>IF(B84="","",IFERROR(IF(VLOOKUP(B84,CONFIG_ASIGNATURAS!$B$2:$F$27,5,FALSE())="Sí","Especialidad","Asignatura"),"Asignatura"))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2EEM</t>
        </is>
      </c>
      <c r="B85" s="3">
        <f>IFERROR(INDEX(_xlfn._xlws.FILTER(CONFIG_ASIGNATURAS!$B$2:$B$27,CONFIG_ASIGNATURAS!$G$2:$G$27="Sí"),7),"")</f>
      </c>
      <c r="C85" s="3">
        <f>IF(B85="","",IFERROR(IF(VLOOKUP(B85,CONFIG_ASIGNATURAS!$B$2:$F$27,5,FALSE())="Sí","Especialidad","Asignatura"),"Asignatura"))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2EEM</t>
        </is>
      </c>
      <c r="B86" s="3">
        <f>IFERROR(INDEX(_xlfn._xlws.FILTER(CONFIG_ASIGNATURAS!$B$2:$B$27,CONFIG_ASIGNATURAS!$G$2:$G$27="Sí"),8),"")</f>
      </c>
      <c r="C86" s="3">
        <f>IF(B86="","",IFERROR(IF(VLOOKUP(B86,CONFIG_ASIGNATURAS!$B$2:$F$27,5,FALSE())="Sí","Especialidad","Asignatura"),"Asignatura"))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2EEM</t>
        </is>
      </c>
      <c r="B87" s="3">
        <f>IFERROR(INDEX(_xlfn._xlws.FILTER(CONFIG_ASIGNATURAS!$B$2:$B$27,CONFIG_ASIGNATURAS!$G$2:$G$27="Sí"),9),"")</f>
      </c>
      <c r="C87" s="3">
        <f>IF(B87="","",IFERROR(IF(VLOOKUP(B87,CONFIG_ASIGNATURAS!$B$2:$F$27,5,FALSE())="Sí","Especialidad","Asignatura"),"Asignatura"))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2EEM</t>
        </is>
      </c>
      <c r="B88" s="3">
        <f>IFERROR(INDEX(_xlfn._xlws.FILTER(CONFIG_ASIGNATURAS!$B$2:$B$27,CONFIG_ASIGNATURAS!$G$2:$G$27="Sí"),10),"")</f>
      </c>
      <c r="C88" s="3">
        <f>IF(B88="","",IFERROR(IF(VLOOKUP(B88,CONFIG_ASIGNATURAS!$B$2:$F$27,5,FALSE())="Sí","Especialidad","Asignatura"),"Asignatura"))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2EEM</t>
        </is>
      </c>
      <c r="B89" s="3">
        <f>IFERROR(INDEX(_xlfn._xlws.FILTER(CONFIG_ASIGNATURAS!$B$2:$B$27,CONFIG_ASIGNATURAS!$G$2:$G$27="Sí"),11),"")</f>
      </c>
      <c r="C89" s="3">
        <f>IF(B89="","",IFERROR(IF(VLOOKUP(B89,CONFIG_ASIGNATURAS!$B$2:$F$27,5,FALSE())="Sí","Especialidad","Asignatura"),"Asignatura"))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2EEM</t>
        </is>
      </c>
      <c r="B90" s="3">
        <f>IFERROR(INDEX(_xlfn._xlws.FILTER(CONFIG_ASIGNATURAS!$B$2:$B$27,CONFIG_ASIGNATURAS!$G$2:$G$27="Sí"),12),"")</f>
      </c>
      <c r="C90" s="3">
        <f>IF(B90="","",IFERROR(IF(VLOOKUP(B90,CONFIG_ASIGNATURAS!$B$2:$F$27,5,FALSE())="Sí","Especialidad","Asignatura"),"Asignatura"))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2EEM</t>
        </is>
      </c>
      <c r="B91" s="3">
        <f>IFERROR(INDEX(_xlfn._xlws.FILTER(CONFIG_ASIGNATURAS!$B$2:$B$27,CONFIG_ASIGNATURAS!$G$2:$G$27="Sí"),13),"")</f>
      </c>
      <c r="C91" s="3">
        <f>IF(B91="","",IFERROR(IF(VLOOKUP(B91,CONFIG_ASIGNATURAS!$B$2:$F$27,5,FALSE())="Sí","Especialidad","Asignatura"),"Asignatura"))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2EEM</t>
        </is>
      </c>
      <c r="B92" s="3">
        <f>IFERROR(INDEX(_xlfn._xlws.FILTER(CONFIG_ASIGNATURAS!$B$2:$B$27,CONFIG_ASIGNATURAS!$G$2:$G$27="Sí"),14),"")</f>
      </c>
      <c r="C92" s="3">
        <f>IF(B92="","",IFERROR(IF(VLOOKUP(B92,CONFIG_ASIGNATURAS!$B$2:$F$27,5,FALSE())="Sí","Especialidad","Asignatura"),"Asignatura"))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2EEM</t>
        </is>
      </c>
      <c r="B93" s="3">
        <f>IFERROR(INDEX(_xlfn._xlws.FILTER(CONFIG_ASIGNATURAS!$B$2:$B$27,CONFIG_ASIGNATURAS!$G$2:$G$27="Sí"),15),"")</f>
      </c>
      <c r="C93" s="3">
        <f>IF(B93="","",IFERROR(IF(VLOOKUP(B93,CONFIG_ASIGNATURAS!$B$2:$F$27,5,FALSE())="Sí","Especialidad","Asignatura"),"Asignatura"))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2EEM</t>
        </is>
      </c>
      <c r="B94" s="3">
        <f>IFERROR(INDEX(_xlfn._xlws.FILTER(CONFIG_ASIGNATURAS!$B$2:$B$27,CONFIG_ASIGNATURAS!$G$2:$G$27="Sí"),16),"")</f>
      </c>
      <c r="C94" s="3">
        <f>IF(B94="","",IFERROR(IF(VLOOKUP(B94,CONFIG_ASIGNATURAS!$B$2:$F$27,5,FALSE())="Sí","Especialidad","Asignatura"),"Asignatura"))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2EEM</t>
        </is>
      </c>
      <c r="B95" s="3">
        <f>IFERROR(INDEX(_xlfn._xlws.FILTER(CONFIG_ASIGNATURAS!$B$2:$B$27,CONFIG_ASIGNATURAS!$G$2:$G$27="Sí"),17),"")</f>
      </c>
      <c r="C95" s="3">
        <f>IF(B95="","",IFERROR(IF(VLOOKUP(B95,CONFIG_ASIGNATURAS!$B$2:$F$27,5,FALSE())="Sí","Especialidad","Asignatura"),"Asignatura"))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2EEM</t>
        </is>
      </c>
      <c r="B96" s="3">
        <f>IFERROR(INDEX(_xlfn._xlws.FILTER(CONFIG_ASIGNATURAS!$B$2:$B$27,CONFIG_ASIGNATURAS!$G$2:$G$27="Sí"),18),"")</f>
      </c>
      <c r="C96" s="3">
        <f>IF(B96="","",IFERROR(IF(VLOOKUP(B96,CONFIG_ASIGNATURAS!$B$2:$F$27,5,FALSE())="Sí","Especialidad","Asignatura"),"Asignatura"))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2EEM</t>
        </is>
      </c>
      <c r="B97" s="3">
        <f>IFERROR(INDEX(_xlfn._xlws.FILTER(CONFIG_ASIGNATURAS!$B$2:$B$27,CONFIG_ASIGNATURAS!$G$2:$G$27="Sí"),19),"")</f>
      </c>
      <c r="C97" s="3">
        <f>IF(B97="","",IFERROR(IF(VLOOKUP(B97,CONFIG_ASIGNATURAS!$B$2:$F$27,5,FALSE())="Sí","Especialidad","Asignatura"),"Asignatura"))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2EEM</t>
        </is>
      </c>
      <c r="B98" s="3">
        <f>IFERROR(INDEX(_xlfn._xlws.FILTER(CONFIG_ASIGNATURAS!$B$2:$B$27,CONFIG_ASIGNATURAS!$G$2:$G$27="Sí"),20),"")</f>
      </c>
      <c r="C98" s="3">
        <f>IF(B98="","",IFERROR(IF(VLOOKUP(B98,CONFIG_ASIGNATURAS!$B$2:$F$27,5,FALSE())="Sí","Especialidad","Asignatura"),"Asignatura"))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2EEM</t>
        </is>
      </c>
      <c r="B99" s="3">
        <f>IFERROR(INDEX(_xlfn._xlws.FILTER(CONFIG_ASIGNATURAS!$B$2:$B$27,CONFIG_ASIGNATURAS!$G$2:$G$27="Sí"),21),"")</f>
      </c>
      <c r="C99" s="3">
        <f>IF(B99="","",IFERROR(IF(VLOOKUP(B99,CONFIG_ASIGNATURAS!$B$2:$F$27,5,FALSE())="Sí","Especialidad","Asignatura"),"Asignatura"))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2EEM</t>
        </is>
      </c>
      <c r="B100" s="3">
        <f>IFERROR(INDEX(_xlfn._xlws.FILTER(CONFIG_ASIGNATURAS!$B$2:$B$27,CONFIG_ASIGNATURAS!$G$2:$G$27="Sí"),22),"")</f>
      </c>
      <c r="C100" s="3">
        <f>IF(B100="","",IFERROR(IF(VLOOKUP(B100,CONFIG_ASIGNATURAS!$B$2:$F$27,5,FALSE())="Sí","Especialidad","Asignatura"),"Asignatura"))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2EEM</t>
        </is>
      </c>
      <c r="B101" s="3">
        <f>IFERROR(INDEX(_xlfn._xlws.FILTER(CONFIG_ASIGNATURAS!$B$2:$B$27,CONFIG_ASIGNATURAS!$G$2:$G$27="Sí"),23),"")</f>
      </c>
      <c r="C101" s="3">
        <f>IF(B101="","",IFERROR(IF(VLOOKUP(B101,CONFIG_ASIGNATURAS!$B$2:$F$27,5,FALSE())="Sí","Especialidad","Asignatura"),"Asignatura"))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2EEM</t>
        </is>
      </c>
      <c r="B102" s="3">
        <f>IFERROR(INDEX(_xlfn._xlws.FILTER(CONFIG_ASIGNATURAS!$B$2:$B$27,CONFIG_ASIGNATURAS!$G$2:$G$27="Sí"),24),"")</f>
      </c>
      <c r="C102" s="3">
        <f>IF(B102="","",IFERROR(IF(VLOOKUP(B102,CONFIG_ASIGNATURAS!$B$2:$F$27,5,FALSE())="Sí","Especialidad","Asignatura"),"Asignatura"))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2EEM</t>
        </is>
      </c>
      <c r="B103" s="3">
        <f>IFERROR(INDEX(_xlfn._xlws.FILTER(CONFIG_ASIGNATURAS!$B$2:$B$27,CONFIG_ASIGNATURAS!$G$2:$G$27="Sí"),25),"")</f>
      </c>
      <c r="C103" s="3">
        <f>IF(B103="","",IFERROR(IF(VLOOKUP(B103,CONFIG_ASIGNATURAS!$B$2:$F$27,5,FALSE())="Sí","Especialidad","Asignatura"),"Asignatura"))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2EEM</t>
        </is>
      </c>
      <c r="B104" s="3">
        <f>IFERROR(INDEX(_xlfn._xlws.FILTER(CONFIG_ASIGNATURAS!$B$2:$B$27,CONFIG_ASIGNATURAS!$G$2:$G$27="Sí"),26),"")</f>
      </c>
      <c r="C104" s="3">
        <f>IF(B104="","",IFERROR(IF(VLOOKUP(B104,CONFIG_ASIGNATURAS!$B$2:$F$27,5,FALSE())="Sí","Especialidad","Asignatura"),"Asignatura"))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2EEM</t>
        </is>
      </c>
      <c r="B105" s="3">
        <f>IFERROR(INDEX(_xlfn._xlws.FILTER(CONFIG_ASIGNATURAS!$B$2:$B$27,CONFIG_ASIGNATURAS!$G$2:$G$27="Sí"),27),"")</f>
      </c>
      <c r="C105" s="3">
        <f>IF(B105="","",IFERROR(IF(VLOOKUP(B105,CONFIG_ASIGNATURAS!$B$2:$F$27,5,FALSE())="Sí","Especialidad","Asignatura"),"Asignatura"))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2EEM</t>
        </is>
      </c>
      <c r="B106" s="3">
        <f>IFERROR(INDEX(_xlfn._xlws.FILTER(CONFIG_ASIGNATURAS!$B$2:$B$27,CONFIG_ASIGNATURAS!$G$2:$G$27="Sí"),28),"")</f>
      </c>
      <c r="C106" s="3">
        <f>IF(B106="","",IFERROR(IF(VLOOKUP(B106,CONFIG_ASIGNATURAS!$B$2:$F$27,5,FALSE())="Sí","Especialidad","Asignatura"),"Asignatura"))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2EEM</t>
        </is>
      </c>
      <c r="B107" s="3">
        <f>IFERROR(INDEX(_xlfn._xlws.FILTER(CONFIG_ASIGNATURAS!$B$2:$B$27,CONFIG_ASIGNATURAS!$G$2:$G$27="Sí"),29),"")</f>
      </c>
      <c r="C107" s="3">
        <f>IF(B107="","",IFERROR(IF(VLOOKUP(B107,CONFIG_ASIGNATURAS!$B$2:$F$27,5,FALSE())="Sí","Especialidad","Asignatura"),"Asignatura"))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2EEM</t>
        </is>
      </c>
      <c r="B108" s="3">
        <f>IFERROR(INDEX(_xlfn._xlws.FILTER(CONFIG_ASIGNATURAS!$B$2:$B$27,CONFIG_ASIGNATURAS!$G$2:$G$27="Sí"),30),"")</f>
      </c>
      <c r="C108" s="3">
        <f>IF(B108="","",IFERROR(IF(VLOOKUP(B108,CONFIG_ASIGNATURAS!$B$2:$F$27,5,FALSE())="Sí","Especialidad","Asignatura"),"Asignatura"))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2EEM</t>
        </is>
      </c>
      <c r="B109" s="3">
        <f>IFERROR(INDEX(_xlfn._xlws.FILTER(CONFIG_ASIGNATURAS!$B$2:$B$27,CONFIG_ASIGNATURAS!$G$2:$G$27="Sí"),31),"")</f>
      </c>
      <c r="C109" s="3">
        <f>IF(B109="","",IFERROR(IF(VLOOKUP(B109,CONFIG_ASIGNATURAS!$B$2:$F$27,5,FALSE())="Sí","Especialidad","Asignatura"),"Asignatura"))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2EEM</t>
        </is>
      </c>
      <c r="B110" s="3">
        <f>IFERROR(INDEX(_xlfn._xlws.FILTER(CONFIG_ASIGNATURAS!$B$2:$B$27,CONFIG_ASIGNATURAS!$G$2:$G$27="Sí"),32),"")</f>
      </c>
      <c r="C110" s="3">
        <f>IF(B110="","",IFERROR(IF(VLOOKUP(B110,CONFIG_ASIGNATURAS!$B$2:$F$27,5,FALSE())="Sí","Especialidad","Asignatura"),"Asignatura"))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2EEM</t>
        </is>
      </c>
      <c r="B111" s="3">
        <f>IFERROR(INDEX(_xlfn._xlws.FILTER(CONFIG_ASIGNATURAS!$B$2:$B$27,CONFIG_ASIGNATURAS!$G$2:$G$27="Sí"),33),"")</f>
      </c>
      <c r="C111" s="3">
        <f>IF(B111="","",IFERROR(IF(VLOOKUP(B111,CONFIG_ASIGNATURAS!$B$2:$F$27,5,FALSE())="Sí","Especialidad","Asignatura"),"Asignatura"))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2EEM</t>
        </is>
      </c>
      <c r="B112" s="3">
        <f>IFERROR(INDEX(_xlfn._xlws.FILTER(CONFIG_ASIGNATURAS!$B$2:$B$27,CONFIG_ASIGNATURAS!$G$2:$G$27="Sí"),34),"")</f>
      </c>
      <c r="C112" s="3">
        <f>IF(B112="","",IFERROR(IF(VLOOKUP(B112,CONFIG_ASIGNATURAS!$B$2:$F$27,5,FALSE())="Sí","Especialidad","Asignatura"),"Asignatura"))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3EEM</t>
        </is>
      </c>
      <c r="B113" s="3" t="inlineStr">
        <is>
          <t xml:space="preserve">Total</t>
        </is>
      </c>
      <c r="C113" s="3" t="inlineStr">
        <is>
          <t xml:space="preserve">Total</t>
        </is>
      </c>
      <c r="D113">
        <f>COUNTIFS(DATOS!G:G,CONFIG_METADATA!$B$4,DATOS!D:D,A113)</f>
        <v>0</v>
      </c>
      <c r="E113" s="14" t="str">
        <f>IFERROR(AVERAGEIFS(DATOS!K:K,DATOS!G:G,CONFIG_METADATA!$B$4,DATOS!D:D,A113),"—")</f>
        <v>—</v>
      </c>
      <c r="F113" s="14" t="str" cm="1">
        <f t="array" ref="F113">IFERROR(_xlfn.STDEV.P(IF((DATOS!$G$2:$G$20000=CONFIG_METADATA!$B$4)*(DATOS!$D$2:$D$20000=A113),DATOS!$K$2:$K$20000)),"—")</f>
        <v>—</v>
      </c>
      <c r="G113" t="str" cm="1">
        <f t="array" ref="G113">IFERROR(_xlfn.MODE.SNGL(IF((DATOS!$G$2:$G$20000=CONFIG_METADATA!$B$4)*(DATOS!$D$2:$D$20000=A113),DATOS!$K$2:$K$20000)),"—")</f>
        <v>—</v>
      </c>
      <c r="H113" s="15" t="str">
        <f>IFERROR(COUNTIFS(DATOS!$G$2:$G$20000,CONFIG_METADATA!$B$4,DATOS!$D$2:$D$20000,A113,DATOS!$L$2:$L$20000,"S")/COUNTIFS(DATOS!$G$2:$G$20000,CONFIG_METADATA!$B$4,DATOS!$D$2:$D$20000,A113),"—")</f>
        <v>—</v>
      </c>
      <c r="I113" s="15" t="str">
        <f>IFERROR(COUNTIFS(DATOS!$G$2:$G$20000,CONFIG_METADATA!$B$4,DATOS!$D$2:$D$20000,A113,DATOS!$L$2:$L$20000,"N")/COUNTIFS(DATOS!$G$2:$G$20000,CONFIG_METADATA!$B$4,DATOS!$D$2:$D$20000,A113),"—")</f>
        <v>—</v>
      </c>
      <c r="J113" t="str" cm="1">
        <f t="array" ref="J113">IFERROR(_xlfn.MODE.SNGL(IF((DATOS!$G$2:$G$20000=CONFIG_METADATA!$B$4)*(DATOS!$D$2:$D$20000=A113)*(DATOS!$L$2:$L$20000="S"),DATOS!$K$2:$K$20000)),"—")</f>
        <v>—</v>
      </c>
      <c r="K113" t="str" cm="1">
        <f t="array" ref="K113">IFERROR(_xlfn.MODE.SNGL(IF((DATOS!$G$2:$G$20000=CONFIG_METADATA!$B$4)*(DATOS!$D$2:$D$20000=A113)*(DATOS!$L$2:$L$20000="N"),DATOS!$K$2:$K$20000)),"—")</f>
        <v>—</v>
      </c>
      <c r="L113" cm="1">
        <f t="array" ref="L113">SUMPRODUCT((DATOS!$G$2:$G$20000=CONFIG_METADATA!$B$4)*(DATOS!$D$2:$D$20000=A113)*(DATOS!$K$2:$K$20000=1))</f>
        <v>0</v>
      </c>
      <c r="M113" cm="1">
        <f t="array" ref="M113">SUMPRODUCT((DATOS!$G$2:$G$20000=CONFIG_METADATA!$B$4)*(DATOS!$D$2:$D$20000=A113)*(DATOS!$K$2:$K$20000=2))</f>
        <v>0</v>
      </c>
      <c r="N113" cm="1">
        <f t="array" ref="N113">SUMPRODUCT((DATOS!$G$2:$G$20000=CONFIG_METADATA!$B$4)*(DATOS!$D$2:$D$20000=A113)*(DATOS!$K$2:$K$20000=3))</f>
        <v>0</v>
      </c>
      <c r="O113" cm="1">
        <f t="array" ref="O113">SUMPRODUCT((DATOS!$G$2:$G$20000=CONFIG_METADATA!$B$4)*(DATOS!$D$2:$D$20000=A113)*(DATOS!$K$2:$K$20000=4))</f>
        <v>0</v>
      </c>
      <c r="P113" cm="1">
        <f t="array" ref="P113">SUMPRODUCT((DATOS!$G$2:$G$20000=CONFIG_METADATA!$B$4)*(DATOS!$D$2:$D$20000=A113)*(DATOS!$K$2:$K$20000=5))</f>
        <v>0</v>
      </c>
      <c r="Q113" cm="1">
        <f t="array" ref="Q113">SUMPRODUCT((DATOS!$G$2:$G$20000=CONFIG_METADATA!$B$4)*(DATOS!$D$2:$D$20000=A113)*(DATOS!$K$2:$K$20000=6))</f>
        <v>0</v>
      </c>
      <c r="R113" cm="1">
        <f t="array" ref="R113">SUMPRODUCT((DATOS!$G$2:$G$20000=CONFIG_METADATA!$B$4)*(DATOS!$D$2:$D$20000=A113)*(DATOS!$K$2:$K$20000=7))</f>
        <v>0</v>
      </c>
      <c r="S113" cm="1">
        <f t="array" ref="S113">SUMPRODUCT((DATOS!$G$2:$G$20000=CONFIG_METADATA!$B$4)*(DATOS!$D$2:$D$20000=A113)*(DATOS!$K$2:$K$20000=8))</f>
        <v>0</v>
      </c>
      <c r="T113" cm="1">
        <f t="array" ref="T113">SUMPRODUCT((DATOS!$G$2:$G$20000=CONFIG_METADATA!$B$4)*(DATOS!$D$2:$D$20000=A113)*(DATOS!$K$2:$K$20000=9))</f>
        <v>0</v>
      </c>
      <c r="U113" cm="1">
        <f t="array" ref="U113">SUMPRODUCT((DATOS!$G$2:$G$20000=CONFIG_METADATA!$B$4)*(DATOS!$D$2:$D$20000=A113)*(DATOS!$K$2:$K$20000=10))</f>
        <v>0</v>
      </c>
    </row>
    <row r="114" spans="1:22">
      <c r="A114" s="3" t="inlineStr">
        <is>
          <t xml:space="preserve">3EEM</t>
        </is>
      </c>
      <c r="B114" s="3" t="inlineStr">
        <is>
          <t xml:space="preserve">Total Especialidad</t>
        </is>
      </c>
      <c r="C114" s="3" t="inlineStr">
        <is>
          <t xml:space="preserve">TotalEsp</t>
        </is>
      </c>
      <c r="D114">
        <f>SUMPRODUCT((DATOS!$G$2:$G$20000=CONFIG_METADATA!$B$4)*(DATOS!$D$2:$D$20000=A114)*(COUNTIFS(CONFIG_ASIGNATURAS!$B$5:$B$27,DATOS!$I$2:$I$20000,CONFIG_ASIGNATURAS!$G$5:$G$27,"Sí")&gt;0)*1)</f>
      </c>
      <c r="E114" s="14">
        <f>IFERROR(AVERAGE(IF((DATOS!$G$2:$G$20000=CONFIG_METADATA!$B$4)*(DATOS!$D$2:$D$20000=A114)*(COUNTIFS(CONFIG_ASIGNATURAS!$B$5:$B$27,DATOS!$I$2:$I$20000,CONFIG_ASIGNATURAS!$G$5:$G$27,"Sí")&gt;0),DATOS!$K$2:$K$20000)),"—")</f>
      </c>
      <c r="F114" s="14">
        <f>IFERROR(_xlfn.STDEV.P(IF((DATOS!$G$2:$G$20000=CONFIG_METADATA!$B$4)*(DATOS!$D$2:$D$20000=A114)*(COUNTIFS(CONFIG_ASIGNATURAS!$B$5:$B$27,DATOS!$I$2:$I$20000,CONFIG_ASIGNATURAS!$G$5:$G$27,"Sí")&gt;0),DATOS!$K$2:$K$20000)),"—")</f>
      </c>
      <c r="G114">
        <f>IFERROR(_xlfn.MODE.SNGL(IF((DATOS!$G$2:$G$20000=CONFIG_METADATA!$B$4)*(DATOS!$D$2:$D$20000=A114)*(COUNTIFS(CONFIG_ASIGNATURAS!$B$5:$B$27,DATOS!$I$2:$I$20000,CONFIG_ASIGNATURAS!$G$5:$G$27,"Sí")&gt;0),DATOS!$K$2:$K$20000)),"—")</f>
      </c>
      <c r="H114" s="15">
        <f>IFERROR(SUMPRODUCT((DATOS!$G$2:$G$20000=CONFIG_METADATA!$B$4)*(DATOS!$D$2:$D$20000=A114)*(COUNTIFS(CONFIG_ASIGNATURAS!$B$5:$B$27,DATOS!$I$2:$I$20000,CONFIG_ASIGNATURAS!$G$5:$G$27,"Sí")&gt;0)*(DATOS!$L$2:$L$20000="S"))/SUMPRODUCT((DATOS!$G$2:$G$20000=CONFIG_METADATA!$B$4)*(DATOS!$D$2:$D$20000=A114)*(COUNTIFS(CONFIG_ASIGNATURAS!$B$5:$B$27,DATOS!$I$2:$I$20000,CONFIG_ASIGNATURAS!$G$5:$G$27,"Sí")&gt;0)*1),"—")</f>
      </c>
      <c r="I114" s="15">
        <f>IFERROR(SUMPRODUCT((DATOS!$G$2:$G$20000=CONFIG_METADATA!$B$4)*(DATOS!$D$2:$D$20000=A114)*(COUNTIFS(CONFIG_ASIGNATURAS!$B$5:$B$27,DATOS!$I$2:$I$20000,CONFIG_ASIGNATURAS!$G$5:$G$27,"Sí")&gt;0)*(DATOS!$L$2:$L$20000="N"))/SUMPRODUCT((DATOS!$G$2:$G$20000=CONFIG_METADATA!$B$4)*(DATOS!$D$2:$D$20000=A114)*(COUNTIFS(CONFIG_ASIGNATURAS!$B$5:$B$27,DATOS!$I$2:$I$20000,CONFIG_ASIGNATURAS!$G$5:$G$27,"Sí")&gt;0)*1),"—")</f>
      </c>
      <c r="J114">
        <f>IFERROR(_xlfn.MODE.SNGL(IF((DATOS!$G$2:$G$20000=CONFIG_METADATA!$B$4)*(DATOS!$D$2:$D$20000=A114)*(COUNTIFS(CONFIG_ASIGNATURAS!$B$5:$B$27,DATOS!$I$2:$I$20000,CONFIG_ASIGNATURAS!$G$5:$G$27,"Sí")&gt;0)*(DATOS!$L$2:$L$20000="S"),DATOS!$K$2:$K$20000)),"—")</f>
      </c>
      <c r="K114">
        <f>IFERROR(_xlfn.MODE.SNGL(IF((DATOS!$G$2:$G$20000=CONFIG_METADATA!$B$4)*(DATOS!$D$2:$D$20000=A114)*(COUNTIFS(CONFIG_ASIGNATURAS!$B$5:$B$27,DATOS!$I$2:$I$20000,CONFIG_ASIGNATURAS!$G$5:$G$27,"Sí")&gt;0)*(DATOS!$L$2:$L$20000="N"),DATOS!$K$2:$K$20000)),"—")</f>
      </c>
      <c r="L114">
        <f>SUMPRODUCT((DATOS!$G$2:$G$20000=CONFIG_METADATA!$B$4)*(DATOS!$D$2:$D$20000=A114)*(COUNTIFS(CONFIG_ASIGNATURAS!$B$5:$B$27,DATOS!$I$2:$I$20000,CONFIG_ASIGNATURAS!$G$5:$G$27,"Sí")&gt;0)*(DATOS!$K$2:$K$20000=1))</f>
      </c>
      <c r="M114">
        <f>SUMPRODUCT((DATOS!$G$2:$G$20000=CONFIG_METADATA!$B$4)*(DATOS!$D$2:$D$20000=A114)*(COUNTIFS(CONFIG_ASIGNATURAS!$B$5:$B$27,DATOS!$I$2:$I$20000,CONFIG_ASIGNATURAS!$G$5:$G$27,"Sí")&gt;0)*(DATOS!$K$2:$K$20000=2))</f>
      </c>
      <c r="N114">
        <f>SUMPRODUCT((DATOS!$G$2:$G$20000=CONFIG_METADATA!$B$4)*(DATOS!$D$2:$D$20000=A114)*(COUNTIFS(CONFIG_ASIGNATURAS!$B$5:$B$27,DATOS!$I$2:$I$20000,CONFIG_ASIGNATURAS!$G$5:$G$27,"Sí")&gt;0)*(DATOS!$K$2:$K$20000=3))</f>
      </c>
      <c r="O114">
        <f>SUMPRODUCT((DATOS!$G$2:$G$20000=CONFIG_METADATA!$B$4)*(DATOS!$D$2:$D$20000=A114)*(COUNTIFS(CONFIG_ASIGNATURAS!$B$5:$B$27,DATOS!$I$2:$I$20000,CONFIG_ASIGNATURAS!$G$5:$G$27,"Sí")&gt;0)*(DATOS!$K$2:$K$20000=4))</f>
      </c>
      <c r="P114">
        <f>SUMPRODUCT((DATOS!$G$2:$G$20000=CONFIG_METADATA!$B$4)*(DATOS!$D$2:$D$20000=A114)*(COUNTIFS(CONFIG_ASIGNATURAS!$B$5:$B$27,DATOS!$I$2:$I$20000,CONFIG_ASIGNATURAS!$G$5:$G$27,"Sí")&gt;0)*(DATOS!$K$2:$K$20000=5))</f>
      </c>
      <c r="Q114">
        <f>SUMPRODUCT((DATOS!$G$2:$G$20000=CONFIG_METADATA!$B$4)*(DATOS!$D$2:$D$20000=A114)*(COUNTIFS(CONFIG_ASIGNATURAS!$B$5:$B$27,DATOS!$I$2:$I$20000,CONFIG_ASIGNATURAS!$G$5:$G$27,"Sí")&gt;0)*(DATOS!$K$2:$K$20000=6))</f>
      </c>
      <c r="R114">
        <f>SUMPRODUCT((DATOS!$G$2:$G$20000=CONFIG_METADATA!$B$4)*(DATOS!$D$2:$D$20000=A114)*(COUNTIFS(CONFIG_ASIGNATURAS!$B$5:$B$27,DATOS!$I$2:$I$20000,CONFIG_ASIGNATURAS!$G$5:$G$27,"Sí")&gt;0)*(DATOS!$K$2:$K$20000=7))</f>
      </c>
      <c r="S114">
        <f>SUMPRODUCT((DATOS!$G$2:$G$20000=CONFIG_METADATA!$B$4)*(DATOS!$D$2:$D$20000=A114)*(COUNTIFS(CONFIG_ASIGNATURAS!$B$5:$B$27,DATOS!$I$2:$I$20000,CONFIG_ASIGNATURAS!$G$5:$G$27,"Sí")&gt;0)*(DATOS!$K$2:$K$20000=8))</f>
      </c>
      <c r="T114">
        <f>SUMPRODUCT((DATOS!$G$2:$G$20000=CONFIG_METADATA!$B$4)*(DATOS!$D$2:$D$20000=A114)*(COUNTIFS(CONFIG_ASIGNATURAS!$B$5:$B$27,DATOS!$I$2:$I$20000,CONFIG_ASIGNATURAS!$G$5:$G$27,"Sí")&gt;0)*(DATOS!$K$2:$K$20000=9))</f>
      </c>
      <c r="U114">
        <f>SUMPRODUCT((DATOS!$G$2:$G$20000=CONFIG_METADATA!$B$4)*(DATOS!$D$2:$D$20000=A114)*(COUNTIFS(CONFIG_ASIGNATURAS!$B$5:$B$27,DATOS!$I$2:$I$20000,CONFIG_ASIGNATURAS!$G$5:$G$27,"Sí")&gt;0)*(DATOS!$K$2:$K$20000=10))</f>
      </c>
    </row>
    <row r="115" spans="1:22">
      <c r="A115" s="3" t="inlineStr">
        <is>
          <t xml:space="preserve">3EEM</t>
        </is>
      </c>
      <c r="B115" s="3" t="inlineStr">
        <is>
          <t xml:space="preserve">Total no Especialidad</t>
        </is>
      </c>
      <c r="C115" s="3" t="inlineStr">
        <is>
          <t xml:space="preserve">TotalNoEsp</t>
        </is>
      </c>
      <c r="D115">
        <f>SUMPRODUCT((DATOS!$G$2:$G$20000=CONFIG_METADATA!$B$4)*(DATOS!$D$2:$D$20000=A115)*(COUNTIFS(CONFIG_ASIGNATURAS!$B$2:$B$4,DATOS!$I$2:$I$20000,CONFIG_ASIGNATURAS!$G$2:$G$4,"Sí")&gt;0)*1)</f>
      </c>
      <c r="E115" s="14">
        <f>IFERROR(AVERAGE(IF((DATOS!$G$2:$G$20000=CONFIG_METADATA!$B$4)*(DATOS!$D$2:$D$20000=A115)*(COUNTIFS(CONFIG_ASIGNATURAS!$B$2:$B$4,DATOS!$I$2:$I$20000,CONFIG_ASIGNATURAS!$G$2:$G$4,"Sí")&gt;0),DATOS!$K$2:$K$20000)),"—")</f>
      </c>
      <c r="F115" s="14">
        <f>IFERROR(_xlfn.STDEV.P(IF((DATOS!$G$2:$G$20000=CONFIG_METADATA!$B$4)*(DATOS!$D$2:$D$20000=A115)*(COUNTIFS(CONFIG_ASIGNATURAS!$B$2:$B$4,DATOS!$I$2:$I$20000,CONFIG_ASIGNATURAS!$G$2:$G$4,"Sí")&gt;0),DATOS!$K$2:$K$20000)),"—")</f>
      </c>
      <c r="G115">
        <f>IFERROR(_xlfn.MODE.SNGL(IF((DATOS!$G$2:$G$20000=CONFIG_METADATA!$B$4)*(DATOS!$D$2:$D$20000=A115)*(COUNTIFS(CONFIG_ASIGNATURAS!$B$2:$B$4,DATOS!$I$2:$I$20000,CONFIG_ASIGNATURAS!$G$2:$G$4,"Sí")&gt;0),DATOS!$K$2:$K$20000)),"—")</f>
      </c>
      <c r="H115" s="15">
        <f>IFERROR(SUMPRODUCT((DATOS!$G$2:$G$20000=CONFIG_METADATA!$B$4)*(DATOS!$D$2:$D$20000=A115)*(COUNTIFS(CONFIG_ASIGNATURAS!$B$2:$B$4,DATOS!$I$2:$I$20000,CONFIG_ASIGNATURAS!$G$2:$G$4,"Sí")&gt;0)*(DATOS!$L$2:$L$20000="S"))/SUMPRODUCT((DATOS!$G$2:$G$20000=CONFIG_METADATA!$B$4)*(DATOS!$D$2:$D$20000=A115)*(COUNTIFS(CONFIG_ASIGNATURAS!$B$2:$B$4,DATOS!$I$2:$I$20000,CONFIG_ASIGNATURAS!$G$2:$G$4,"Sí")&gt;0)*1),"—")</f>
      </c>
      <c r="I115" s="15">
        <f>IFERROR(SUMPRODUCT((DATOS!$G$2:$G$20000=CONFIG_METADATA!$B$4)*(DATOS!$D$2:$D$20000=A115)*(COUNTIFS(CONFIG_ASIGNATURAS!$B$2:$B$4,DATOS!$I$2:$I$20000,CONFIG_ASIGNATURAS!$G$2:$G$4,"Sí")&gt;0)*(DATOS!$L$2:$L$20000="N"))/SUMPRODUCT((DATOS!$G$2:$G$20000=CONFIG_METADATA!$B$4)*(DATOS!$D$2:$D$20000=A115)*(COUNTIFS(CONFIG_ASIGNATURAS!$B$2:$B$4,DATOS!$I$2:$I$20000,CONFIG_ASIGNATURAS!$G$2:$G$4,"Sí")&gt;0)*1),"—")</f>
      </c>
      <c r="J115">
        <f>IFERROR(_xlfn.MODE.SNGL(IF((DATOS!$G$2:$G$20000=CONFIG_METADATA!$B$4)*(DATOS!$D$2:$D$20000=A115)*(COUNTIFS(CONFIG_ASIGNATURAS!$B$2:$B$4,DATOS!$I$2:$I$20000,CONFIG_ASIGNATURAS!$G$2:$G$4,"Sí")&gt;0)*(DATOS!$L$2:$L$20000="S"),DATOS!$K$2:$K$20000)),"—")</f>
      </c>
      <c r="K115">
        <f>IFERROR(_xlfn.MODE.SNGL(IF((DATOS!$G$2:$G$20000=CONFIG_METADATA!$B$4)*(DATOS!$D$2:$D$20000=A115)*(COUNTIFS(CONFIG_ASIGNATURAS!$B$2:$B$4,DATOS!$I$2:$I$20000,CONFIG_ASIGNATURAS!$G$2:$G$4,"Sí")&gt;0)*(DATOS!$L$2:$L$20000="N"),DATOS!$K$2:$K$20000)),"—")</f>
      </c>
      <c r="L115">
        <f>SUMPRODUCT((DATOS!$G$2:$G$20000=CONFIG_METADATA!$B$4)*(DATOS!$D$2:$D$20000=A115)*(COUNTIFS(CONFIG_ASIGNATURAS!$B$2:$B$4,DATOS!$I$2:$I$20000,CONFIG_ASIGNATURAS!$G$2:$G$4,"Sí")&gt;0)*(DATOS!$K$2:$K$20000=1))</f>
      </c>
      <c r="M115">
        <f>SUMPRODUCT((DATOS!$G$2:$G$20000=CONFIG_METADATA!$B$4)*(DATOS!$D$2:$D$20000=A115)*(COUNTIFS(CONFIG_ASIGNATURAS!$B$2:$B$4,DATOS!$I$2:$I$20000,CONFIG_ASIGNATURAS!$G$2:$G$4,"Sí")&gt;0)*(DATOS!$K$2:$K$20000=2))</f>
      </c>
      <c r="N115">
        <f>SUMPRODUCT((DATOS!$G$2:$G$20000=CONFIG_METADATA!$B$4)*(DATOS!$D$2:$D$20000=A115)*(COUNTIFS(CONFIG_ASIGNATURAS!$B$2:$B$4,DATOS!$I$2:$I$20000,CONFIG_ASIGNATURAS!$G$2:$G$4,"Sí")&gt;0)*(DATOS!$K$2:$K$20000=3))</f>
      </c>
      <c r="O115">
        <f>SUMPRODUCT((DATOS!$G$2:$G$20000=CONFIG_METADATA!$B$4)*(DATOS!$D$2:$D$20000=A115)*(COUNTIFS(CONFIG_ASIGNATURAS!$B$2:$B$4,DATOS!$I$2:$I$20000,CONFIG_ASIGNATURAS!$G$2:$G$4,"Sí")&gt;0)*(DATOS!$K$2:$K$20000=4))</f>
      </c>
      <c r="P115">
        <f>SUMPRODUCT((DATOS!$G$2:$G$20000=CONFIG_METADATA!$B$4)*(DATOS!$D$2:$D$20000=A115)*(COUNTIFS(CONFIG_ASIGNATURAS!$B$2:$B$4,DATOS!$I$2:$I$20000,CONFIG_ASIGNATURAS!$G$2:$G$4,"Sí")&gt;0)*(DATOS!$K$2:$K$20000=5))</f>
      </c>
      <c r="Q115">
        <f>SUMPRODUCT((DATOS!$G$2:$G$20000=CONFIG_METADATA!$B$4)*(DATOS!$D$2:$D$20000=A115)*(COUNTIFS(CONFIG_ASIGNATURAS!$B$2:$B$4,DATOS!$I$2:$I$20000,CONFIG_ASIGNATURAS!$G$2:$G$4,"Sí")&gt;0)*(DATOS!$K$2:$K$20000=6))</f>
      </c>
      <c r="R115">
        <f>SUMPRODUCT((DATOS!$G$2:$G$20000=CONFIG_METADATA!$B$4)*(DATOS!$D$2:$D$20000=A115)*(COUNTIFS(CONFIG_ASIGNATURAS!$B$2:$B$4,DATOS!$I$2:$I$20000,CONFIG_ASIGNATURAS!$G$2:$G$4,"Sí")&gt;0)*(DATOS!$K$2:$K$20000=7))</f>
      </c>
      <c r="S115">
        <f>SUMPRODUCT((DATOS!$G$2:$G$20000=CONFIG_METADATA!$B$4)*(DATOS!$D$2:$D$20000=A115)*(COUNTIFS(CONFIG_ASIGNATURAS!$B$2:$B$4,DATOS!$I$2:$I$20000,CONFIG_ASIGNATURAS!$G$2:$G$4,"Sí")&gt;0)*(DATOS!$K$2:$K$20000=8))</f>
      </c>
      <c r="T115">
        <f>SUMPRODUCT((DATOS!$G$2:$G$20000=CONFIG_METADATA!$B$4)*(DATOS!$D$2:$D$20000=A115)*(COUNTIFS(CONFIG_ASIGNATURAS!$B$2:$B$4,DATOS!$I$2:$I$20000,CONFIG_ASIGNATURAS!$G$2:$G$4,"Sí")&gt;0)*(DATOS!$K$2:$K$20000=9))</f>
      </c>
      <c r="U115">
        <f>SUMPRODUCT((DATOS!$G$2:$G$20000=CONFIG_METADATA!$B$4)*(DATOS!$D$2:$D$20000=A115)*(COUNTIFS(CONFIG_ASIGNATURAS!$B$2:$B$4,DATOS!$I$2:$I$20000,CONFIG_ASIGNATURAS!$G$2:$G$4,"Sí")&gt;0)*(DATOS!$K$2:$K$20000=10))</f>
      </c>
    </row>
    <row r="116" spans="1:22">
      <c r="A116" s="3" t="inlineStr">
        <is>
          <t xml:space="preserve">3EEM</t>
        </is>
      </c>
      <c r="B116" s="3">
        <f>IFERROR(INDEX(_xlfn._xlws.FILTER(CONFIG_ASIGNATURAS!$B$2:$B$27,CONFIG_ASIGNATURAS!$G$2:$G$27="Sí"),1),"")</f>
      </c>
      <c r="C116" s="3">
        <f>IF(B116="","",IFERROR(IF(VLOOKUP(B116,CONFIG_ASIGNATURAS!$B$2:$F$27,5,FALSE())="Sí","Especialidad","Asignatura"),"Asignatura"))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3EEM</t>
        </is>
      </c>
      <c r="B117" s="3">
        <f>IFERROR(INDEX(_xlfn._xlws.FILTER(CONFIG_ASIGNATURAS!$B$2:$B$27,CONFIG_ASIGNATURAS!$G$2:$G$27="Sí"),2),"")</f>
      </c>
      <c r="C117" s="3">
        <f>IF(B117="","",IFERROR(IF(VLOOKUP(B117,CONFIG_ASIGNATURAS!$B$2:$F$27,5,FALSE())="Sí","Especialidad","Asignatura"),"Asignatura"))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3EEM</t>
        </is>
      </c>
      <c r="B118" s="3">
        <f>IFERROR(INDEX(_xlfn._xlws.FILTER(CONFIG_ASIGNATURAS!$B$2:$B$27,CONFIG_ASIGNATURAS!$G$2:$G$27="Sí"),3),"")</f>
      </c>
      <c r="C118" s="3">
        <f>IF(B118="","",IFERROR(IF(VLOOKUP(B118,CONFIG_ASIGNATURAS!$B$2:$F$27,5,FALSE())="Sí","Especialidad","Asignatura"),"Asignatura"))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3EEM</t>
        </is>
      </c>
      <c r="B119" s="3">
        <f>IFERROR(INDEX(_xlfn._xlws.FILTER(CONFIG_ASIGNATURAS!$B$2:$B$27,CONFIG_ASIGNATURAS!$G$2:$G$27="Sí"),4),"")</f>
      </c>
      <c r="C119" s="3">
        <f>IF(B119="","",IFERROR(IF(VLOOKUP(B119,CONFIG_ASIGNATURAS!$B$2:$F$27,5,FALSE())="Sí","Especialidad","Asignatura"),"Asignatura"))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3EEM</t>
        </is>
      </c>
      <c r="B120" s="3">
        <f>IFERROR(INDEX(_xlfn._xlws.FILTER(CONFIG_ASIGNATURAS!$B$2:$B$27,CONFIG_ASIGNATURAS!$G$2:$G$27="Sí"),5),"")</f>
      </c>
      <c r="C120" s="3">
        <f>IF(B120="","",IFERROR(IF(VLOOKUP(B120,CONFIG_ASIGNATURAS!$B$2:$F$27,5,FALSE())="Sí","Especialidad","Asignatura"),"Asignatura"))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3EEM</t>
        </is>
      </c>
      <c r="B121" s="3">
        <f>IFERROR(INDEX(_xlfn._xlws.FILTER(CONFIG_ASIGNATURAS!$B$2:$B$27,CONFIG_ASIGNATURAS!$G$2:$G$27="Sí"),6),"")</f>
      </c>
      <c r="C121" s="3">
        <f>IF(B121="","",IFERROR(IF(VLOOKUP(B121,CONFIG_ASIGNATURAS!$B$2:$F$27,5,FALSE())="Sí","Especialidad","Asignatura"),"Asignatura"))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3EEM</t>
        </is>
      </c>
      <c r="B122" s="3">
        <f>IFERROR(INDEX(_xlfn._xlws.FILTER(CONFIG_ASIGNATURAS!$B$2:$B$27,CONFIG_ASIGNATURAS!$G$2:$G$27="Sí"),7),"")</f>
      </c>
      <c r="C122" s="3">
        <f>IF(B122="","",IFERROR(IF(VLOOKUP(B122,CONFIG_ASIGNATURAS!$B$2:$F$27,5,FALSE())="Sí","Especialidad","Asignatura"),"Asignatura"))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3EEM</t>
        </is>
      </c>
      <c r="B123" s="3">
        <f>IFERROR(INDEX(_xlfn._xlws.FILTER(CONFIG_ASIGNATURAS!$B$2:$B$27,CONFIG_ASIGNATURAS!$G$2:$G$27="Sí"),8),"")</f>
      </c>
      <c r="C123" s="3">
        <f>IF(B123="","",IFERROR(IF(VLOOKUP(B123,CONFIG_ASIGNATURAS!$B$2:$F$27,5,FALSE())="Sí","Especialidad","Asignatura"),"Asignatura"))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3EEM</t>
        </is>
      </c>
      <c r="B124" s="3">
        <f>IFERROR(INDEX(_xlfn._xlws.FILTER(CONFIG_ASIGNATURAS!$B$2:$B$27,CONFIG_ASIGNATURAS!$G$2:$G$27="Sí"),9),"")</f>
      </c>
      <c r="C124" s="3">
        <f>IF(B124="","",IFERROR(IF(VLOOKUP(B124,CONFIG_ASIGNATURAS!$B$2:$F$27,5,FALSE())="Sí","Especialidad","Asignatura"),"Asignatura"))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3EEM</t>
        </is>
      </c>
      <c r="B125" s="3">
        <f>IFERROR(INDEX(_xlfn._xlws.FILTER(CONFIG_ASIGNATURAS!$B$2:$B$27,CONFIG_ASIGNATURAS!$G$2:$G$27="Sí"),10),"")</f>
      </c>
      <c r="C125" s="3">
        <f>IF(B125="","",IFERROR(IF(VLOOKUP(B125,CONFIG_ASIGNATURAS!$B$2:$F$27,5,FALSE())="Sí","Especialidad","Asignatura"),"Asignatura"))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3EEM</t>
        </is>
      </c>
      <c r="B126" s="3">
        <f>IFERROR(INDEX(_xlfn._xlws.FILTER(CONFIG_ASIGNATURAS!$B$2:$B$27,CONFIG_ASIGNATURAS!$G$2:$G$27="Sí"),11),"")</f>
      </c>
      <c r="C126" s="3">
        <f>IF(B126="","",IFERROR(IF(VLOOKUP(B126,CONFIG_ASIGNATURAS!$B$2:$F$27,5,FALSE())="Sí","Especialidad","Asignatura"),"Asignatura"))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3EEM</t>
        </is>
      </c>
      <c r="B127" s="3">
        <f>IFERROR(INDEX(_xlfn._xlws.FILTER(CONFIG_ASIGNATURAS!$B$2:$B$27,CONFIG_ASIGNATURAS!$G$2:$G$27="Sí"),12),"")</f>
      </c>
      <c r="C127" s="3">
        <f>IF(B127="","",IFERROR(IF(VLOOKUP(B127,CONFIG_ASIGNATURAS!$B$2:$F$27,5,FALSE())="Sí","Especialidad","Asignatura"),"Asignatura"))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3EEM</t>
        </is>
      </c>
      <c r="B128" s="3">
        <f>IFERROR(INDEX(_xlfn._xlws.FILTER(CONFIG_ASIGNATURAS!$B$2:$B$27,CONFIG_ASIGNATURAS!$G$2:$G$27="Sí"),13),"")</f>
      </c>
      <c r="C128" s="3">
        <f>IF(B128="","",IFERROR(IF(VLOOKUP(B128,CONFIG_ASIGNATURAS!$B$2:$F$27,5,FALSE())="Sí","Especialidad","Asignatura"),"Asignatura"))</f>
      </c>
      <c r="D128">
        <f>IF(V128="Sí",COUNTIFS(DATOS!G:G,CONFIG_METADATA!$B$4,DATOS!D:D,A128,DATOS!I:I,B128),"")</f>
        <v>0</v>
      </c>
      <c r="E128" s="14" t="str">
        <f>IF(V128="Sí",IFERROR(AVERAGEIFS(DATOS!K:K,DATOS!G:G,CONFIG_METADATA!$B$4,DATOS!D:D,A128,DATOS!I:I,B128),"—"),"")</f>
        <v>—</v>
      </c>
      <c r="F128" s="14" t="str" cm="1">
        <f t="array" ref="F128">IF(V128="Sí",IFERROR(_xlfn.STDEV.P(IF((DATOS!$G$2:$G$20000=CONFIG_METADATA!$B$4)*(DATOS!$D$2:$D$20000=A128)*(DATOS!$I$2:$I$20000=B128),DATOS!$K$2:$K$20000)),"—"),"")</f>
        <v>—</v>
      </c>
      <c r="G128" t="str" cm="1">
        <f t="array" ref="G128">IF(V128="Sí",IFERROR(_xlfn.MODE.SNGL(IF((DATOS!$G$2:$G$20000=CONFIG_METADATA!$B$4)*(DATOS!$D$2:$D$20000=A128)*(DATOS!$I$2:$I$20000=B128),DATOS!$K$2:$K$20000)),"—"),"")</f>
        <v>—</v>
      </c>
      <c r="H128" s="15" t="str">
        <f>IF(V128="Sí",IFERROR(COUNTIFS(DATOS!G:G,CONFIG_METADATA!$B$4,DATOS!D:D,A128,DATOS!I:I,B128,DATOS!L:L,"S")/COUNTIFS(DATOS!G:G,CONFIG_METADATA!$B$4,DATOS!D:D,A128,DATOS!I:I,B128),"—"),"")</f>
        <v>—</v>
      </c>
      <c r="I128" s="15" t="str">
        <f>IF(V128="Sí",IFERROR(COUNTIFS(DATOS!G:G,CONFIG_METADATA!$B$4,DATOS!D:D,A128,DATOS!I:I,B128,DATOS!L:L,"N")/COUNTIFS(DATOS!G:G,CONFIG_METADATA!$B$4,DATOS!D:D,A128,DATOS!I:I,B128),"—"),"")</f>
        <v>—</v>
      </c>
      <c r="J128" t="str" cm="1">
        <f t="array" ref="J128">IF(V128="Sí",IFERROR(_xlfn.MODE.SNGL(IF((DATOS!$G$2:$G$20000=CONFIG_METADATA!$B$4)*(DATOS!$D$2:$D$20000=A128)*(DATOS!$I$2:$I$20000=B128)*(DATOS!$L$2:$L$20000="S"),DATOS!$K$2:$K$20000)),"—"),"")</f>
        <v>—</v>
      </c>
      <c r="K128" t="str" cm="1">
        <f t="array" ref="K128">IF(V128="Sí",IFERROR(_xlfn.MODE.SNGL(IF((DATOS!$G$2:$G$20000=CONFIG_METADATA!$B$4)*(DATOS!$D$2:$D$20000=A128)*(DATOS!$I$2:$I$20000=B128)*(DATOS!$L$2:$L$20000="N"),DATOS!$K$2:$K$20000)),"—"),"")</f>
        <v>—</v>
      </c>
      <c r="L128">
        <f>IF(V128="Sí",COUNTIFS(DATOS!G:G,CONFIG_METADATA!$B$4,DATOS!D:D,A128,DATOS!I:I,B128,DATOS!K:K,1),"")</f>
        <v>0</v>
      </c>
      <c r="M128">
        <f>IF(V128="Sí",COUNTIFS(DATOS!G:G,CONFIG_METADATA!$B$4,DATOS!D:D,A128,DATOS!I:I,B128,DATOS!K:K,2),"")</f>
        <v>0</v>
      </c>
      <c r="N128">
        <f>IF(V128="Sí",COUNTIFS(DATOS!G:G,CONFIG_METADATA!$B$4,DATOS!D:D,A128,DATOS!I:I,B128,DATOS!K:K,3),"")</f>
        <v>0</v>
      </c>
      <c r="O128">
        <f>IF(V128="Sí",COUNTIFS(DATOS!G:G,CONFIG_METADATA!$B$4,DATOS!D:D,A128,DATOS!I:I,B128,DATOS!K:K,4),"")</f>
        <v>0</v>
      </c>
      <c r="P128">
        <f>IF(V128="Sí",COUNTIFS(DATOS!G:G,CONFIG_METADATA!$B$4,DATOS!D:D,A128,DATOS!I:I,B128,DATOS!K:K,5),"")</f>
        <v>0</v>
      </c>
      <c r="Q128">
        <f>IF(V128="Sí",COUNTIFS(DATOS!G:G,CONFIG_METADATA!$B$4,DATOS!D:D,A128,DATOS!I:I,B128,DATOS!K:K,6),"")</f>
        <v>0</v>
      </c>
      <c r="R128">
        <f>IF(V128="Sí",COUNTIFS(DATOS!G:G,CONFIG_METADATA!$B$4,DATOS!D:D,A128,DATOS!I:I,B128,DATOS!K:K,7),"")</f>
        <v>0</v>
      </c>
      <c r="S128">
        <f>IF(V128="Sí",COUNTIFS(DATOS!G:G,CONFIG_METADATA!$B$4,DATOS!D:D,A128,DATOS!I:I,B128,DATOS!K:K,8),"")</f>
        <v>0</v>
      </c>
      <c r="T128">
        <f>IF(V128="Sí",COUNTIFS(DATOS!G:G,CONFIG_METADATA!$B$4,DATOS!D:D,A128,DATOS!I:I,B128,DATOS!K:K,9),"")</f>
        <v>0</v>
      </c>
      <c r="U128">
        <f>IF(V128="Sí",COUNTIFS(DATOS!G:G,CONFIG_METADATA!$B$4,DATOS!D:D,A128,DATOS!I:I,B128,DATOS!K:K,10),"")</f>
        <v>0</v>
      </c>
      <c r="V128" t="str">
        <f>IFERROR(IF(ISERROR(FIND(A128,VLOOKUP(B128,CONFIG_ASIGNATURAS!B:C,2,FALSE()))),"No","Sí"),"No")</f>
        <v>Sí</v>
      </c>
    </row>
    <row r="129" spans="1:22">
      <c r="A129" s="3" t="inlineStr">
        <is>
          <t xml:space="preserve">3EEM</t>
        </is>
      </c>
      <c r="B129" s="3">
        <f>IFERROR(INDEX(_xlfn._xlws.FILTER(CONFIG_ASIGNATURAS!$B$2:$B$27,CONFIG_ASIGNATURAS!$G$2:$G$27="Sí"),14),"")</f>
      </c>
      <c r="C129" s="3">
        <f>IF(B129="","",IFERROR(IF(VLOOKUP(B129,CONFIG_ASIGNATURAS!$B$2:$F$27,5,FALSE())="Sí","Especialidad","Asignatura"),"Asignatura"))</f>
      </c>
      <c r="D129">
        <f>IF(V129="Sí",COUNTIFS(DATOS!G:G,CONFIG_METADATA!$B$4,DATOS!D:D,A129,DATOS!I:I,B129),"")</f>
        <v>0</v>
      </c>
      <c r="E129" s="14" t="str">
        <f>IF(V129="Sí",IFERROR(AVERAGEIFS(DATOS!K:K,DATOS!G:G,CONFIG_METADATA!$B$4,DATOS!D:D,A129,DATOS!I:I,B129),"—"),"")</f>
        <v>—</v>
      </c>
      <c r="F129" s="14" t="str" cm="1">
        <f t="array" ref="F129">IF(V129="Sí",IFERROR(_xlfn.STDEV.P(IF((DATOS!$G$2:$G$20000=CONFIG_METADATA!$B$4)*(DATOS!$D$2:$D$20000=A129)*(DATOS!$I$2:$I$20000=B129),DATOS!$K$2:$K$20000)),"—"),"")</f>
        <v>—</v>
      </c>
      <c r="G129" t="str" cm="1">
        <f t="array" ref="G129">IF(V129="Sí",IFERROR(_xlfn.MODE.SNGL(IF((DATOS!$G$2:$G$20000=CONFIG_METADATA!$B$4)*(DATOS!$D$2:$D$20000=A129)*(DATOS!$I$2:$I$20000=B129),DATOS!$K$2:$K$20000)),"—"),"")</f>
        <v>—</v>
      </c>
      <c r="H129" s="15" t="str">
        <f>IF(V129="Sí",IFERROR(COUNTIFS(DATOS!G:G,CONFIG_METADATA!$B$4,DATOS!D:D,A129,DATOS!I:I,B129,DATOS!L:L,"S")/COUNTIFS(DATOS!G:G,CONFIG_METADATA!$B$4,DATOS!D:D,A129,DATOS!I:I,B129),"—"),"")</f>
        <v>—</v>
      </c>
      <c r="I129" s="15" t="str">
        <f>IF(V129="Sí",IFERROR(COUNTIFS(DATOS!G:G,CONFIG_METADATA!$B$4,DATOS!D:D,A129,DATOS!I:I,B129,DATOS!L:L,"N")/COUNTIFS(DATOS!G:G,CONFIG_METADATA!$B$4,DATOS!D:D,A129,DATOS!I:I,B129),"—"),"")</f>
        <v>—</v>
      </c>
      <c r="J129" t="str" cm="1">
        <f t="array" ref="J129">IF(V129="Sí",IFERROR(_xlfn.MODE.SNGL(IF((DATOS!$G$2:$G$20000=CONFIG_METADATA!$B$4)*(DATOS!$D$2:$D$20000=A129)*(DATOS!$I$2:$I$20000=B129)*(DATOS!$L$2:$L$20000="S"),DATOS!$K$2:$K$20000)),"—"),"")</f>
        <v>—</v>
      </c>
      <c r="K129" t="str" cm="1">
        <f t="array" ref="K129">IF(V129="Sí",IFERROR(_xlfn.MODE.SNGL(IF((DATOS!$G$2:$G$20000=CONFIG_METADATA!$B$4)*(DATOS!$D$2:$D$20000=A129)*(DATOS!$I$2:$I$20000=B129)*(DATOS!$L$2:$L$20000="N"),DATOS!$K$2:$K$20000)),"—"),"")</f>
        <v>—</v>
      </c>
      <c r="L129">
        <f>IF(V129="Sí",COUNTIFS(DATOS!G:G,CONFIG_METADATA!$B$4,DATOS!D:D,A129,DATOS!I:I,B129,DATOS!K:K,1),"")</f>
        <v>0</v>
      </c>
      <c r="M129">
        <f>IF(V129="Sí",COUNTIFS(DATOS!G:G,CONFIG_METADATA!$B$4,DATOS!D:D,A129,DATOS!I:I,B129,DATOS!K:K,2),"")</f>
        <v>0</v>
      </c>
      <c r="N129">
        <f>IF(V129="Sí",COUNTIFS(DATOS!G:G,CONFIG_METADATA!$B$4,DATOS!D:D,A129,DATOS!I:I,B129,DATOS!K:K,3),"")</f>
        <v>0</v>
      </c>
      <c r="O129">
        <f>IF(V129="Sí",COUNTIFS(DATOS!G:G,CONFIG_METADATA!$B$4,DATOS!D:D,A129,DATOS!I:I,B129,DATOS!K:K,4),"")</f>
        <v>0</v>
      </c>
      <c r="P129">
        <f>IF(V129="Sí",COUNTIFS(DATOS!G:G,CONFIG_METADATA!$B$4,DATOS!D:D,A129,DATOS!I:I,B129,DATOS!K:K,5),"")</f>
        <v>0</v>
      </c>
      <c r="Q129">
        <f>IF(V129="Sí",COUNTIFS(DATOS!G:G,CONFIG_METADATA!$B$4,DATOS!D:D,A129,DATOS!I:I,B129,DATOS!K:K,6),"")</f>
        <v>0</v>
      </c>
      <c r="R129">
        <f>IF(V129="Sí",COUNTIFS(DATOS!G:G,CONFIG_METADATA!$B$4,DATOS!D:D,A129,DATOS!I:I,B129,DATOS!K:K,7),"")</f>
        <v>0</v>
      </c>
      <c r="S129">
        <f>IF(V129="Sí",COUNTIFS(DATOS!G:G,CONFIG_METADATA!$B$4,DATOS!D:D,A129,DATOS!I:I,B129,DATOS!K:K,8),"")</f>
        <v>0</v>
      </c>
      <c r="T129">
        <f>IF(V129="Sí",COUNTIFS(DATOS!G:G,CONFIG_METADATA!$B$4,DATOS!D:D,A129,DATOS!I:I,B129,DATOS!K:K,9),"")</f>
        <v>0</v>
      </c>
      <c r="U129">
        <f>IF(V129="Sí",COUNTIFS(DATOS!G:G,CONFIG_METADATA!$B$4,DATOS!D:D,A129,DATOS!I:I,B129,DATOS!K:K,10),"")</f>
        <v>0</v>
      </c>
      <c r="V129" t="str">
        <f>IFERROR(IF(ISERROR(FIND(A129,VLOOKUP(B129,CONFIG_ASIGNATURAS!B:C,2,FALSE()))),"No","Sí"),"No")</f>
        <v>Sí</v>
      </c>
    </row>
    <row r="130" spans="1:22">
      <c r="A130" s="3" t="inlineStr">
        <is>
          <t xml:space="preserve">3EEM</t>
        </is>
      </c>
      <c r="B130" s="3">
        <f>IFERROR(INDEX(_xlfn._xlws.FILTER(CONFIG_ASIGNATURAS!$B$2:$B$27,CONFIG_ASIGNATURAS!$G$2:$G$27="Sí"),15),"")</f>
      </c>
      <c r="C130" s="3">
        <f>IF(B130="","",IFERROR(IF(VLOOKUP(B130,CONFIG_ASIGNATURAS!$B$2:$F$27,5,FALSE())="Sí","Especialidad","Asignatura"),"Asignatura"))</f>
      </c>
      <c r="D130">
        <f>IF(V130="Sí",COUNTIFS(DATOS!G:G,CONFIG_METADATA!$B$4,DATOS!D:D,A130,DATOS!I:I,B130),"")</f>
        <v>0</v>
      </c>
      <c r="E130" s="14" t="str">
        <f>IF(V130="Sí",IFERROR(AVERAGEIFS(DATOS!K:K,DATOS!G:G,CONFIG_METADATA!$B$4,DATOS!D:D,A130,DATOS!I:I,B130),"—"),"")</f>
        <v>—</v>
      </c>
      <c r="F130" s="14" t="str" cm="1">
        <f t="array" ref="F130">IF(V130="Sí",IFERROR(_xlfn.STDEV.P(IF((DATOS!$G$2:$G$20000=CONFIG_METADATA!$B$4)*(DATOS!$D$2:$D$20000=A130)*(DATOS!$I$2:$I$20000=B130),DATOS!$K$2:$K$20000)),"—"),"")</f>
        <v>—</v>
      </c>
      <c r="G130" t="str" cm="1">
        <f t="array" ref="G130">IF(V130="Sí",IFERROR(_xlfn.MODE.SNGL(IF((DATOS!$G$2:$G$20000=CONFIG_METADATA!$B$4)*(DATOS!$D$2:$D$20000=A130)*(DATOS!$I$2:$I$20000=B130),DATOS!$K$2:$K$20000)),"—"),"")</f>
        <v>—</v>
      </c>
      <c r="H130" s="15" t="str">
        <f>IF(V130="Sí",IFERROR(COUNTIFS(DATOS!G:G,CONFIG_METADATA!$B$4,DATOS!D:D,A130,DATOS!I:I,B130,DATOS!L:L,"S")/COUNTIFS(DATOS!G:G,CONFIG_METADATA!$B$4,DATOS!D:D,A130,DATOS!I:I,B130),"—"),"")</f>
        <v>—</v>
      </c>
      <c r="I130" s="15" t="str">
        <f>IF(V130="Sí",IFERROR(COUNTIFS(DATOS!G:G,CONFIG_METADATA!$B$4,DATOS!D:D,A130,DATOS!I:I,B130,DATOS!L:L,"N")/COUNTIFS(DATOS!G:G,CONFIG_METADATA!$B$4,DATOS!D:D,A130,DATOS!I:I,B130),"—"),"")</f>
        <v>—</v>
      </c>
      <c r="J130" t="str" cm="1">
        <f t="array" ref="J130">IF(V130="Sí",IFERROR(_xlfn.MODE.SNGL(IF((DATOS!$G$2:$G$20000=CONFIG_METADATA!$B$4)*(DATOS!$D$2:$D$20000=A130)*(DATOS!$I$2:$I$20000=B130)*(DATOS!$L$2:$L$20000="S"),DATOS!$K$2:$K$20000)),"—"),"")</f>
        <v>—</v>
      </c>
      <c r="K130" t="str" cm="1">
        <f t="array" ref="K130">IF(V130="Sí",IFERROR(_xlfn.MODE.SNGL(IF((DATOS!$G$2:$G$20000=CONFIG_METADATA!$B$4)*(DATOS!$D$2:$D$20000=A130)*(DATOS!$I$2:$I$20000=B130)*(DATOS!$L$2:$L$20000="N"),DATOS!$K$2:$K$20000)),"—"),"")</f>
        <v>—</v>
      </c>
      <c r="L130">
        <f>IF(V130="Sí",COUNTIFS(DATOS!G:G,CONFIG_METADATA!$B$4,DATOS!D:D,A130,DATOS!I:I,B130,DATOS!K:K,1),"")</f>
        <v>0</v>
      </c>
      <c r="M130">
        <f>IF(V130="Sí",COUNTIFS(DATOS!G:G,CONFIG_METADATA!$B$4,DATOS!D:D,A130,DATOS!I:I,B130,DATOS!K:K,2),"")</f>
        <v>0</v>
      </c>
      <c r="N130">
        <f>IF(V130="Sí",COUNTIFS(DATOS!G:G,CONFIG_METADATA!$B$4,DATOS!D:D,A130,DATOS!I:I,B130,DATOS!K:K,3),"")</f>
        <v>0</v>
      </c>
      <c r="O130">
        <f>IF(V130="Sí",COUNTIFS(DATOS!G:G,CONFIG_METADATA!$B$4,DATOS!D:D,A130,DATOS!I:I,B130,DATOS!K:K,4),"")</f>
        <v>0</v>
      </c>
      <c r="P130">
        <f>IF(V130="Sí",COUNTIFS(DATOS!G:G,CONFIG_METADATA!$B$4,DATOS!D:D,A130,DATOS!I:I,B130,DATOS!K:K,5),"")</f>
        <v>0</v>
      </c>
      <c r="Q130">
        <f>IF(V130="Sí",COUNTIFS(DATOS!G:G,CONFIG_METADATA!$B$4,DATOS!D:D,A130,DATOS!I:I,B130,DATOS!K:K,6),"")</f>
        <v>0</v>
      </c>
      <c r="R130">
        <f>IF(V130="Sí",COUNTIFS(DATOS!G:G,CONFIG_METADATA!$B$4,DATOS!D:D,A130,DATOS!I:I,B130,DATOS!K:K,7),"")</f>
        <v>0</v>
      </c>
      <c r="S130">
        <f>IF(V130="Sí",COUNTIFS(DATOS!G:G,CONFIG_METADATA!$B$4,DATOS!D:D,A130,DATOS!I:I,B130,DATOS!K:K,8),"")</f>
        <v>0</v>
      </c>
      <c r="T130">
        <f>IF(V130="Sí",COUNTIFS(DATOS!G:G,CONFIG_METADATA!$B$4,DATOS!D:D,A130,DATOS!I:I,B130,DATOS!K:K,9),"")</f>
        <v>0</v>
      </c>
      <c r="U130">
        <f>IF(V130="Sí",COUNTIFS(DATOS!G:G,CONFIG_METADATA!$B$4,DATOS!D:D,A130,DATOS!I:I,B130,DATOS!K:K,10),"")</f>
        <v>0</v>
      </c>
      <c r="V130" t="str">
        <f>IFERROR(IF(ISERROR(FIND(A130,VLOOKUP(B130,CONFIG_ASIGNATURAS!B:C,2,FALSE()))),"No","Sí"),"No")</f>
        <v>Sí</v>
      </c>
    </row>
    <row r="131" spans="1:22">
      <c r="A131" s="3" t="inlineStr">
        <is>
          <t xml:space="preserve">3EEM</t>
        </is>
      </c>
      <c r="B131" s="3">
        <f>IFERROR(INDEX(_xlfn._xlws.FILTER(CONFIG_ASIGNATURAS!$B$2:$B$27,CONFIG_ASIGNATURAS!$G$2:$G$27="Sí"),16),"")</f>
      </c>
      <c r="C131" s="3">
        <f>IF(B131="","",IFERROR(IF(VLOOKUP(B131,CONFIG_ASIGNATURAS!$B$2:$F$27,5,FALSE())="Sí","Especialidad","Asignatura"),"Asignatura"))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3EEM</t>
        </is>
      </c>
      <c r="B132" s="3">
        <f>IFERROR(INDEX(_xlfn._xlws.FILTER(CONFIG_ASIGNATURAS!$B$2:$B$27,CONFIG_ASIGNATURAS!$G$2:$G$27="Sí"),17),"")</f>
      </c>
      <c r="C132" s="3">
        <f>IF(B132="","",IFERROR(IF(VLOOKUP(B132,CONFIG_ASIGNATURAS!$B$2:$F$27,5,FALSE())="Sí","Especialidad","Asignatura"),"Asignatura"))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3EEM</t>
        </is>
      </c>
      <c r="B133" s="3">
        <f>IFERROR(INDEX(_xlfn._xlws.FILTER(CONFIG_ASIGNATURAS!$B$2:$B$27,CONFIG_ASIGNATURAS!$G$2:$G$27="Sí"),18),"")</f>
      </c>
      <c r="C133" s="3">
        <f>IF(B133="","",IFERROR(IF(VLOOKUP(B133,CONFIG_ASIGNATURAS!$B$2:$F$27,5,FALSE())="Sí","Especialidad","Asignatura"),"Asignatura"))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3EEM</t>
        </is>
      </c>
      <c r="B134" s="3">
        <f>IFERROR(INDEX(_xlfn._xlws.FILTER(CONFIG_ASIGNATURAS!$B$2:$B$27,CONFIG_ASIGNATURAS!$G$2:$G$27="Sí"),19),"")</f>
      </c>
      <c r="C134" s="3">
        <f>IF(B134="","",IFERROR(IF(VLOOKUP(B134,CONFIG_ASIGNATURAS!$B$2:$F$27,5,FALSE())="Sí","Especialidad","Asignatura"),"Asignatura"))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3EEM</t>
        </is>
      </c>
      <c r="B135" s="3">
        <f>IFERROR(INDEX(_xlfn._xlws.FILTER(CONFIG_ASIGNATURAS!$B$2:$B$27,CONFIG_ASIGNATURAS!$G$2:$G$27="Sí"),20),"")</f>
      </c>
      <c r="C135" s="3">
        <f>IF(B135="","",IFERROR(IF(VLOOKUP(B135,CONFIG_ASIGNATURAS!$B$2:$F$27,5,FALSE())="Sí","Especialidad","Asignatura"),"Asignatura"))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3EEM</t>
        </is>
      </c>
      <c r="B136" s="3">
        <f>IFERROR(INDEX(_xlfn._xlws.FILTER(CONFIG_ASIGNATURAS!$B$2:$B$27,CONFIG_ASIGNATURAS!$G$2:$G$27="Sí"),21),"")</f>
      </c>
      <c r="C136" s="3">
        <f>IF(B136="","",IFERROR(IF(VLOOKUP(B136,CONFIG_ASIGNATURAS!$B$2:$F$27,5,FALSE())="Sí","Especialidad","Asignatura"),"Asignatura"))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3EEM</t>
        </is>
      </c>
      <c r="B137" s="3">
        <f>IFERROR(INDEX(_xlfn._xlws.FILTER(CONFIG_ASIGNATURAS!$B$2:$B$27,CONFIG_ASIGNATURAS!$G$2:$G$27="Sí"),22),"")</f>
      </c>
      <c r="C137" s="3">
        <f>IF(B137="","",IFERROR(IF(VLOOKUP(B137,CONFIG_ASIGNATURAS!$B$2:$F$27,5,FALSE())="Sí","Especialidad","Asignatura"),"Asignatura"))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3EEM</t>
        </is>
      </c>
      <c r="B138" s="3">
        <f>IFERROR(INDEX(_xlfn._xlws.FILTER(CONFIG_ASIGNATURAS!$B$2:$B$27,CONFIG_ASIGNATURAS!$G$2:$G$27="Sí"),23),"")</f>
      </c>
      <c r="C138" s="3">
        <f>IF(B138="","",IFERROR(IF(VLOOKUP(B138,CONFIG_ASIGNATURAS!$B$2:$F$27,5,FALSE())="Sí","Especialidad","Asignatura"),"Asignatura"))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3EEM</t>
        </is>
      </c>
      <c r="B139" s="3">
        <f>IFERROR(INDEX(_xlfn._xlws.FILTER(CONFIG_ASIGNATURAS!$B$2:$B$27,CONFIG_ASIGNATURAS!$G$2:$G$27="Sí"),24),"")</f>
      </c>
      <c r="C139" s="3">
        <f>IF(B139="","",IFERROR(IF(VLOOKUP(B139,CONFIG_ASIGNATURAS!$B$2:$F$27,5,FALSE())="Sí","Especialidad","Asignatura"),"Asignatura"))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3EEM</t>
        </is>
      </c>
      <c r="B140" s="3">
        <f>IFERROR(INDEX(_xlfn._xlws.FILTER(CONFIG_ASIGNATURAS!$B$2:$B$27,CONFIG_ASIGNATURAS!$G$2:$G$27="Sí"),25),"")</f>
      </c>
      <c r="C140" s="3">
        <f>IF(B140="","",IFERROR(IF(VLOOKUP(B140,CONFIG_ASIGNATURAS!$B$2:$F$27,5,FALSE())="Sí","Especialidad","Asignatura"),"Asignatura"))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3EEM</t>
        </is>
      </c>
      <c r="B141" s="3">
        <f>IFERROR(INDEX(_xlfn._xlws.FILTER(CONFIG_ASIGNATURAS!$B$2:$B$27,CONFIG_ASIGNATURAS!$G$2:$G$27="Sí"),26),"")</f>
      </c>
      <c r="C141" s="3">
        <f>IF(B141="","",IFERROR(IF(VLOOKUP(B141,CONFIG_ASIGNATURAS!$B$2:$F$27,5,FALSE())="Sí","Especialidad","Asignatura"),"Asignatura"))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3EEM</t>
        </is>
      </c>
      <c r="B142" s="3">
        <f>IFERROR(INDEX(_xlfn._xlws.FILTER(CONFIG_ASIGNATURAS!$B$2:$B$27,CONFIG_ASIGNATURAS!$G$2:$G$27="Sí"),27),"")</f>
      </c>
      <c r="C142" s="3">
        <f>IF(B142="","",IFERROR(IF(VLOOKUP(B142,CONFIG_ASIGNATURAS!$B$2:$F$27,5,FALSE())="Sí","Especialidad","Asignatura"),"Asignatura"))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3EEM</t>
        </is>
      </c>
      <c r="B143" s="3">
        <f>IFERROR(INDEX(_xlfn._xlws.FILTER(CONFIG_ASIGNATURAS!$B$2:$B$27,CONFIG_ASIGNATURAS!$G$2:$G$27="Sí"),28),"")</f>
      </c>
      <c r="C143" s="3">
        <f>IF(B143="","",IFERROR(IF(VLOOKUP(B143,CONFIG_ASIGNATURAS!$B$2:$F$27,5,FALSE())="Sí","Especialidad","Asignatura"),"Asignatura"))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3EEM</t>
        </is>
      </c>
      <c r="B144" s="3">
        <f>IFERROR(INDEX(_xlfn._xlws.FILTER(CONFIG_ASIGNATURAS!$B$2:$B$27,CONFIG_ASIGNATURAS!$G$2:$G$27="Sí"),29),"")</f>
      </c>
      <c r="C144" s="3">
        <f>IF(B144="","",IFERROR(IF(VLOOKUP(B144,CONFIG_ASIGNATURAS!$B$2:$F$27,5,FALSE())="Sí","Especialidad","Asignatura"),"Asignatura"))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3EEM</t>
        </is>
      </c>
      <c r="B145" s="3">
        <f>IFERROR(INDEX(_xlfn._xlws.FILTER(CONFIG_ASIGNATURAS!$B$2:$B$27,CONFIG_ASIGNATURAS!$G$2:$G$27="Sí"),30),"")</f>
      </c>
      <c r="C145" s="3">
        <f>IF(B145="","",IFERROR(IF(VLOOKUP(B145,CONFIG_ASIGNATURAS!$B$2:$F$27,5,FALSE())="Sí","Especialidad","Asignatura"),"Asignatura"))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3EEM</t>
        </is>
      </c>
      <c r="B146" s="3">
        <f>IFERROR(INDEX(_xlfn._xlws.FILTER(CONFIG_ASIGNATURAS!$B$2:$B$27,CONFIG_ASIGNATURAS!$G$2:$G$27="Sí"),31),"")</f>
      </c>
      <c r="C146" s="3">
        <f>IF(B146="","",IFERROR(IF(VLOOKUP(B146,CONFIG_ASIGNATURAS!$B$2:$F$27,5,FALSE())="Sí","Especialidad","Asignatura"),"Asignatura"))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3EEM</t>
        </is>
      </c>
      <c r="B147" s="3">
        <f>IFERROR(INDEX(_xlfn._xlws.FILTER(CONFIG_ASIGNATURAS!$B$2:$B$27,CONFIG_ASIGNATURAS!$G$2:$G$27="Sí"),32),"")</f>
      </c>
      <c r="C147" s="3">
        <f>IF(B147="","",IFERROR(IF(VLOOKUP(B147,CONFIG_ASIGNATURAS!$B$2:$F$27,5,FALSE())="Sí","Especialidad","Asignatura"),"Asignatura"))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3EEM</t>
        </is>
      </c>
      <c r="B148" s="3">
        <f>IFERROR(INDEX(_xlfn._xlws.FILTER(CONFIG_ASIGNATURAS!$B$2:$B$27,CONFIG_ASIGNATURAS!$G$2:$G$27="Sí"),33),"")</f>
      </c>
      <c r="C148" s="3">
        <f>IF(B148="","",IFERROR(IF(VLOOKUP(B148,CONFIG_ASIGNATURAS!$B$2:$F$27,5,FALSE())="Sí","Especialidad","Asignatura"),"Asignatura"))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3EEM</t>
        </is>
      </c>
      <c r="B149" s="3">
        <f>IFERROR(INDEX(_xlfn._xlws.FILTER(CONFIG_ASIGNATURAS!$B$2:$B$27,CONFIG_ASIGNATURAS!$G$2:$G$27="Sí"),34),"")</f>
      </c>
      <c r="C149" s="3">
        <f>IF(B149="","",IFERROR(IF(VLOOKUP(B149,CONFIG_ASIGNATURAS!$B$2:$F$27,5,FALSE())="Sí","Especialidad","Asignatura"),"Asignatura"))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4EEM</t>
        </is>
      </c>
      <c r="B150" s="3" t="inlineStr">
        <is>
          <t xml:space="preserve">Total</t>
        </is>
      </c>
      <c r="C150" s="3" t="inlineStr">
        <is>
          <t xml:space="preserve">Total</t>
        </is>
      </c>
      <c r="D150">
        <f>COUNTIFS(DATOS!G:G,CONFIG_METADATA!$B$4,DATOS!D:D,A150)</f>
        <v>0</v>
      </c>
      <c r="E150" s="14" t="str">
        <f>IFERROR(AVERAGEIFS(DATOS!K:K,DATOS!G:G,CONFIG_METADATA!$B$4,DATOS!D:D,A150),"—")</f>
        <v>—</v>
      </c>
      <c r="F150" s="14" t="str" cm="1">
        <f t="array" ref="F150">IFERROR(_xlfn.STDEV.P(IF((DATOS!$G$2:$G$20000=CONFIG_METADATA!$B$4)*(DATOS!$D$2:$D$20000=A150),DATOS!$K$2:$K$20000)),"—")</f>
        <v>—</v>
      </c>
      <c r="G150" t="str" cm="1">
        <f t="array" ref="G150">IFERROR(_xlfn.MODE.SNGL(IF((DATOS!$G$2:$G$20000=CONFIG_METADATA!$B$4)*(DATOS!$D$2:$D$20000=A150),DATOS!$K$2:$K$20000)),"—")</f>
        <v>—</v>
      </c>
      <c r="H150" s="15" t="str">
        <f>IFERROR(COUNTIFS(DATOS!$G$2:$G$20000,CONFIG_METADATA!$B$4,DATOS!$D$2:$D$20000,A150,DATOS!$L$2:$L$20000,"S")/COUNTIFS(DATOS!$G$2:$G$20000,CONFIG_METADATA!$B$4,DATOS!$D$2:$D$20000,A150),"—")</f>
        <v>—</v>
      </c>
      <c r="I150" s="15" t="str">
        <f>IFERROR(COUNTIFS(DATOS!$G$2:$G$20000,CONFIG_METADATA!$B$4,DATOS!$D$2:$D$20000,A150,DATOS!$L$2:$L$20000,"N")/COUNTIFS(DATOS!$G$2:$G$20000,CONFIG_METADATA!$B$4,DATOS!$D$2:$D$20000,A150),"—")</f>
        <v>—</v>
      </c>
      <c r="J150" t="str" cm="1">
        <f t="array" ref="J150">IFERROR(_xlfn.MODE.SNGL(IF((DATOS!$G$2:$G$20000=CONFIG_METADATA!$B$4)*(DATOS!$D$2:$D$20000=A150)*(DATOS!$L$2:$L$20000="S"),DATOS!$K$2:$K$20000)),"—")</f>
        <v>—</v>
      </c>
      <c r="K150" t="str" cm="1">
        <f t="array" ref="K150">IFERROR(_xlfn.MODE.SNGL(IF((DATOS!$G$2:$G$20000=CONFIG_METADATA!$B$4)*(DATOS!$D$2:$D$20000=A150)*(DATOS!$L$2:$L$20000="N"),DATOS!$K$2:$K$20000)),"—")</f>
        <v>—</v>
      </c>
      <c r="L150" cm="1">
        <f t="array" ref="L150">SUMPRODUCT((DATOS!$G$2:$G$20000=CONFIG_METADATA!$B$4)*(DATOS!$D$2:$D$20000=A150)*(DATOS!$K$2:$K$20000=1))</f>
        <v>0</v>
      </c>
      <c r="M150" cm="1">
        <f t="array" ref="M150">SUMPRODUCT((DATOS!$G$2:$G$20000=CONFIG_METADATA!$B$4)*(DATOS!$D$2:$D$20000=A150)*(DATOS!$K$2:$K$20000=2))</f>
        <v>0</v>
      </c>
      <c r="N150" cm="1">
        <f t="array" ref="N150">SUMPRODUCT((DATOS!$G$2:$G$20000=CONFIG_METADATA!$B$4)*(DATOS!$D$2:$D$20000=A150)*(DATOS!$K$2:$K$20000=3))</f>
        <v>0</v>
      </c>
      <c r="O150" cm="1">
        <f t="array" ref="O150">SUMPRODUCT((DATOS!$G$2:$G$20000=CONFIG_METADATA!$B$4)*(DATOS!$D$2:$D$20000=A150)*(DATOS!$K$2:$K$20000=4))</f>
        <v>0</v>
      </c>
      <c r="P150" cm="1">
        <f t="array" ref="P150">SUMPRODUCT((DATOS!$G$2:$G$20000=CONFIG_METADATA!$B$4)*(DATOS!$D$2:$D$20000=A150)*(DATOS!$K$2:$K$20000=5))</f>
        <v>0</v>
      </c>
      <c r="Q150" cm="1">
        <f t="array" ref="Q150">SUMPRODUCT((DATOS!$G$2:$G$20000=CONFIG_METADATA!$B$4)*(DATOS!$D$2:$D$20000=A150)*(DATOS!$K$2:$K$20000=6))</f>
        <v>0</v>
      </c>
      <c r="R150" cm="1">
        <f t="array" ref="R150">SUMPRODUCT((DATOS!$G$2:$G$20000=CONFIG_METADATA!$B$4)*(DATOS!$D$2:$D$20000=A150)*(DATOS!$K$2:$K$20000=7))</f>
        <v>0</v>
      </c>
      <c r="S150" cm="1">
        <f t="array" ref="S150">SUMPRODUCT((DATOS!$G$2:$G$20000=CONFIG_METADATA!$B$4)*(DATOS!$D$2:$D$20000=A150)*(DATOS!$K$2:$K$20000=8))</f>
        <v>0</v>
      </c>
      <c r="T150" cm="1">
        <f t="array" ref="T150">SUMPRODUCT((DATOS!$G$2:$G$20000=CONFIG_METADATA!$B$4)*(DATOS!$D$2:$D$20000=A150)*(DATOS!$K$2:$K$20000=9))</f>
        <v>0</v>
      </c>
      <c r="U150" cm="1">
        <f t="array" ref="U150">SUMPRODUCT((DATOS!$G$2:$G$20000=CONFIG_METADATA!$B$4)*(DATOS!$D$2:$D$20000=A150)*(DATOS!$K$2:$K$20000=10))</f>
        <v>0</v>
      </c>
    </row>
    <row r="151" spans="1:22">
      <c r="A151" s="3" t="inlineStr">
        <is>
          <t xml:space="preserve">4EEM</t>
        </is>
      </c>
      <c r="B151" s="3" t="inlineStr">
        <is>
          <t xml:space="preserve">Total Especialidad</t>
        </is>
      </c>
      <c r="C151" s="3" t="inlineStr">
        <is>
          <t xml:space="preserve">TotalEsp</t>
        </is>
      </c>
      <c r="D151">
        <f>SUMPRODUCT((DATOS!$G$2:$G$20000=CONFIG_METADATA!$B$4)*(DATOS!$D$2:$D$20000=A151)*(COUNTIFS(CONFIG_ASIGNATURAS!$B$5:$B$27,DATOS!$I$2:$I$20000,CONFIG_ASIGNATURAS!$G$5:$G$27,"Sí")&gt;0)*1)</f>
      </c>
      <c r="E151" s="14">
        <f>IFERROR(AVERAGE(IF((DATOS!$G$2:$G$20000=CONFIG_METADATA!$B$4)*(DATOS!$D$2:$D$20000=A151)*(COUNTIFS(CONFIG_ASIGNATURAS!$B$5:$B$27,DATOS!$I$2:$I$20000,CONFIG_ASIGNATURAS!$G$5:$G$27,"Sí")&gt;0),DATOS!$K$2:$K$20000)),"—")</f>
      </c>
      <c r="F151" s="14">
        <f>IFERROR(_xlfn.STDEV.P(IF((DATOS!$G$2:$G$20000=CONFIG_METADATA!$B$4)*(DATOS!$D$2:$D$20000=A151)*(COUNTIFS(CONFIG_ASIGNATURAS!$B$5:$B$27,DATOS!$I$2:$I$20000,CONFIG_ASIGNATURAS!$G$5:$G$27,"Sí")&gt;0),DATOS!$K$2:$K$20000)),"—")</f>
      </c>
      <c r="G151">
        <f>IFERROR(_xlfn.MODE.SNGL(IF((DATOS!$G$2:$G$20000=CONFIG_METADATA!$B$4)*(DATOS!$D$2:$D$20000=A151)*(COUNTIFS(CONFIG_ASIGNATURAS!$B$5:$B$27,DATOS!$I$2:$I$20000,CONFIG_ASIGNATURAS!$G$5:$G$27,"Sí")&gt;0),DATOS!$K$2:$K$20000)),"—")</f>
      </c>
      <c r="H151" s="15">
        <f>IFERROR(SUMPRODUCT((DATOS!$G$2:$G$20000=CONFIG_METADATA!$B$4)*(DATOS!$D$2:$D$20000=A151)*(COUNTIFS(CONFIG_ASIGNATURAS!$B$5:$B$27,DATOS!$I$2:$I$20000,CONFIG_ASIGNATURAS!$G$5:$G$27,"Sí")&gt;0)*(DATOS!$L$2:$L$20000="S"))/SUMPRODUCT((DATOS!$G$2:$G$20000=CONFIG_METADATA!$B$4)*(DATOS!$D$2:$D$20000=A151)*(COUNTIFS(CONFIG_ASIGNATURAS!$B$5:$B$27,DATOS!$I$2:$I$20000,CONFIG_ASIGNATURAS!$G$5:$G$27,"Sí")&gt;0)*1),"—")</f>
      </c>
      <c r="I151" s="15">
        <f>IFERROR(SUMPRODUCT((DATOS!$G$2:$G$20000=CONFIG_METADATA!$B$4)*(DATOS!$D$2:$D$20000=A151)*(COUNTIFS(CONFIG_ASIGNATURAS!$B$5:$B$27,DATOS!$I$2:$I$20000,CONFIG_ASIGNATURAS!$G$5:$G$27,"Sí")&gt;0)*(DATOS!$L$2:$L$20000="N"))/SUMPRODUCT((DATOS!$G$2:$G$20000=CONFIG_METADATA!$B$4)*(DATOS!$D$2:$D$20000=A151)*(COUNTIFS(CONFIG_ASIGNATURAS!$B$5:$B$27,DATOS!$I$2:$I$20000,CONFIG_ASIGNATURAS!$G$5:$G$27,"Sí")&gt;0)*1),"—")</f>
      </c>
      <c r="J151">
        <f>IFERROR(_xlfn.MODE.SNGL(IF((DATOS!$G$2:$G$20000=CONFIG_METADATA!$B$4)*(DATOS!$D$2:$D$20000=A151)*(COUNTIFS(CONFIG_ASIGNATURAS!$B$5:$B$27,DATOS!$I$2:$I$20000,CONFIG_ASIGNATURAS!$G$5:$G$27,"Sí")&gt;0)*(DATOS!$L$2:$L$20000="S"),DATOS!$K$2:$K$20000)),"—")</f>
      </c>
      <c r="K151">
        <f>IFERROR(_xlfn.MODE.SNGL(IF((DATOS!$G$2:$G$20000=CONFIG_METADATA!$B$4)*(DATOS!$D$2:$D$20000=A151)*(COUNTIFS(CONFIG_ASIGNATURAS!$B$5:$B$27,DATOS!$I$2:$I$20000,CONFIG_ASIGNATURAS!$G$5:$G$27,"Sí")&gt;0)*(DATOS!$L$2:$L$20000="N"),DATOS!$K$2:$K$20000)),"—")</f>
      </c>
      <c r="L151">
        <f>SUMPRODUCT((DATOS!$G$2:$G$20000=CONFIG_METADATA!$B$4)*(DATOS!$D$2:$D$20000=A151)*(COUNTIFS(CONFIG_ASIGNATURAS!$B$5:$B$27,DATOS!$I$2:$I$20000,CONFIG_ASIGNATURAS!$G$5:$G$27,"Sí")&gt;0)*(DATOS!$K$2:$K$20000=1))</f>
      </c>
      <c r="M151">
        <f>SUMPRODUCT((DATOS!$G$2:$G$20000=CONFIG_METADATA!$B$4)*(DATOS!$D$2:$D$20000=A151)*(COUNTIFS(CONFIG_ASIGNATURAS!$B$5:$B$27,DATOS!$I$2:$I$20000,CONFIG_ASIGNATURAS!$G$5:$G$27,"Sí")&gt;0)*(DATOS!$K$2:$K$20000=2))</f>
      </c>
      <c r="N151">
        <f>SUMPRODUCT((DATOS!$G$2:$G$20000=CONFIG_METADATA!$B$4)*(DATOS!$D$2:$D$20000=A151)*(COUNTIFS(CONFIG_ASIGNATURAS!$B$5:$B$27,DATOS!$I$2:$I$20000,CONFIG_ASIGNATURAS!$G$5:$G$27,"Sí")&gt;0)*(DATOS!$K$2:$K$20000=3))</f>
      </c>
      <c r="O151">
        <f>SUMPRODUCT((DATOS!$G$2:$G$20000=CONFIG_METADATA!$B$4)*(DATOS!$D$2:$D$20000=A151)*(COUNTIFS(CONFIG_ASIGNATURAS!$B$5:$B$27,DATOS!$I$2:$I$20000,CONFIG_ASIGNATURAS!$G$5:$G$27,"Sí")&gt;0)*(DATOS!$K$2:$K$20000=4))</f>
      </c>
      <c r="P151">
        <f>SUMPRODUCT((DATOS!$G$2:$G$20000=CONFIG_METADATA!$B$4)*(DATOS!$D$2:$D$20000=A151)*(COUNTIFS(CONFIG_ASIGNATURAS!$B$5:$B$27,DATOS!$I$2:$I$20000,CONFIG_ASIGNATURAS!$G$5:$G$27,"Sí")&gt;0)*(DATOS!$K$2:$K$20000=5))</f>
      </c>
      <c r="Q151">
        <f>SUMPRODUCT((DATOS!$G$2:$G$20000=CONFIG_METADATA!$B$4)*(DATOS!$D$2:$D$20000=A151)*(COUNTIFS(CONFIG_ASIGNATURAS!$B$5:$B$27,DATOS!$I$2:$I$20000,CONFIG_ASIGNATURAS!$G$5:$G$27,"Sí")&gt;0)*(DATOS!$K$2:$K$20000=6))</f>
      </c>
      <c r="R151">
        <f>SUMPRODUCT((DATOS!$G$2:$G$20000=CONFIG_METADATA!$B$4)*(DATOS!$D$2:$D$20000=A151)*(COUNTIFS(CONFIG_ASIGNATURAS!$B$5:$B$27,DATOS!$I$2:$I$20000,CONFIG_ASIGNATURAS!$G$5:$G$27,"Sí")&gt;0)*(DATOS!$K$2:$K$20000=7))</f>
      </c>
      <c r="S151">
        <f>SUMPRODUCT((DATOS!$G$2:$G$20000=CONFIG_METADATA!$B$4)*(DATOS!$D$2:$D$20000=A151)*(COUNTIFS(CONFIG_ASIGNATURAS!$B$5:$B$27,DATOS!$I$2:$I$20000,CONFIG_ASIGNATURAS!$G$5:$G$27,"Sí")&gt;0)*(DATOS!$K$2:$K$20000=8))</f>
      </c>
      <c r="T151">
        <f>SUMPRODUCT((DATOS!$G$2:$G$20000=CONFIG_METADATA!$B$4)*(DATOS!$D$2:$D$20000=A151)*(COUNTIFS(CONFIG_ASIGNATURAS!$B$5:$B$27,DATOS!$I$2:$I$20000,CONFIG_ASIGNATURAS!$G$5:$G$27,"Sí")&gt;0)*(DATOS!$K$2:$K$20000=9))</f>
      </c>
      <c r="U151">
        <f>SUMPRODUCT((DATOS!$G$2:$G$20000=CONFIG_METADATA!$B$4)*(DATOS!$D$2:$D$20000=A151)*(COUNTIFS(CONFIG_ASIGNATURAS!$B$5:$B$27,DATOS!$I$2:$I$20000,CONFIG_ASIGNATURAS!$G$5:$G$27,"Sí")&gt;0)*(DATOS!$K$2:$K$20000=10))</f>
      </c>
    </row>
    <row r="152" spans="1:22">
      <c r="A152" s="3" t="inlineStr">
        <is>
          <t xml:space="preserve">4EEM</t>
        </is>
      </c>
      <c r="B152" s="3" t="inlineStr">
        <is>
          <t xml:space="preserve">Total no Especialidad</t>
        </is>
      </c>
      <c r="C152" s="3" t="inlineStr">
        <is>
          <t xml:space="preserve">TotalNoEsp</t>
        </is>
      </c>
      <c r="D152">
        <f>SUMPRODUCT((DATOS!$G$2:$G$20000=CONFIG_METADATA!$B$4)*(DATOS!$D$2:$D$20000=A152)*(COUNTIFS(CONFIG_ASIGNATURAS!$B$2:$B$4,DATOS!$I$2:$I$20000,CONFIG_ASIGNATURAS!$G$2:$G$4,"Sí")&gt;0)*1)</f>
      </c>
      <c r="E152" s="14">
        <f>IFERROR(AVERAGE(IF((DATOS!$G$2:$G$20000=CONFIG_METADATA!$B$4)*(DATOS!$D$2:$D$20000=A152)*(COUNTIFS(CONFIG_ASIGNATURAS!$B$2:$B$4,DATOS!$I$2:$I$20000,CONFIG_ASIGNATURAS!$G$2:$G$4,"Sí")&gt;0),DATOS!$K$2:$K$20000)),"—")</f>
      </c>
      <c r="F152" s="14">
        <f>IFERROR(_xlfn.STDEV.P(IF((DATOS!$G$2:$G$20000=CONFIG_METADATA!$B$4)*(DATOS!$D$2:$D$20000=A152)*(COUNTIFS(CONFIG_ASIGNATURAS!$B$2:$B$4,DATOS!$I$2:$I$20000,CONFIG_ASIGNATURAS!$G$2:$G$4,"Sí")&gt;0),DATOS!$K$2:$K$20000)),"—")</f>
      </c>
      <c r="G152">
        <f>IFERROR(_xlfn.MODE.SNGL(IF((DATOS!$G$2:$G$20000=CONFIG_METADATA!$B$4)*(DATOS!$D$2:$D$20000=A152)*(COUNTIFS(CONFIG_ASIGNATURAS!$B$2:$B$4,DATOS!$I$2:$I$20000,CONFIG_ASIGNATURAS!$G$2:$G$4,"Sí")&gt;0),DATOS!$K$2:$K$20000)),"—")</f>
      </c>
      <c r="H152" s="15">
        <f>IFERROR(SUMPRODUCT((DATOS!$G$2:$G$20000=CONFIG_METADATA!$B$4)*(DATOS!$D$2:$D$20000=A152)*(COUNTIFS(CONFIG_ASIGNATURAS!$B$2:$B$4,DATOS!$I$2:$I$20000,CONFIG_ASIGNATURAS!$G$2:$G$4,"Sí")&gt;0)*(DATOS!$L$2:$L$20000="S"))/SUMPRODUCT((DATOS!$G$2:$G$20000=CONFIG_METADATA!$B$4)*(DATOS!$D$2:$D$20000=A152)*(COUNTIFS(CONFIG_ASIGNATURAS!$B$2:$B$4,DATOS!$I$2:$I$20000,CONFIG_ASIGNATURAS!$G$2:$G$4,"Sí")&gt;0)*1),"—")</f>
      </c>
      <c r="I152" s="15">
        <f>IFERROR(SUMPRODUCT((DATOS!$G$2:$G$20000=CONFIG_METADATA!$B$4)*(DATOS!$D$2:$D$20000=A152)*(COUNTIFS(CONFIG_ASIGNATURAS!$B$2:$B$4,DATOS!$I$2:$I$20000,CONFIG_ASIGNATURAS!$G$2:$G$4,"Sí")&gt;0)*(DATOS!$L$2:$L$20000="N"))/SUMPRODUCT((DATOS!$G$2:$G$20000=CONFIG_METADATA!$B$4)*(DATOS!$D$2:$D$20000=A152)*(COUNTIFS(CONFIG_ASIGNATURAS!$B$2:$B$4,DATOS!$I$2:$I$20000,CONFIG_ASIGNATURAS!$G$2:$G$4,"Sí")&gt;0)*1),"—")</f>
      </c>
      <c r="J152">
        <f>IFERROR(_xlfn.MODE.SNGL(IF((DATOS!$G$2:$G$20000=CONFIG_METADATA!$B$4)*(DATOS!$D$2:$D$20000=A152)*(COUNTIFS(CONFIG_ASIGNATURAS!$B$2:$B$4,DATOS!$I$2:$I$20000,CONFIG_ASIGNATURAS!$G$2:$G$4,"Sí")&gt;0)*(DATOS!$L$2:$L$20000="S"),DATOS!$K$2:$K$20000)),"—")</f>
      </c>
      <c r="K152">
        <f>IFERROR(_xlfn.MODE.SNGL(IF((DATOS!$G$2:$G$20000=CONFIG_METADATA!$B$4)*(DATOS!$D$2:$D$20000=A152)*(COUNTIFS(CONFIG_ASIGNATURAS!$B$2:$B$4,DATOS!$I$2:$I$20000,CONFIG_ASIGNATURAS!$G$2:$G$4,"Sí")&gt;0)*(DATOS!$L$2:$L$20000="N"),DATOS!$K$2:$K$20000)),"—")</f>
      </c>
      <c r="L152">
        <f>SUMPRODUCT((DATOS!$G$2:$G$20000=CONFIG_METADATA!$B$4)*(DATOS!$D$2:$D$20000=A152)*(COUNTIFS(CONFIG_ASIGNATURAS!$B$2:$B$4,DATOS!$I$2:$I$20000,CONFIG_ASIGNATURAS!$G$2:$G$4,"Sí")&gt;0)*(DATOS!$K$2:$K$20000=1))</f>
      </c>
      <c r="M152">
        <f>SUMPRODUCT((DATOS!$G$2:$G$20000=CONFIG_METADATA!$B$4)*(DATOS!$D$2:$D$20000=A152)*(COUNTIFS(CONFIG_ASIGNATURAS!$B$2:$B$4,DATOS!$I$2:$I$20000,CONFIG_ASIGNATURAS!$G$2:$G$4,"Sí")&gt;0)*(DATOS!$K$2:$K$20000=2))</f>
      </c>
      <c r="N152">
        <f>SUMPRODUCT((DATOS!$G$2:$G$20000=CONFIG_METADATA!$B$4)*(DATOS!$D$2:$D$20000=A152)*(COUNTIFS(CONFIG_ASIGNATURAS!$B$2:$B$4,DATOS!$I$2:$I$20000,CONFIG_ASIGNATURAS!$G$2:$G$4,"Sí")&gt;0)*(DATOS!$K$2:$K$20000=3))</f>
      </c>
      <c r="O152">
        <f>SUMPRODUCT((DATOS!$G$2:$G$20000=CONFIG_METADATA!$B$4)*(DATOS!$D$2:$D$20000=A152)*(COUNTIFS(CONFIG_ASIGNATURAS!$B$2:$B$4,DATOS!$I$2:$I$20000,CONFIG_ASIGNATURAS!$G$2:$G$4,"Sí")&gt;0)*(DATOS!$K$2:$K$20000=4))</f>
      </c>
      <c r="P152">
        <f>SUMPRODUCT((DATOS!$G$2:$G$20000=CONFIG_METADATA!$B$4)*(DATOS!$D$2:$D$20000=A152)*(COUNTIFS(CONFIG_ASIGNATURAS!$B$2:$B$4,DATOS!$I$2:$I$20000,CONFIG_ASIGNATURAS!$G$2:$G$4,"Sí")&gt;0)*(DATOS!$K$2:$K$20000=5))</f>
      </c>
      <c r="Q152">
        <f>SUMPRODUCT((DATOS!$G$2:$G$20000=CONFIG_METADATA!$B$4)*(DATOS!$D$2:$D$20000=A152)*(COUNTIFS(CONFIG_ASIGNATURAS!$B$2:$B$4,DATOS!$I$2:$I$20000,CONFIG_ASIGNATURAS!$G$2:$G$4,"Sí")&gt;0)*(DATOS!$K$2:$K$20000=6))</f>
      </c>
      <c r="R152">
        <f>SUMPRODUCT((DATOS!$G$2:$G$20000=CONFIG_METADATA!$B$4)*(DATOS!$D$2:$D$20000=A152)*(COUNTIFS(CONFIG_ASIGNATURAS!$B$2:$B$4,DATOS!$I$2:$I$20000,CONFIG_ASIGNATURAS!$G$2:$G$4,"Sí")&gt;0)*(DATOS!$K$2:$K$20000=7))</f>
      </c>
      <c r="S152">
        <f>SUMPRODUCT((DATOS!$G$2:$G$20000=CONFIG_METADATA!$B$4)*(DATOS!$D$2:$D$20000=A152)*(COUNTIFS(CONFIG_ASIGNATURAS!$B$2:$B$4,DATOS!$I$2:$I$20000,CONFIG_ASIGNATURAS!$G$2:$G$4,"Sí")&gt;0)*(DATOS!$K$2:$K$20000=8))</f>
      </c>
      <c r="T152">
        <f>SUMPRODUCT((DATOS!$G$2:$G$20000=CONFIG_METADATA!$B$4)*(DATOS!$D$2:$D$20000=A152)*(COUNTIFS(CONFIG_ASIGNATURAS!$B$2:$B$4,DATOS!$I$2:$I$20000,CONFIG_ASIGNATURAS!$G$2:$G$4,"Sí")&gt;0)*(DATOS!$K$2:$K$20000=9))</f>
      </c>
      <c r="U152">
        <f>SUMPRODUCT((DATOS!$G$2:$G$20000=CONFIG_METADATA!$B$4)*(DATOS!$D$2:$D$20000=A152)*(COUNTIFS(CONFIG_ASIGNATURAS!$B$2:$B$4,DATOS!$I$2:$I$20000,CONFIG_ASIGNATURAS!$G$2:$G$4,"Sí")&gt;0)*(DATOS!$K$2:$K$20000=10))</f>
      </c>
    </row>
    <row r="153" spans="1:22">
      <c r="A153" s="3" t="inlineStr">
        <is>
          <t xml:space="preserve">4EEM</t>
        </is>
      </c>
      <c r="B153" s="3">
        <f>IFERROR(INDEX(_xlfn._xlws.FILTER(CONFIG_ASIGNATURAS!$B$2:$B$27,CONFIG_ASIGNATURAS!$G$2:$G$27="Sí"),1),"")</f>
      </c>
      <c r="C153" s="3">
        <f>IF(B153="","",IFERROR(IF(VLOOKUP(B153,CONFIG_ASIGNATURAS!$B$2:$F$27,5,FALSE())="Sí","Especialidad","Asignatura"),"Asignatura"))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4EEM</t>
        </is>
      </c>
      <c r="B154" s="3">
        <f>IFERROR(INDEX(_xlfn._xlws.FILTER(CONFIG_ASIGNATURAS!$B$2:$B$27,CONFIG_ASIGNATURAS!$G$2:$G$27="Sí"),2),"")</f>
      </c>
      <c r="C154" s="3">
        <f>IF(B154="","",IFERROR(IF(VLOOKUP(B154,CONFIG_ASIGNATURAS!$B$2:$F$27,5,FALSE())="Sí","Especialidad","Asignatura"),"Asignatura"))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4EEM</t>
        </is>
      </c>
      <c r="B155" s="3">
        <f>IFERROR(INDEX(_xlfn._xlws.FILTER(CONFIG_ASIGNATURAS!$B$2:$B$27,CONFIG_ASIGNATURAS!$G$2:$G$27="Sí"),3),"")</f>
      </c>
      <c r="C155" s="3">
        <f>IF(B155="","",IFERROR(IF(VLOOKUP(B155,CONFIG_ASIGNATURAS!$B$2:$F$27,5,FALSE())="Sí","Especialidad","Asignatura"),"Asignatura"))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4EEM</t>
        </is>
      </c>
      <c r="B156" s="3">
        <f>IFERROR(INDEX(_xlfn._xlws.FILTER(CONFIG_ASIGNATURAS!$B$2:$B$27,CONFIG_ASIGNATURAS!$G$2:$G$27="Sí"),4),"")</f>
      </c>
      <c r="C156" s="3">
        <f>IF(B156="","",IFERROR(IF(VLOOKUP(B156,CONFIG_ASIGNATURAS!$B$2:$F$27,5,FALSE())="Sí","Especialidad","Asignatura"),"Asignatura"))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4EEM</t>
        </is>
      </c>
      <c r="B157" s="3">
        <f>IFERROR(INDEX(_xlfn._xlws.FILTER(CONFIG_ASIGNATURAS!$B$2:$B$27,CONFIG_ASIGNATURAS!$G$2:$G$27="Sí"),5),"")</f>
      </c>
      <c r="C157" s="3">
        <f>IF(B157="","",IFERROR(IF(VLOOKUP(B157,CONFIG_ASIGNATURAS!$B$2:$F$27,5,FALSE())="Sí","Especialidad","Asignatura"),"Asignatura"))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4EEM</t>
        </is>
      </c>
      <c r="B158" s="3">
        <f>IFERROR(INDEX(_xlfn._xlws.FILTER(CONFIG_ASIGNATURAS!$B$2:$B$27,CONFIG_ASIGNATURAS!$G$2:$G$27="Sí"),6),"")</f>
      </c>
      <c r="C158" s="3">
        <f>IF(B158="","",IFERROR(IF(VLOOKUP(B158,CONFIG_ASIGNATURAS!$B$2:$F$27,5,FALSE())="Sí","Especialidad","Asignatura"),"Asignatura"))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4EEM</t>
        </is>
      </c>
      <c r="B159" s="3">
        <f>IFERROR(INDEX(_xlfn._xlws.FILTER(CONFIG_ASIGNATURAS!$B$2:$B$27,CONFIG_ASIGNATURAS!$G$2:$G$27="Sí"),7),"")</f>
      </c>
      <c r="C159" s="3">
        <f>IF(B159="","",IFERROR(IF(VLOOKUP(B159,CONFIG_ASIGNATURAS!$B$2:$F$27,5,FALSE())="Sí","Especialidad","Asignatura"),"Asignatura"))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4EEM</t>
        </is>
      </c>
      <c r="B160" s="3">
        <f>IFERROR(INDEX(_xlfn._xlws.FILTER(CONFIG_ASIGNATURAS!$B$2:$B$27,CONFIG_ASIGNATURAS!$G$2:$G$27="Sí"),8),"")</f>
      </c>
      <c r="C160" s="3">
        <f>IF(B160="","",IFERROR(IF(VLOOKUP(B160,CONFIG_ASIGNATURAS!$B$2:$F$27,5,FALSE())="Sí","Especialidad","Asignatura"),"Asignatura"))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4EEM</t>
        </is>
      </c>
      <c r="B161" s="3">
        <f>IFERROR(INDEX(_xlfn._xlws.FILTER(CONFIG_ASIGNATURAS!$B$2:$B$27,CONFIG_ASIGNATURAS!$G$2:$G$27="Sí"),9),"")</f>
      </c>
      <c r="C161" s="3">
        <f>IF(B161="","",IFERROR(IF(VLOOKUP(B161,CONFIG_ASIGNATURAS!$B$2:$F$27,5,FALSE())="Sí","Especialidad","Asignatura"),"Asignatura"))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4EEM</t>
        </is>
      </c>
      <c r="B162" s="3">
        <f>IFERROR(INDEX(_xlfn._xlws.FILTER(CONFIG_ASIGNATURAS!$B$2:$B$27,CONFIG_ASIGNATURAS!$G$2:$G$27="Sí"),10),"")</f>
      </c>
      <c r="C162" s="3">
        <f>IF(B162="","",IFERROR(IF(VLOOKUP(B162,CONFIG_ASIGNATURAS!$B$2:$F$27,5,FALSE())="Sí","Especialidad","Asignatura"),"Asignatura"))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4EEM</t>
        </is>
      </c>
      <c r="B163" s="3">
        <f>IFERROR(INDEX(_xlfn._xlws.FILTER(CONFIG_ASIGNATURAS!$B$2:$B$27,CONFIG_ASIGNATURAS!$G$2:$G$27="Sí"),11),"")</f>
      </c>
      <c r="C163" s="3">
        <f>IF(B163="","",IFERROR(IF(VLOOKUP(B163,CONFIG_ASIGNATURAS!$B$2:$F$27,5,FALSE())="Sí","Especialidad","Asignatura"),"Asignatura"))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4EEM</t>
        </is>
      </c>
      <c r="B164" s="3">
        <f>IFERROR(INDEX(_xlfn._xlws.FILTER(CONFIG_ASIGNATURAS!$B$2:$B$27,CONFIG_ASIGNATURAS!$G$2:$G$27="Sí"),12),"")</f>
      </c>
      <c r="C164" s="3">
        <f>IF(B164="","",IFERROR(IF(VLOOKUP(B164,CONFIG_ASIGNATURAS!$B$2:$F$27,5,FALSE())="Sí","Especialidad","Asignatura"),"Asignatura"))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4EEM</t>
        </is>
      </c>
      <c r="B165" s="3">
        <f>IFERROR(INDEX(_xlfn._xlws.FILTER(CONFIG_ASIGNATURAS!$B$2:$B$27,CONFIG_ASIGNATURAS!$G$2:$G$27="Sí"),13),"")</f>
      </c>
      <c r="C165" s="3">
        <f>IF(B165="","",IFERROR(IF(VLOOKUP(B165,CONFIG_ASIGNATURAS!$B$2:$F$27,5,FALSE())="Sí","Especialidad","Asignatura"),"Asignatura"))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4EEM</t>
        </is>
      </c>
      <c r="B166" s="3">
        <f>IFERROR(INDEX(_xlfn._xlws.FILTER(CONFIG_ASIGNATURAS!$B$2:$B$27,CONFIG_ASIGNATURAS!$G$2:$G$27="Sí"),14),"")</f>
      </c>
      <c r="C166" s="3">
        <f>IF(B166="","",IFERROR(IF(VLOOKUP(B166,CONFIG_ASIGNATURAS!$B$2:$F$27,5,FALSE())="Sí","Especialidad","Asignatura"),"Asignatura"))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4EEM</t>
        </is>
      </c>
      <c r="B167" s="3">
        <f>IFERROR(INDEX(_xlfn._xlws.FILTER(CONFIG_ASIGNATURAS!$B$2:$B$27,CONFIG_ASIGNATURAS!$G$2:$G$27="Sí"),15),"")</f>
      </c>
      <c r="C167" s="3">
        <f>IF(B167="","",IFERROR(IF(VLOOKUP(B167,CONFIG_ASIGNATURAS!$B$2:$F$27,5,FALSE())="Sí","Especialidad","Asignatura"),"Asignatura"))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4EEM</t>
        </is>
      </c>
      <c r="B168" s="3">
        <f>IFERROR(INDEX(_xlfn._xlws.FILTER(CONFIG_ASIGNATURAS!$B$2:$B$27,CONFIG_ASIGNATURAS!$G$2:$G$27="Sí"),16),"")</f>
      </c>
      <c r="C168" s="3">
        <f>IF(B168="","",IFERROR(IF(VLOOKUP(B168,CONFIG_ASIGNATURAS!$B$2:$F$27,5,FALSE())="Sí","Especialidad","Asignatura"),"Asignatura"))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4EEM</t>
        </is>
      </c>
      <c r="B169" s="3">
        <f>IFERROR(INDEX(_xlfn._xlws.FILTER(CONFIG_ASIGNATURAS!$B$2:$B$27,CONFIG_ASIGNATURAS!$G$2:$G$27="Sí"),17),"")</f>
      </c>
      <c r="C169" s="3">
        <f>IF(B169="","",IFERROR(IF(VLOOKUP(B169,CONFIG_ASIGNATURAS!$B$2:$F$27,5,FALSE())="Sí","Especialidad","Asignatura"),"Asignatura"))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4EEM</t>
        </is>
      </c>
      <c r="B170" s="3">
        <f>IFERROR(INDEX(_xlfn._xlws.FILTER(CONFIG_ASIGNATURAS!$B$2:$B$27,CONFIG_ASIGNATURAS!$G$2:$G$27="Sí"),18),"")</f>
      </c>
      <c r="C170" s="3">
        <f>IF(B170="","",IFERROR(IF(VLOOKUP(B170,CONFIG_ASIGNATURAS!$B$2:$F$27,5,FALSE())="Sí","Especialidad","Asignatura"),"Asignatura"))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4EEM</t>
        </is>
      </c>
      <c r="B171" s="3">
        <f>IFERROR(INDEX(_xlfn._xlws.FILTER(CONFIG_ASIGNATURAS!$B$2:$B$27,CONFIG_ASIGNATURAS!$G$2:$G$27="Sí"),19),"")</f>
      </c>
      <c r="C171" s="3">
        <f>IF(B171="","",IFERROR(IF(VLOOKUP(B171,CONFIG_ASIGNATURAS!$B$2:$F$27,5,FALSE())="Sí","Especialidad","Asignatura"),"Asignatura"))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4EEM</t>
        </is>
      </c>
      <c r="B172" s="3">
        <f>IFERROR(INDEX(_xlfn._xlws.FILTER(CONFIG_ASIGNATURAS!$B$2:$B$27,CONFIG_ASIGNATURAS!$G$2:$G$27="Sí"),20),"")</f>
      </c>
      <c r="C172" s="3">
        <f>IF(B172="","",IFERROR(IF(VLOOKUP(B172,CONFIG_ASIGNATURAS!$B$2:$F$27,5,FALSE())="Sí","Especialidad","Asignatura"),"Asignatura"))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4EEM</t>
        </is>
      </c>
      <c r="B173" s="3">
        <f>IFERROR(INDEX(_xlfn._xlws.FILTER(CONFIG_ASIGNATURAS!$B$2:$B$27,CONFIG_ASIGNATURAS!$G$2:$G$27="Sí"),21),"")</f>
      </c>
      <c r="C173" s="3">
        <f>IF(B173="","",IFERROR(IF(VLOOKUP(B173,CONFIG_ASIGNATURAS!$B$2:$F$27,5,FALSE())="Sí","Especialidad","Asignatura"),"Asignatura"))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4EEM</t>
        </is>
      </c>
      <c r="B174" s="3">
        <f>IFERROR(INDEX(_xlfn._xlws.FILTER(CONFIG_ASIGNATURAS!$B$2:$B$27,CONFIG_ASIGNATURAS!$G$2:$G$27="Sí"),22),"")</f>
      </c>
      <c r="C174" s="3">
        <f>IF(B174="","",IFERROR(IF(VLOOKUP(B174,CONFIG_ASIGNATURAS!$B$2:$F$27,5,FALSE())="Sí","Especialidad","Asignatura"),"Asignatura"))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4EEM</t>
        </is>
      </c>
      <c r="B175" s="3">
        <f>IFERROR(INDEX(_xlfn._xlws.FILTER(CONFIG_ASIGNATURAS!$B$2:$B$27,CONFIG_ASIGNATURAS!$G$2:$G$27="Sí"),23),"")</f>
      </c>
      <c r="C175" s="3">
        <f>IF(B175="","",IFERROR(IF(VLOOKUP(B175,CONFIG_ASIGNATURAS!$B$2:$F$27,5,FALSE())="Sí","Especialidad","Asignatura"),"Asignatura"))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4EEM</t>
        </is>
      </c>
      <c r="B176" s="3">
        <f>IFERROR(INDEX(_xlfn._xlws.FILTER(CONFIG_ASIGNATURAS!$B$2:$B$27,CONFIG_ASIGNATURAS!$G$2:$G$27="Sí"),24),"")</f>
      </c>
      <c r="C176" s="3">
        <f>IF(B176="","",IFERROR(IF(VLOOKUP(B176,CONFIG_ASIGNATURAS!$B$2:$F$27,5,FALSE())="Sí","Especialidad","Asignatura"),"Asignatura"))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4EEM</t>
        </is>
      </c>
      <c r="B177" s="3">
        <f>IFERROR(INDEX(_xlfn._xlws.FILTER(CONFIG_ASIGNATURAS!$B$2:$B$27,CONFIG_ASIGNATURAS!$G$2:$G$27="Sí"),25),"")</f>
      </c>
      <c r="C177" s="3">
        <f>IF(B177="","",IFERROR(IF(VLOOKUP(B177,CONFIG_ASIGNATURAS!$B$2:$F$27,5,FALSE())="Sí","Especialidad","Asignatura"),"Asignatura"))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4EEM</t>
        </is>
      </c>
      <c r="B178" s="3">
        <f>IFERROR(INDEX(_xlfn._xlws.FILTER(CONFIG_ASIGNATURAS!$B$2:$B$27,CONFIG_ASIGNATURAS!$G$2:$G$27="Sí"),26),"")</f>
      </c>
      <c r="C178" s="3">
        <f>IF(B178="","",IFERROR(IF(VLOOKUP(B178,CONFIG_ASIGNATURAS!$B$2:$F$27,5,FALSE())="Sí","Especialidad","Asignatura"),"Asignatura"))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4EEM</t>
        </is>
      </c>
      <c r="B179" s="3">
        <f>IFERROR(INDEX(_xlfn._xlws.FILTER(CONFIG_ASIGNATURAS!$B$2:$B$27,CONFIG_ASIGNATURAS!$G$2:$G$27="Sí"),27),"")</f>
      </c>
      <c r="C179" s="3">
        <f>IF(B179="","",IFERROR(IF(VLOOKUP(B179,CONFIG_ASIGNATURAS!$B$2:$F$27,5,FALSE())="Sí","Especialidad","Asignatura"),"Asignatura"))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4EEM</t>
        </is>
      </c>
      <c r="B180" s="3">
        <f>IFERROR(INDEX(_xlfn._xlws.FILTER(CONFIG_ASIGNATURAS!$B$2:$B$27,CONFIG_ASIGNATURAS!$G$2:$G$27="Sí"),28),"")</f>
      </c>
      <c r="C180" s="3">
        <f>IF(B180="","",IFERROR(IF(VLOOKUP(B180,CONFIG_ASIGNATURAS!$B$2:$F$27,5,FALSE())="Sí","Especialidad","Asignatura"),"Asignatura"))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4EEM</t>
        </is>
      </c>
      <c r="B181" s="3">
        <f>IFERROR(INDEX(_xlfn._xlws.FILTER(CONFIG_ASIGNATURAS!$B$2:$B$27,CONFIG_ASIGNATURAS!$G$2:$G$27="Sí"),29),"")</f>
      </c>
      <c r="C181" s="3">
        <f>IF(B181="","",IFERROR(IF(VLOOKUP(B181,CONFIG_ASIGNATURAS!$B$2:$F$27,5,FALSE())="Sí","Especialidad","Asignatura"),"Asignatura"))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4EEM</t>
        </is>
      </c>
      <c r="B182" s="3">
        <f>IFERROR(INDEX(_xlfn._xlws.FILTER(CONFIG_ASIGNATURAS!$B$2:$B$27,CONFIG_ASIGNATURAS!$G$2:$G$27="Sí"),30),"")</f>
      </c>
      <c r="C182" s="3">
        <f>IF(B182="","",IFERROR(IF(VLOOKUP(B182,CONFIG_ASIGNATURAS!$B$2:$F$27,5,FALSE())="Sí","Especialidad","Asignatura"),"Asignatura"))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4EEM</t>
        </is>
      </c>
      <c r="B183" s="3">
        <f>IFERROR(INDEX(_xlfn._xlws.FILTER(CONFIG_ASIGNATURAS!$B$2:$B$27,CONFIG_ASIGNATURAS!$G$2:$G$27="Sí"),31),"")</f>
      </c>
      <c r="C183" s="3">
        <f>IF(B183="","",IFERROR(IF(VLOOKUP(B183,CONFIG_ASIGNATURAS!$B$2:$F$27,5,FALSE())="Sí","Especialidad","Asignatura"),"Asignatura"))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4EEM</t>
        </is>
      </c>
      <c r="B184" s="3">
        <f>IFERROR(INDEX(_xlfn._xlws.FILTER(CONFIG_ASIGNATURAS!$B$2:$B$27,CONFIG_ASIGNATURAS!$G$2:$G$27="Sí"),32),"")</f>
      </c>
      <c r="C184" s="3">
        <f>IF(B184="","",IFERROR(IF(VLOOKUP(B184,CONFIG_ASIGNATURAS!$B$2:$F$27,5,FALSE())="Sí","Especialidad","Asignatura"),"Asignatura"))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4EEM</t>
        </is>
      </c>
      <c r="B185" s="3">
        <f>IFERROR(INDEX(_xlfn._xlws.FILTER(CONFIG_ASIGNATURAS!$B$2:$B$27,CONFIG_ASIGNATURAS!$G$2:$G$27="Sí"),33),"")</f>
      </c>
      <c r="C185" s="3">
        <f>IF(B185="","",IFERROR(IF(VLOOKUP(B185,CONFIG_ASIGNATURAS!$B$2:$F$27,5,FALSE())="Sí","Especialidad","Asignatura"),"Asignatura"))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4EEM</t>
        </is>
      </c>
      <c r="B186" s="3">
        <f>IFERROR(INDEX(_xlfn._xlws.FILTER(CONFIG_ASIGNATURAS!$B$2:$B$27,CONFIG_ASIGNATURAS!$G$2:$G$27="Sí"),34),"")</f>
      </c>
      <c r="C186" s="3">
        <f>IF(B186="","",IFERROR(IF(VLOOKUP(B186,CONFIG_ASIGNATURAS!$B$2:$F$27,5,FALSE())="Sí","Especialidad","Asignatura"),"Asignatura"))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42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5">
      <c r="A195" t="inlineStr">
        <is>
          <t>#AGRUPACIONES</t>
        </is>
      </c>
    </row>
    <row r="196">
      <c r="A196" s="2" t="s">
        <v>133</v>
      </c>
      <c r="B196" s="2" t="s">
        <v>2</v>
      </c>
      <c r="C196" s="2" t="s">
        <v>135</v>
      </c>
    </row>
    <row r="197">
      <c r="A197" t="s">
        <v>136</v>
      </c>
      <c r="B197" t="str">
        <f>IF(CONFIG_ASIGNATURAS!B2="","",CONFIG_ASIGNATURAS!B2)</f>
        <v>Lenguaje Musical</v>
      </c>
      <c r="C197" t="str">
        <f>IF(CONFIG_ASIGNATURAS!B2="","",IF(CONFIG_ASIGNATURAS!E2="",CONFIG_ASIGNATURAS!D2,CONFIG_ASIGNATURAS!D2&amp;";"&amp;CONFIG_ASIGNATURAS!E2))</f>
        <v>Referencia</v>
      </c>
    </row>
    <row r="198">
      <c r="A198" t="s">
        <v>136</v>
      </c>
      <c r="B198" t="str">
        <f>IF(CONFIG_ASIGNATURAS!B3="","",CONFIG_ASIGNATURAS!B3)</f>
        <v>Lenguaje Musical</v>
      </c>
      <c r="C198" t="str">
        <f>IF(CONFIG_ASIGNATURAS!B3="","",IF(CONFIG_ASIGNATURAS!E3="",CONFIG_ASIGNATURAS!D3,CONFIG_ASIGNATURAS!D3&amp;";"&amp;CONFIG_ASIGNATURAS!E3))</f>
        <v>Referencia</v>
      </c>
    </row>
    <row r="199">
      <c r="A199" t="s">
        <v>136</v>
      </c>
      <c r="B199" t="str">
        <f>IF(CONFIG_ASIGNATURAS!B4="","",CONFIG_ASIGNATURAS!B4)</f>
        <v>Lenguaje Musical</v>
      </c>
      <c r="C199" t="str">
        <f>IF(CONFIG_ASIGNATURAS!B4="","",IF(CONFIG_ASIGNATURAS!E4="",CONFIG_ASIGNATURAS!D4,CONFIG_ASIGNATURAS!D4&amp;";"&amp;CONFIG_ASIGNATURAS!E4))</f>
        <v>Referencia</v>
      </c>
    </row>
    <row r="200">
      <c r="A200" t="s">
        <v>136</v>
      </c>
      <c r="B200" t="str">
        <f>IF(CONFIG_ASIGNATURAS!B5="","",CONFIG_ASIGNATURAS!B5)</f>
        <v>Lenguaje Musical</v>
      </c>
      <c r="C200" t="str">
        <f>IF(CONFIG_ASIGNATURAS!B5="","",IF(CONFIG_ASIGNATURAS!E5="",CONFIG_ASIGNATURAS!D5,CONFIG_ASIGNATURAS!D5&amp;";"&amp;CONFIG_ASIGNATURAS!E5))</f>
        <v>Referencia</v>
      </c>
    </row>
    <row r="201">
      <c r="A201" t="s">
        <v>136</v>
      </c>
      <c r="B201" t="str">
        <f>IF(CONFIG_ASIGNATURAS!B6="","",CONFIG_ASIGNATURAS!B6)</f>
        <v>Lenguaje Musical</v>
      </c>
      <c r="C201" t="str">
        <f>IF(CONFIG_ASIGNATURAS!B6="","",IF(CONFIG_ASIGNATURAS!E6="",CONFIG_ASIGNATURAS!D6,CONFIG_ASIGNATURAS!D6&amp;";"&amp;CONFIG_ASIGNATURAS!E6))</f>
        <v>Referencia</v>
      </c>
    </row>
    <row r="202">
      <c r="A202" t="s">
        <v>136</v>
      </c>
      <c r="B202" t="str">
        <f>IF(CONFIG_ASIGNATURAS!B7="","",CONFIG_ASIGNATURAS!B7)</f>
        <v>Lenguaje Musical</v>
      </c>
      <c r="C202" t="str">
        <f>IF(CONFIG_ASIGNATURAS!B7="","",IF(CONFIG_ASIGNATURAS!E7="",CONFIG_ASIGNATURAS!D7,CONFIG_ASIGNATURAS!D7&amp;";"&amp;CONFIG_ASIGNATURAS!E7))</f>
        <v>Referencia</v>
      </c>
    </row>
    <row r="203">
      <c r="A203" t="s">
        <v>136</v>
      </c>
      <c r="B203" t="str">
        <f>IF(CONFIG_ASIGNATURAS!B8="","",CONFIG_ASIGNATURAS!B8)</f>
        <v>Lenguaje Musical</v>
      </c>
      <c r="C203" t="str">
        <f>IF(CONFIG_ASIGNATURAS!B8="","",IF(CONFIG_ASIGNATURAS!E8="",CONFIG_ASIGNATURAS!D8,CONFIG_ASIGNATURAS!D8&amp;";"&amp;CONFIG_ASIGNATURAS!E8))</f>
        <v>Referencia</v>
      </c>
    </row>
    <row r="204">
      <c r="A204" t="s">
        <v>136</v>
      </c>
      <c r="B204" t="str">
        <f>IF(CONFIG_ASIGNATURAS!B9="","",CONFIG_ASIGNATURAS!B9)</f>
        <v>Lenguaje Musical</v>
      </c>
      <c r="C204" t="str">
        <f>IF(CONFIG_ASIGNATURAS!B9="","",IF(CONFIG_ASIGNATURAS!E9="",CONFIG_ASIGNATURAS!D9,CONFIG_ASIGNATURAS!D9&amp;";"&amp;CONFIG_ASIGNATURAS!E9))</f>
        <v>Referencia</v>
      </c>
    </row>
    <row r="205">
      <c r="A205" t="s">
        <v>136</v>
      </c>
      <c r="B205" t="str">
        <f>IF(CONFIG_ASIGNATURAS!B10="","",CONFIG_ASIGNATURAS!B10)</f>
        <v>Lenguaje Musical</v>
      </c>
      <c r="C205" t="str">
        <f>IF(CONFIG_ASIGNATURAS!B10="","",IF(CONFIG_ASIGNATURAS!E10="",CONFIG_ASIGNATURAS!D10,CONFIG_ASIGNATURAS!D10&amp;";"&amp;CONFIG_ASIGNATURAS!E10))</f>
        <v>Referencia</v>
      </c>
    </row>
    <row r="206">
      <c r="A206" t="s">
        <v>136</v>
      </c>
      <c r="B206" t="str">
        <f>IF(CONFIG_ASIGNATURAS!B11="","",CONFIG_ASIGNATURAS!B11)</f>
        <v>Lenguaje Musical</v>
      </c>
      <c r="C206" t="str">
        <f>IF(CONFIG_ASIGNATURAS!B11="","",IF(CONFIG_ASIGNATURAS!E11="",CONFIG_ASIGNATURAS!D11,CONFIG_ASIGNATURAS!D11&amp;";"&amp;CONFIG_ASIGNATURAS!E11))</f>
        <v>Referencia</v>
      </c>
    </row>
    <row r="207">
      <c r="A207" t="s">
        <v>136</v>
      </c>
      <c r="B207" t="str">
        <f>IF(CONFIG_ASIGNATURAS!B12="","",CONFIG_ASIGNATURAS!B12)</f>
        <v>Lenguaje Musical</v>
      </c>
      <c r="C207" t="str">
        <f>IF(CONFIG_ASIGNATURAS!B12="","",IF(CONFIG_ASIGNATURAS!E12="",CONFIG_ASIGNATURAS!D12,CONFIG_ASIGNATURAS!D12&amp;";"&amp;CONFIG_ASIGNATURAS!E12))</f>
        <v>Referencia</v>
      </c>
    </row>
    <row r="208">
      <c r="A208" t="s">
        <v>136</v>
      </c>
      <c r="B208" t="str">
        <f>IF(CONFIG_ASIGNATURAS!B13="","",CONFIG_ASIGNATURAS!B13)</f>
        <v>Lenguaje Musical</v>
      </c>
      <c r="C208" t="str">
        <f>IF(CONFIG_ASIGNATURAS!B13="","",IF(CONFIG_ASIGNATURAS!E13="",CONFIG_ASIGNATURAS!D13,CONFIG_ASIGNATURAS!D13&amp;";"&amp;CONFIG_ASIGNATURAS!E13))</f>
        <v>Referencia</v>
      </c>
    </row>
    <row r="209">
      <c r="A209" t="s">
        <v>136</v>
      </c>
      <c r="B209" t="str">
        <f>IF(CONFIG_ASIGNATURAS!B14="","",CONFIG_ASIGNATURAS!B14)</f>
        <v>Lenguaje Musical</v>
      </c>
      <c r="C209" t="str">
        <f>IF(CONFIG_ASIGNATURAS!B14="","",IF(CONFIG_ASIGNATURAS!E14="",CONFIG_ASIGNATURAS!D14,CONFIG_ASIGNATURAS!D14&amp;";"&amp;CONFIG_ASIGNATURAS!E14))</f>
        <v>Referencia</v>
      </c>
    </row>
    <row r="210">
      <c r="A210" t="s">
        <v>136</v>
      </c>
      <c r="B210" t="str">
        <f>IF(CONFIG_ASIGNATURAS!B15="","",CONFIG_ASIGNATURAS!B15)</f>
        <v>Lenguaje Musical</v>
      </c>
      <c r="C210" t="str">
        <f>IF(CONFIG_ASIGNATURAS!B15="","",IF(CONFIG_ASIGNATURAS!E15="",CONFIG_ASIGNATURAS!D15,CONFIG_ASIGNATURAS!D15&amp;";"&amp;CONFIG_ASIGNATURAS!E15))</f>
        <v>Referencia</v>
      </c>
    </row>
    <row r="211">
      <c r="A211" t="s">
        <v>136</v>
      </c>
      <c r="B211" t="str">
        <f>IF(CONFIG_ASIGNATURAS!B16="","",CONFIG_ASIGNATURAS!B16)</f>
        <v>Lenguaje Musical</v>
      </c>
      <c r="C211" t="str">
        <f>IF(CONFIG_ASIGNATURAS!B16="","",IF(CONFIG_ASIGNATURAS!E16="",CONFIG_ASIGNATURAS!D16,CONFIG_ASIGNATURAS!D16&amp;";"&amp;CONFIG_ASIGNATURAS!E16))</f>
        <v>Referencia</v>
      </c>
    </row>
    <row r="212">
      <c r="A212" t="s">
        <v>136</v>
      </c>
      <c r="B212" t="str">
        <f>IF(CONFIG_ASIGNATURAS!B17="","",CONFIG_ASIGNATURAS!B17)</f>
        <v>Lenguaje Musical</v>
      </c>
      <c r="C212" t="str">
        <f>IF(CONFIG_ASIGNATURAS!B17="","",IF(CONFIG_ASIGNATURAS!E17="",CONFIG_ASIGNATURAS!D17,CONFIG_ASIGNATURAS!D17&amp;";"&amp;CONFIG_ASIGNATURAS!E17))</f>
        <v>Referencia</v>
      </c>
    </row>
    <row r="213">
      <c r="A213" t="s">
        <v>136</v>
      </c>
      <c r="B213" t="str">
        <f>IF(CONFIG_ASIGNATURAS!B18="","",CONFIG_ASIGNATURAS!B18)</f>
        <v>Lenguaje Musical</v>
      </c>
      <c r="C213" t="str">
        <f>IF(CONFIG_ASIGNATURAS!B18="","",IF(CONFIG_ASIGNATURAS!E18="",CONFIG_ASIGNATURAS!D18,CONFIG_ASIGNATURAS!D18&amp;";"&amp;CONFIG_ASIGNATURAS!E18))</f>
        <v>Referencia</v>
      </c>
    </row>
    <row r="214">
      <c r="A214" t="s">
        <v>136</v>
      </c>
      <c r="B214" t="str">
        <f>IF(CONFIG_ASIGNATURAS!B19="","",CONFIG_ASIGNATURAS!B19)</f>
        <v>Lenguaje Musical</v>
      </c>
      <c r="C214" t="str">
        <f>IF(CONFIG_ASIGNATURAS!B19="","",IF(CONFIG_ASIGNATURAS!E19="",CONFIG_ASIGNATURAS!D19,CONFIG_ASIGNATURAS!D19&amp;";"&amp;CONFIG_ASIGNATURAS!E19))</f>
        <v>Referencia</v>
      </c>
    </row>
    <row r="215">
      <c r="A215" t="s">
        <v>136</v>
      </c>
      <c r="B215" t="str">
        <f>IF(CONFIG_ASIGNATURAS!B20="","",CONFIG_ASIGNATURAS!B20)</f>
        <v>Lenguaje Musical</v>
      </c>
      <c r="C215" t="str">
        <f>IF(CONFIG_ASIGNATURAS!B20="","",IF(CONFIG_ASIGNATURAS!E20="",CONFIG_ASIGNATURAS!D20,CONFIG_ASIGNATURAS!D20&amp;";"&amp;CONFIG_ASIGNATURAS!E20))</f>
        <v>Referencia</v>
      </c>
    </row>
    <row r="216">
      <c r="A216" t="s">
        <v>136</v>
      </c>
      <c r="B216" t="str">
        <f>IF(CONFIG_ASIGNATURAS!B21="","",CONFIG_ASIGNATURAS!B21)</f>
        <v>Lenguaje Musical</v>
      </c>
      <c r="C216" t="str">
        <f>IF(CONFIG_ASIGNATURAS!B21="","",IF(CONFIG_ASIGNATURAS!E21="",CONFIG_ASIGNATURAS!D21,CONFIG_ASIGNATURAS!D21&amp;";"&amp;CONFIG_ASIGNATURAS!E21))</f>
        <v>Referencia</v>
      </c>
    </row>
    <row r="217">
      <c r="A217" t="s">
        <v>136</v>
      </c>
      <c r="B217" t="str">
        <f>IF(CONFIG_ASIGNATURAS!B22="","",CONFIG_ASIGNATURAS!B22)</f>
        <v>Lenguaje Musical</v>
      </c>
      <c r="C217" t="str">
        <f>IF(CONFIG_ASIGNATURAS!B22="","",IF(CONFIG_ASIGNATURAS!E22="",CONFIG_ASIGNATURAS!D22,CONFIG_ASIGNATURAS!D22&amp;";"&amp;CONFIG_ASIGNATURAS!E22))</f>
        <v>Referencia</v>
      </c>
    </row>
    <row r="218">
      <c r="A218" t="s">
        <v>136</v>
      </c>
      <c r="B218" t="str">
        <f>IF(CONFIG_ASIGNATURAS!B23="","",CONFIG_ASIGNATURAS!B23)</f>
        <v>Lenguaje Musical</v>
      </c>
      <c r="C218" t="str">
        <f>IF(CONFIG_ASIGNATURAS!B23="","",IF(CONFIG_ASIGNATURAS!E23="",CONFIG_ASIGNATURAS!D23,CONFIG_ASIGNATURAS!D23&amp;";"&amp;CONFIG_ASIGNATURAS!E23))</f>
        <v>Referencia</v>
      </c>
    </row>
    <row r="219">
      <c r="A219" t="s">
        <v>136</v>
      </c>
      <c r="B219" t="str">
        <f>IF(CONFIG_ASIGNATURAS!B24="","",CONFIG_ASIGNATURAS!B24)</f>
        <v>Lenguaje Musical</v>
      </c>
      <c r="C219" t="str">
        <f>IF(CONFIG_ASIGNATURAS!B24="","",IF(CONFIG_ASIGNATURAS!E24="",CONFIG_ASIGNATURAS!D24,CONFIG_ASIGNATURAS!D24&amp;";"&amp;CONFIG_ASIGNATURAS!E24))</f>
        <v>Referencia</v>
      </c>
    </row>
    <row r="220">
      <c r="A220" t="s">
        <v>136</v>
      </c>
      <c r="B220" t="str">
        <f>IF(CONFIG_ASIGNATURAS!B25="","",CONFIG_ASIGNATURAS!B25)</f>
        <v>Lenguaje Musical</v>
      </c>
      <c r="C220" t="str">
        <f>IF(CONFIG_ASIGNATURAS!B25="","",IF(CONFIG_ASIGNATURAS!E25="",CONFIG_ASIGNATURAS!D25,CONFIG_ASIGNATURAS!D25&amp;";"&amp;CONFIG_ASIGNATURAS!E25))</f>
        <v>Referencia</v>
      </c>
    </row>
    <row r="221">
      <c r="A221" t="s">
        <v>136</v>
      </c>
      <c r="B221" t="str">
        <f>IF(CONFIG_ASIGNATURAS!B26="","",CONFIG_ASIGNATURAS!B26)</f>
        <v>Lenguaje Musical</v>
      </c>
      <c r="C221" t="str">
        <f>IF(CONFIG_ASIGNATURAS!B26="","",IF(CONFIG_ASIGNATURAS!E26="",CONFIG_ASIGNATURAS!D26,CONFIG_ASIGNATURAS!D26&amp;";"&amp;CONFIG_ASIGNATURAS!E26))</f>
        <v>Referencia</v>
      </c>
    </row>
    <row r="222">
      <c r="A222" t="s">
        <v>136</v>
      </c>
      <c r="B222" t="str">
        <f>IF(CONFIG_ASIGNATURAS!B27="","",CONFIG_ASIGNATURAS!B27)</f>
        <v>Lenguaje Musical</v>
      </c>
      <c r="C222" t="str">
        <f>IF(CONFIG_ASIGNATURAS!B27="","",IF(CONFIG_ASIGNATURAS!E27="",CONFIG_ASIGNATURAS!D27,CONFIG_ASIGNATURAS!D27&amp;";"&amp;CONFIG_ASIGNATURAS!E27))</f>
        <v>Referencia</v>
      </c>
    </row>
    <row r="223">
      <c r="A223" s="12" t="s">
        <v>137</v>
      </c>
    </row>
    <row r="224">
      <c r="A224" s="2" t="s">
        <v>133</v>
      </c>
      <c r="B224" s="2" t="s">
        <v>75</v>
      </c>
      <c r="C224" s="2" t="s">
        <v>58</v>
      </c>
      <c r="D224" s="2" t="s">
        <v>59</v>
      </c>
      <c r="E224" s="2" t="s">
        <v>108</v>
      </c>
      <c r="F224" s="2" t="s">
        <v>110</v>
      </c>
    </row>
    <row r="225">
      <c r="A225" t="s">
        <v>138</v>
      </c>
      <c r="B225" t="str">
        <f>CALC_CORRELACIONES!A2</f>
        <v>1EEM</v>
      </c>
      <c r="C225" t="str">
        <f>CALC_CORRELACIONES!B2</f>
        <v>Lenguaje Musical</v>
      </c>
      <c r="D225" t="str">
        <f>CALC_CORRELACIONES!C2</f>
        <v>Coro</v>
      </c>
      <c r="E225" s="14" t="str">
        <f>CALC_CORRELACIONES!D2</f>
        <v/>
      </c>
      <c r="F225" t="str">
        <f>CALC_CORRELACIONES!F2</f>
        <v/>
      </c>
    </row>
    <row r="226">
      <c r="A226" t="s">
        <v>138</v>
      </c>
      <c r="B226" t="str">
        <f>CALC_CORRELACIONES!A3</f>
        <v>1EEM</v>
      </c>
      <c r="C226" t="str">
        <f>CALC_CORRELACIONES!B3</f>
        <v>Lenguaje Musical</v>
      </c>
      <c r="D226" t="str">
        <f>CALC_CORRELACIONES!C3</f>
        <v>Especialidad</v>
      </c>
      <c r="E226" s="14" t="str">
        <f>CALC_CORRELACIONES!D3</f>
        <v/>
      </c>
      <c r="F226" t="str">
        <f>CALC_CORRELACIONES!F3</f>
        <v/>
      </c>
    </row>
    <row r="227">
      <c r="A227" t="s">
        <v>138</v>
      </c>
      <c r="B227" t="str">
        <f>CALC_CORRELACIONES!A4</f>
        <v>1EEM</v>
      </c>
      <c r="C227" t="str">
        <f>CALC_CORRELACIONES!B4</f>
        <v>Coro</v>
      </c>
      <c r="D227" t="str">
        <f>CALC_CORRELACIONES!C4</f>
        <v>Especialidad</v>
      </c>
      <c r="E227" s="14" t="str">
        <f>CALC_CORRELACIONES!D4</f>
        <v/>
      </c>
      <c r="F227" t="str">
        <f>CALC_CORRELACIONES!F4</f>
        <v/>
      </c>
    </row>
    <row r="228">
      <c r="A228" t="s">
        <v>138</v>
      </c>
      <c r="B228" t="str">
        <f>CALC_CORRELACIONES!A5</f>
        <v>2EEM</v>
      </c>
      <c r="C228" t="str">
        <f>CALC_CORRELACIONES!B5</f>
        <v>Lenguaje Musical</v>
      </c>
      <c r="D228" t="str">
        <f>CALC_CORRELACIONES!C5</f>
        <v>Coro</v>
      </c>
      <c r="E228" s="14" t="str">
        <f>CALC_CORRELACIONES!D5</f>
        <v/>
      </c>
      <c r="F228" t="str">
        <f>CALC_CORRELACIONES!F5</f>
        <v/>
      </c>
    </row>
    <row r="229">
      <c r="A229" t="s">
        <v>138</v>
      </c>
      <c r="B229" t="str">
        <f>CALC_CORRELACIONES!A6</f>
        <v>2EEM</v>
      </c>
      <c r="C229" t="str">
        <f>CALC_CORRELACIONES!B6</f>
        <v>Lenguaje Musical</v>
      </c>
      <c r="D229" t="str">
        <f>CALC_CORRELACIONES!C6</f>
        <v>Especialidad</v>
      </c>
      <c r="E229" s="14" t="str">
        <f>CALC_CORRELACIONES!D6</f>
        <v/>
      </c>
      <c r="F229" t="str">
        <f>CALC_CORRELACIONES!F6</f>
        <v/>
      </c>
    </row>
    <row r="230">
      <c r="A230" t="s">
        <v>138</v>
      </c>
      <c r="B230" t="str">
        <f>CALC_CORRELACIONES!A7</f>
        <v>2EEM</v>
      </c>
      <c r="C230" t="str">
        <f>CALC_CORRELACIONES!B7</f>
        <v>Coro</v>
      </c>
      <c r="D230" t="str">
        <f>CALC_CORRELACIONES!C7</f>
        <v>Especialidad</v>
      </c>
      <c r="E230" s="14" t="str">
        <f>CALC_CORRELACIONES!D7</f>
        <v/>
      </c>
      <c r="F230" t="str">
        <f>CALC_CORRELACIONES!F7</f>
        <v/>
      </c>
    </row>
    <row r="231">
      <c r="A231" t="s">
        <v>138</v>
      </c>
      <c r="B231" t="str">
        <f>CALC_CORRELACIONES!A8</f>
        <v>3EEM</v>
      </c>
      <c r="C231" t="str">
        <f>CALC_CORRELACIONES!B8</f>
        <v>Lenguaje Musical</v>
      </c>
      <c r="D231" t="str">
        <f>CALC_CORRELACIONES!C8</f>
        <v>Coro</v>
      </c>
      <c r="E231" s="14" t="str">
        <f>CALC_CORRELACIONES!D8</f>
        <v/>
      </c>
      <c r="F231" t="str">
        <f>CALC_CORRELACIONES!F8</f>
        <v/>
      </c>
    </row>
    <row r="232">
      <c r="A232" t="s">
        <v>138</v>
      </c>
      <c r="B232" t="str">
        <f>CALC_CORRELACIONES!A9</f>
        <v>3EEM</v>
      </c>
      <c r="C232" t="str">
        <f>CALC_CORRELACIONES!B9</f>
        <v>Lenguaje Musical</v>
      </c>
      <c r="D232" t="str">
        <f>CALC_CORRELACIONES!C9</f>
        <v>Conjunto</v>
      </c>
      <c r="E232" s="14" t="str">
        <f>CALC_CORRELACIONES!D9</f>
        <v/>
      </c>
      <c r="F232" t="str">
        <f>CALC_CORRELACIONES!F9</f>
        <v/>
      </c>
    </row>
    <row r="233">
      <c r="A233" t="s">
        <v>138</v>
      </c>
      <c r="B233" t="str">
        <f>CALC_CORRELACIONES!A10</f>
        <v>3EEM</v>
      </c>
      <c r="C233" t="str">
        <f>CALC_CORRELACIONES!B10</f>
        <v>Lenguaje Musical</v>
      </c>
      <c r="D233" t="str">
        <f>CALC_CORRELACIONES!C10</f>
        <v>Especialidad</v>
      </c>
      <c r="E233" s="14" t="str">
        <f>CALC_CORRELACIONES!D10</f>
        <v/>
      </c>
      <c r="F233" t="str">
        <f>CALC_CORRELACIONES!F10</f>
        <v/>
      </c>
    </row>
    <row r="234">
      <c r="A234" t="s">
        <v>138</v>
      </c>
      <c r="B234" t="str">
        <f>CALC_CORRELACIONES!A11</f>
        <v>3EEM</v>
      </c>
      <c r="C234" t="str">
        <f>CALC_CORRELACIONES!B11</f>
        <v>Coro</v>
      </c>
      <c r="D234" t="str">
        <f>CALC_CORRELACIONES!C11</f>
        <v>Conjunto</v>
      </c>
      <c r="E234" s="14" t="str">
        <f>CALC_CORRELACIONES!D11</f>
        <v/>
      </c>
      <c r="F234" t="str">
        <f>CALC_CORRELACIONES!F11</f>
        <v/>
      </c>
    </row>
    <row r="235">
      <c r="A235" t="s">
        <v>138</v>
      </c>
      <c r="B235" t="str">
        <f>CALC_CORRELACIONES!A12</f>
        <v>3EEM</v>
      </c>
      <c r="C235" t="str">
        <f>CALC_CORRELACIONES!B12</f>
        <v>Coro</v>
      </c>
      <c r="D235" t="str">
        <f>CALC_CORRELACIONES!C12</f>
        <v>Especialidad</v>
      </c>
      <c r="E235" s="14" t="str">
        <f>CALC_CORRELACIONES!D12</f>
        <v/>
      </c>
      <c r="F235" t="str">
        <f>CALC_CORRELACIONES!F12</f>
        <v/>
      </c>
    </row>
    <row r="236">
      <c r="A236" t="s">
        <v>138</v>
      </c>
      <c r="B236" t="str">
        <f>CALC_CORRELACIONES!A13</f>
        <v>3EEM</v>
      </c>
      <c r="C236" t="str">
        <f>CALC_CORRELACIONES!B13</f>
        <v>Conjunto</v>
      </c>
      <c r="D236" t="str">
        <f>CALC_CORRELACIONES!C13</f>
        <v>Especialidad</v>
      </c>
      <c r="E236" s="14" t="str">
        <f>CALC_CORRELACIONES!D13</f>
        <v/>
      </c>
      <c r="F236" t="str">
        <f>CALC_CORRELACIONES!F13</f>
        <v/>
      </c>
    </row>
    <row r="237">
      <c r="A237" t="s">
        <v>138</v>
      </c>
      <c r="B237" t="str">
        <f>CALC_CORRELACIONES!A14</f>
        <v>4EEM</v>
      </c>
      <c r="C237" t="str">
        <f>CALC_CORRELACIONES!B14</f>
        <v>Lenguaje Musical</v>
      </c>
      <c r="D237" t="str">
        <f>CALC_CORRELACIONES!C14</f>
        <v>Coro</v>
      </c>
      <c r="E237" s="14" t="str">
        <f>CALC_CORRELACIONES!D14</f>
        <v/>
      </c>
      <c r="F237" t="str">
        <f>CALC_CORRELACIONES!F14</f>
        <v/>
      </c>
    </row>
    <row r="238">
      <c r="A238" t="s">
        <v>138</v>
      </c>
      <c r="B238" t="str">
        <f>CALC_CORRELACIONES!A15</f>
        <v>4EEM</v>
      </c>
      <c r="C238" t="str">
        <f>CALC_CORRELACIONES!B15</f>
        <v>Lenguaje Musical</v>
      </c>
      <c r="D238" t="str">
        <f>CALC_CORRELACIONES!C15</f>
        <v>Conjunto</v>
      </c>
      <c r="E238" s="14" t="str">
        <f>CALC_CORRELACIONES!D15</f>
        <v/>
      </c>
      <c r="F238" t="str">
        <f>CALC_CORRELACIONES!F15</f>
        <v/>
      </c>
    </row>
    <row r="239">
      <c r="A239" t="s">
        <v>138</v>
      </c>
      <c r="B239" t="str">
        <f>CALC_CORRELACIONES!A16</f>
        <v>4EEM</v>
      </c>
      <c r="C239" t="str">
        <f>CALC_CORRELACIONES!B16</f>
        <v>Lenguaje Musical</v>
      </c>
      <c r="D239" t="str">
        <f>CALC_CORRELACIONES!C16</f>
        <v>Especialidad</v>
      </c>
      <c r="E239" s="14" t="str">
        <f>CALC_CORRELACIONES!D16</f>
        <v/>
      </c>
      <c r="F239" t="str">
        <f>CALC_CORRELACIONES!F16</f>
        <v/>
      </c>
    </row>
    <row r="240">
      <c r="A240" t="s">
        <v>138</v>
      </c>
      <c r="B240" t="str">
        <f>CALC_CORRELACIONES!A17</f>
        <v>4EEM</v>
      </c>
      <c r="C240" t="str">
        <f>CALC_CORRELACIONES!B17</f>
        <v>Coro</v>
      </c>
      <c r="D240" t="str">
        <f>CALC_CORRELACIONES!C17</f>
        <v>Conjunto</v>
      </c>
      <c r="E240" s="14" t="str">
        <f>CALC_CORRELACIONES!D17</f>
        <v/>
      </c>
      <c r="F240" t="str">
        <f>CALC_CORRELACIONES!F17</f>
        <v/>
      </c>
    </row>
    <row r="241">
      <c r="A241" t="s">
        <v>138</v>
      </c>
      <c r="B241" t="str">
        <f>CALC_CORRELACIONES!A18</f>
        <v>4EEM</v>
      </c>
      <c r="C241" t="str">
        <f>CALC_CORRELACIONES!B18</f>
        <v>Coro</v>
      </c>
      <c r="D241" t="str">
        <f>CALC_CORRELACIONES!C18</f>
        <v>Especialidad</v>
      </c>
      <c r="E241" s="14" t="str">
        <f>CALC_CORRELACIONES!D18</f>
        <v/>
      </c>
      <c r="F241" t="str">
        <f>CALC_CORRELACIONES!F18</f>
        <v/>
      </c>
    </row>
    <row r="242">
      <c r="A242" t="s">
        <v>138</v>
      </c>
      <c r="B242" t="str">
        <f>CALC_CORRELACIONES!A19</f>
        <v>4EEM</v>
      </c>
      <c r="C242" t="str">
        <f>CALC_CORRELACIONES!B19</f>
        <v>Conjunto</v>
      </c>
      <c r="D242" t="str">
        <f>CALC_CORRELACIONES!C19</f>
        <v>Especialidad</v>
      </c>
      <c r="E242" s="14" t="str">
        <f>CALC_CORRELACIONES!D19</f>
        <v/>
      </c>
      <c r="F242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