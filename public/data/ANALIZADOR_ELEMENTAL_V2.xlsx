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1" i="7" l="1" a="1"/>
  <c r="W81" i="7" s="1"/>
  <c r="W82" i="7" a="1"/>
  <c r="W82" i="7" s="1"/>
  <c r="W83" i="7" a="1"/>
  <c r="W83" i="7"/>
  <c r="W84" i="7" a="1"/>
  <c r="W84" i="7" s="1"/>
  <c r="W85" i="7" a="1"/>
  <c r="W85" i="7" s="1"/>
  <c r="W86" i="7" a="1"/>
  <c r="W86" i="7" s="1"/>
  <c r="W87" i="7" a="1"/>
  <c r="W87" i="7" s="1"/>
  <c r="W88" i="7" a="1"/>
  <c r="W88" i="7" s="1"/>
  <c r="W89" i="7" a="1"/>
  <c r="W89" i="7" s="1"/>
  <c r="W90" i="7" a="1"/>
  <c r="W90" i="7" s="1"/>
  <c r="W91" i="7" a="1"/>
  <c r="W91" i="7" s="1"/>
  <c r="W92" i="7" a="1"/>
  <c r="W92" i="7" s="1"/>
  <c r="W93" i="7" a="1"/>
  <c r="W93" i="7" s="1"/>
  <c r="W94" i="7" a="1"/>
  <c r="W94" i="7" s="1"/>
  <c r="W95" i="7" a="1"/>
  <c r="W95" i="7"/>
  <c r="W96" i="7" a="1"/>
  <c r="W96" i="7" s="1"/>
  <c r="W97" i="7" a="1"/>
  <c r="W97" i="7" s="1"/>
  <c r="W98" i="7" a="1"/>
  <c r="W98" i="7" s="1"/>
  <c r="W99" i="7" a="1"/>
  <c r="W99" i="7" s="1"/>
  <c r="W100" i="7" a="1"/>
  <c r="W100" i="7" s="1"/>
  <c r="W101" i="7" a="1"/>
  <c r="W101" i="7" s="1"/>
  <c r="W102" i="7" a="1"/>
  <c r="W102" i="7" s="1"/>
  <c r="W103" i="7" a="1"/>
  <c r="W103" i="7" s="1"/>
  <c r="W104" i="7" a="1"/>
  <c r="W104" i="7" s="1"/>
  <c r="W105" i="7" a="1"/>
  <c r="W105" i="7" s="1"/>
  <c r="W106" i="7" a="1"/>
  <c r="W106" i="7" s="1"/>
  <c r="W107" i="7" a="1"/>
  <c r="W107" i="7" s="1"/>
  <c r="W108" i="7" a="1"/>
  <c r="W108" i="7" s="1"/>
  <c r="W109" i="7" a="1"/>
  <c r="W109" i="7" s="1"/>
  <c r="W110" i="7" a="1"/>
  <c r="W110" i="7" s="1"/>
  <c r="W111" i="7" a="1"/>
  <c r="W111" i="7" s="1"/>
  <c r="W112" i="7" a="1"/>
  <c r="W112" i="7" s="1"/>
  <c r="W113" i="7" a="1"/>
  <c r="W113" i="7" s="1"/>
  <c r="W114" i="7" a="1"/>
  <c r="W114" i="7"/>
  <c r="W115" i="7" a="1"/>
  <c r="W115" i="7" s="1"/>
  <c r="W116" i="7" a="1"/>
  <c r="W116" i="7" s="1"/>
  <c r="W117" i="7" a="1"/>
  <c r="W117" i="7" s="1"/>
  <c r="W118" i="7" a="1"/>
  <c r="W118" i="7" s="1"/>
  <c r="W119" i="7" a="1"/>
  <c r="W119" i="7" s="1"/>
  <c r="W120" i="7" a="1"/>
  <c r="W120" i="7"/>
  <c r="W121" i="7" a="1"/>
  <c r="W121" i="7" s="1"/>
  <c r="W122" i="7" a="1"/>
  <c r="W122" i="7" s="1"/>
  <c r="W123" i="7" a="1"/>
  <c r="W123" i="7" s="1"/>
  <c r="W124" i="7" a="1"/>
  <c r="W124" i="7" s="1"/>
  <c r="W125" i="7" a="1"/>
  <c r="W125" i="7" s="1"/>
  <c r="W126" i="7" a="1"/>
  <c r="W126" i="7" s="1"/>
  <c r="W127" i="7" a="1"/>
  <c r="W127" i="7" s="1"/>
  <c r="W128" i="7" a="1"/>
  <c r="W128" i="7" s="1"/>
  <c r="W129" i="7" a="1"/>
  <c r="W129" i="7" s="1"/>
  <c r="W130" i="7" a="1"/>
  <c r="W130" i="7" s="1"/>
  <c r="W131" i="7" a="1"/>
  <c r="W131" i="7" s="1"/>
  <c r="W132" i="7" a="1"/>
  <c r="W132" i="7" s="1"/>
  <c r="W133" i="7" a="1"/>
  <c r="W133" i="7" s="1"/>
  <c r="W134" i="7" a="1"/>
  <c r="W134" i="7" s="1"/>
  <c r="W135" i="7" a="1"/>
  <c r="W135" i="7" s="1"/>
  <c r="W136" i="7" a="1"/>
  <c r="W136" i="7" s="1"/>
  <c r="W137" i="7" a="1"/>
  <c r="W137" i="7" s="1"/>
  <c r="W138" i="7" a="1"/>
  <c r="W138" i="7" s="1"/>
  <c r="W139" i="7" a="1"/>
  <c r="W139" i="7"/>
  <c r="W140" i="7" a="1"/>
  <c r="W140" i="7" s="1"/>
  <c r="W141" i="7" a="1"/>
  <c r="W141" i="7" s="1"/>
  <c r="W142" i="7" a="1"/>
  <c r="W142" i="7" s="1"/>
  <c r="W143" i="7" a="1"/>
  <c r="W143" i="7" s="1"/>
  <c r="W144" i="7" a="1"/>
  <c r="W144" i="7" s="1"/>
  <c r="W145" i="7" a="1"/>
  <c r="W145" i="7"/>
  <c r="W146" i="7" a="1"/>
  <c r="W146" i="7" s="1"/>
  <c r="W147" i="7" a="1"/>
  <c r="W147" i="7" s="1"/>
  <c r="W148" i="7" a="1"/>
  <c r="W148" i="7" s="1"/>
  <c r="W149" i="7" a="1"/>
  <c r="W149" i="7" s="1"/>
  <c r="W150" i="7" a="1"/>
  <c r="W150" i="7" s="1"/>
  <c r="W151" i="7" a="1"/>
  <c r="W151" i="7" s="1"/>
  <c r="W152" i="7" a="1"/>
  <c r="W152" i="7" s="1"/>
  <c r="W153" i="7" a="1"/>
  <c r="W153" i="7" s="1"/>
  <c r="W154" i="7" a="1"/>
  <c r="W154" i="7" s="1"/>
  <c r="W155" i="7" a="1"/>
  <c r="W155" i="7" s="1"/>
  <c r="W156" i="7" a="1"/>
  <c r="W156" i="7" s="1"/>
  <c r="W157" i="7" a="1"/>
  <c r="W157" i="7" s="1"/>
  <c r="W158" i="7" a="1"/>
  <c r="W158" i="7"/>
  <c r="W159" i="7" a="1"/>
  <c r="W159" i="7" s="1"/>
  <c r="W160" i="7" a="1"/>
  <c r="W160" i="7" s="1"/>
  <c r="W161" i="7" a="1"/>
  <c r="W161" i="7" s="1"/>
  <c r="W162" i="7" a="1"/>
  <c r="W162" i="7" s="1"/>
  <c r="W163" i="7" a="1"/>
  <c r="W163" i="7" s="1"/>
  <c r="W164" i="7" a="1"/>
  <c r="W164" i="7"/>
  <c r="W165" i="7" a="1"/>
  <c r="W165" i="7" s="1"/>
  <c r="W166" i="7" a="1"/>
  <c r="W166" i="7" s="1"/>
  <c r="W167" i="7" a="1"/>
  <c r="W167" i="7" s="1"/>
  <c r="W168" i="7" a="1"/>
  <c r="W168" i="7" s="1"/>
  <c r="W169" i="7" a="1"/>
  <c r="W169" i="7" s="1"/>
  <c r="W170" i="7" a="1"/>
  <c r="W170" i="7" s="1"/>
  <c r="W171" i="7" a="1"/>
  <c r="W171" i="7" s="1"/>
  <c r="W172" i="7" a="1"/>
  <c r="W172" i="7" s="1"/>
  <c r="W173" i="7" a="1"/>
  <c r="W173" i="7" s="1"/>
  <c r="W174" i="7" a="1"/>
  <c r="W174" i="7" s="1"/>
  <c r="W175" i="7" a="1"/>
  <c r="W175" i="7" s="1"/>
  <c r="W176" i="7" a="1"/>
  <c r="W176" i="7" s="1"/>
  <c r="W177" i="7" a="1"/>
  <c r="W177" i="7" s="1"/>
  <c r="W178" i="7" a="1"/>
  <c r="W178" i="7" s="1"/>
  <c r="W179" i="7" a="1"/>
  <c r="W179" i="7" s="1"/>
  <c r="W180" i="7" a="1"/>
  <c r="W180" i="7" s="1"/>
  <c r="W181" i="7" a="1"/>
  <c r="W181" i="7" s="1"/>
  <c r="W182" i="7" a="1"/>
  <c r="W182" i="7" s="1"/>
  <c r="W183" i="7" a="1"/>
  <c r="W183" i="7"/>
  <c r="W184" i="7" a="1"/>
  <c r="W184" i="7" s="1"/>
  <c r="W185" i="7" a="1"/>
  <c r="W185" i="7" s="1"/>
  <c r="W186" i="7" a="1"/>
  <c r="W186" i="7" s="1"/>
  <c r="W187" i="7" a="1"/>
  <c r="W187" i="7" s="1"/>
  <c r="W188" i="7" a="1"/>
  <c r="W188" i="7" s="1"/>
  <c r="W189" i="7" a="1"/>
  <c r="W189" i="7" s="1"/>
  <c r="W190" i="7" a="1"/>
  <c r="W190" i="7" s="1"/>
  <c r="W191" i="7" a="1"/>
  <c r="W191" i="7" s="1"/>
  <c r="W192" i="7" a="1"/>
  <c r="W192" i="7" s="1"/>
  <c r="W193" i="7" a="1"/>
  <c r="W193" i="7" s="1"/>
  <c r="W194" i="7" a="1"/>
  <c r="W194" i="7" s="1"/>
  <c r="W195" i="7" a="1"/>
  <c r="W195" i="7" s="1"/>
  <c r="W196" i="7" a="1"/>
  <c r="W196" i="7" s="1"/>
  <c r="W197" i="7" a="1"/>
  <c r="W197" i="7" s="1"/>
  <c r="W198" i="7" a="1"/>
  <c r="W198" i="7" s="1"/>
  <c r="W199" i="7" a="1"/>
  <c r="W199" i="7" s="1"/>
  <c r="W200" i="7" a="1"/>
  <c r="W200" i="7" s="1"/>
  <c r="W201" i="7" a="1"/>
  <c r="W201" i="7" s="1"/>
  <c r="W202" i="7" a="1"/>
  <c r="W202" i="7" s="1"/>
  <c r="W203" i="7" a="1"/>
  <c r="W203" i="7" s="1"/>
  <c r="W204" i="7" a="1"/>
  <c r="W204" i="7" s="1"/>
  <c r="W205" i="7" a="1"/>
  <c r="W205" i="7" s="1"/>
  <c r="W206" i="7" a="1"/>
  <c r="W206" i="7" s="1"/>
  <c r="W207" i="7" a="1"/>
  <c r="W207" i="7" s="1"/>
  <c r="W208" i="7" a="1"/>
  <c r="W208" i="7"/>
  <c r="W209" i="7" a="1"/>
  <c r="W209" i="7" s="1"/>
  <c r="W210" i="7" a="1"/>
  <c r="W210" i="7" s="1"/>
  <c r="W211" i="7" a="1"/>
  <c r="W211" i="7" s="1"/>
  <c r="W212" i="7" a="1"/>
  <c r="W212" i="7" s="1"/>
  <c r="W213" i="7" a="1"/>
  <c r="W213" i="7" s="1"/>
  <c r="W214" i="7" a="1"/>
  <c r="W214" i="7" s="1"/>
  <c r="W215" i="7" a="1"/>
  <c r="W215" i="7" s="1"/>
  <c r="W216" i="7" a="1"/>
  <c r="W216" i="7" s="1"/>
  <c r="W217" i="7" a="1"/>
  <c r="W217" i="7" s="1"/>
  <c r="W218" i="7" a="1"/>
  <c r="W218" i="7" s="1"/>
  <c r="W219" i="7" a="1"/>
  <c r="W219" i="7" s="1"/>
  <c r="W220" i="7" a="1"/>
  <c r="W220" i="7" s="1"/>
  <c r="W221" i="7" a="1"/>
  <c r="W221" i="7" s="1"/>
  <c r="W222" i="7" a="1"/>
  <c r="W222" i="7" s="1"/>
  <c r="W223" i="7" a="1"/>
  <c r="W223" i="7" s="1"/>
  <c r="W224" i="7" a="1"/>
  <c r="W224" i="7" s="1"/>
  <c r="W225" i="7" a="1"/>
  <c r="W225" i="7" s="1"/>
  <c r="W226" i="7" a="1"/>
  <c r="W226" i="7" s="1"/>
  <c r="W227" i="7" a="1"/>
  <c r="W227" i="7" s="1"/>
  <c r="W228" i="7" a="1"/>
  <c r="W228" i="7" s="1"/>
  <c r="W229" i="7" a="1"/>
  <c r="W229" i="7" s="1"/>
  <c r="W230" i="7" a="1"/>
  <c r="W230" i="7" s="1"/>
  <c r="W231" i="7" a="1"/>
  <c r="W231" i="7" s="1"/>
  <c r="W232" i="7" a="1"/>
  <c r="W232" i="7" s="1"/>
  <c r="W233" i="7" a="1"/>
  <c r="W233" i="7" s="1"/>
  <c r="W234" i="7" a="1"/>
  <c r="W234" i="7" s="1"/>
  <c r="W235" i="7" a="1"/>
  <c r="W235" i="7" s="1"/>
  <c r="W236" i="7" a="1"/>
  <c r="W236" i="7" s="1"/>
  <c r="W237" i="7" a="1"/>
  <c r="W237" i="7" s="1"/>
  <c r="W238" i="7" a="1"/>
  <c r="W238" i="7" s="1"/>
  <c r="W239" i="7" a="1"/>
  <c r="W239" i="7" s="1"/>
  <c r="W240" i="7" a="1"/>
  <c r="W240" i="7" s="1"/>
  <c r="W241" i="7" a="1"/>
  <c r="W241" i="7" s="1"/>
  <c r="W242" i="7" a="1"/>
  <c r="W242" i="7" s="1"/>
  <c r="W243" i="7" a="1"/>
  <c r="W243" i="7" s="1"/>
  <c r="W244" i="7" a="1"/>
  <c r="W244" i="7" s="1"/>
  <c r="W245" i="7" a="1"/>
  <c r="W245" i="7"/>
  <c r="W246" i="7" a="1"/>
  <c r="W246" i="7" s="1"/>
  <c r="W247" i="7" a="1"/>
  <c r="W247" i="7" s="1"/>
  <c r="W248" i="7" a="1"/>
  <c r="W248" i="7" s="1"/>
  <c r="W249" i="7" a="1"/>
  <c r="W249" i="7" s="1"/>
  <c r="W250" i="7" a="1"/>
  <c r="W250" i="7" s="1"/>
  <c r="W251" i="7" a="1"/>
  <c r="W251" i="7" s="1"/>
  <c r="W252" i="7" a="1"/>
  <c r="W252" i="7" s="1"/>
  <c r="W253" i="7" a="1"/>
  <c r="W253" i="7" s="1"/>
  <c r="W254" i="7" a="1"/>
  <c r="W254" i="7" s="1"/>
  <c r="W255" i="7" a="1"/>
  <c r="W255" i="7" s="1"/>
  <c r="W256" i="7" a="1"/>
  <c r="W256" i="7" s="1"/>
  <c r="W257" i="7" a="1"/>
  <c r="W257" i="7" s="1"/>
  <c r="W258" i="7" a="1"/>
  <c r="W258" i="7" s="1"/>
  <c r="W259" i="7" a="1"/>
  <c r="W259" i="7" s="1"/>
  <c r="W260" i="7" a="1"/>
  <c r="W260" i="7" s="1"/>
  <c r="W261" i="7" a="1"/>
  <c r="W261" i="7" s="1"/>
  <c r="W262" i="7" a="1"/>
  <c r="W262" i="7" s="1"/>
  <c r="W263" i="7" a="1"/>
  <c r="W263" i="7" s="1"/>
  <c r="W264" i="7" a="1"/>
  <c r="W264" i="7" s="1"/>
  <c r="W265" i="7" a="1"/>
  <c r="W265" i="7" s="1"/>
  <c r="W266" i="7" a="1"/>
  <c r="W266" i="7" s="1"/>
  <c r="W267" i="7" a="1"/>
  <c r="W267" i="7" s="1"/>
  <c r="W268" i="7" a="1"/>
  <c r="W268" i="7" s="1"/>
  <c r="W269" i="7" a="1"/>
  <c r="W269" i="7" s="1"/>
  <c r="W270" i="7" a="1"/>
  <c r="W270" i="7"/>
  <c r="W271" i="7" a="1"/>
  <c r="W271" i="7" s="1"/>
  <c r="W272" i="7" a="1"/>
  <c r="W272" i="7" s="1"/>
  <c r="W273" i="7" a="1"/>
  <c r="W273" i="7" s="1"/>
  <c r="W274" i="7" a="1"/>
  <c r="W274" i="7" s="1"/>
  <c r="W275" i="7" a="1"/>
  <c r="W275" i="7" s="1"/>
  <c r="W276" i="7" a="1"/>
  <c r="W276" i="7" s="1"/>
  <c r="W277" i="7" a="1"/>
  <c r="W277" i="7" s="1"/>
  <c r="W278" i="7" a="1"/>
  <c r="W278" i="7" s="1"/>
  <c r="W279" i="7" a="1"/>
  <c r="W279" i="7" s="1"/>
  <c r="W280" i="7" a="1"/>
  <c r="W280" i="7" s="1"/>
  <c r="W281" i="7" a="1"/>
  <c r="W281" i="7" s="1"/>
  <c r="W282" i="7" a="1"/>
  <c r="W282" i="7" s="1"/>
  <c r="W283" i="7" a="1"/>
  <c r="W283" i="7"/>
  <c r="W284" i="7" a="1"/>
  <c r="W284" i="7" s="1"/>
  <c r="W285" i="7" a="1"/>
  <c r="W285" i="7" s="1"/>
  <c r="W286" i="7" a="1"/>
  <c r="W286" i="7" s="1"/>
  <c r="W287" i="7" a="1"/>
  <c r="W287" i="7" s="1"/>
  <c r="W288" i="7" a="1"/>
  <c r="W288" i="7" s="1"/>
  <c r="W289" i="7" a="1"/>
  <c r="W289" i="7"/>
  <c r="W290" i="7" a="1"/>
  <c r="W290" i="7" s="1"/>
  <c r="W291" i="7" a="1"/>
  <c r="W291" i="7" s="1"/>
  <c r="W292" i="7" a="1"/>
  <c r="W292" i="7" s="1"/>
  <c r="W293" i="7" a="1"/>
  <c r="W293" i="7" s="1"/>
  <c r="W294" i="7" a="1"/>
  <c r="W294" i="7" s="1"/>
  <c r="W295" i="7" a="1"/>
  <c r="W295" i="7" s="1"/>
  <c r="W296" i="7" a="1"/>
  <c r="W296" i="7" s="1"/>
  <c r="W297" i="7" a="1"/>
  <c r="W297" i="7" s="1"/>
  <c r="W298" i="7" a="1"/>
  <c r="W298" i="7" s="1"/>
  <c r="W299" i="7" a="1"/>
  <c r="W299" i="7" s="1"/>
  <c r="W300" i="7" a="1"/>
  <c r="W300" i="7" s="1"/>
  <c r="W301" i="7" a="1"/>
  <c r="W301" i="7" s="1"/>
  <c r="W302" i="7" a="1"/>
  <c r="W302" i="7" s="1"/>
  <c r="W303" i="7" a="1"/>
  <c r="W303" i="7" s="1"/>
  <c r="W304" i="7" a="1"/>
  <c r="W304" i="7" s="1"/>
  <c r="W305" i="7" a="1"/>
  <c r="W305" i="7" s="1"/>
  <c r="W306" i="7" a="1"/>
  <c r="W306" i="7" s="1"/>
  <c r="W307" i="7" a="1"/>
  <c r="W307" i="7" s="1"/>
  <c r="W308" i="7" a="1"/>
  <c r="W308" i="7"/>
  <c r="W309" i="7" a="1"/>
  <c r="W309" i="7" s="1"/>
  <c r="W310" i="7" a="1"/>
  <c r="W310" i="7" s="1"/>
  <c r="W311" i="7" a="1"/>
  <c r="W311" i="7" s="1"/>
  <c r="W312" i="7" a="1"/>
  <c r="W312" i="7" s="1"/>
  <c r="W313" i="7" a="1"/>
  <c r="W313" i="7" s="1"/>
  <c r="W314" i="7" a="1"/>
  <c r="W314" i="7" s="1"/>
  <c r="W315" i="7" a="1"/>
  <c r="W315" i="7" s="1"/>
  <c r="W316" i="7" a="1"/>
  <c r="W316" i="7" s="1"/>
  <c r="W317" i="7" a="1"/>
  <c r="W317" i="7" s="1"/>
  <c r="W318" i="7" a="1"/>
  <c r="W318" i="7" s="1"/>
  <c r="W319" i="7" a="1"/>
  <c r="W319" i="7" s="1"/>
  <c r="W320" i="7" a="1"/>
  <c r="W320" i="7" s="1"/>
  <c r="W321" i="7" a="1"/>
  <c r="W321" i="7" s="1"/>
  <c r="W322" i="7" a="1"/>
  <c r="W322" i="7" s="1"/>
  <c r="W323" i="7" a="1"/>
  <c r="W323" i="7" s="1"/>
  <c r="W324" i="7" a="1"/>
  <c r="W324" i="7" s="1"/>
  <c r="W325" i="7" a="1"/>
  <c r="W325" i="7" s="1"/>
  <c r="W326" i="7" a="1"/>
  <c r="W326" i="7" s="1"/>
  <c r="W327" i="7" a="1"/>
  <c r="W327" i="7" s="1"/>
  <c r="W328" i="7" a="1"/>
  <c r="W328" i="7" s="1"/>
  <c r="W329" i="7" a="1"/>
  <c r="W329" i="7" s="1"/>
  <c r="W330" i="7" a="1"/>
  <c r="W330" i="7" s="1"/>
  <c r="W331" i="7" a="1"/>
  <c r="W331" i="7" s="1"/>
  <c r="W332" i="7" a="1"/>
  <c r="W332" i="7" s="1"/>
  <c r="W333" i="7" a="1"/>
  <c r="W333" i="7"/>
  <c r="W334" i="7" a="1"/>
  <c r="W334" i="7" s="1"/>
  <c r="W335" i="7" a="1"/>
  <c r="W335" i="7" s="1"/>
  <c r="W336" i="7" a="1"/>
  <c r="W336" i="7" s="1"/>
  <c r="W337" i="7" a="1"/>
  <c r="W337" i="7" s="1"/>
  <c r="W338" i="7" a="1"/>
  <c r="W338" i="7" s="1"/>
  <c r="W339" i="7" a="1"/>
  <c r="W339" i="7"/>
  <c r="W340" i="7" a="1"/>
  <c r="W340" i="7" s="1"/>
  <c r="W341" i="7" a="1"/>
  <c r="W341" i="7" s="1"/>
  <c r="W342" i="7" a="1"/>
  <c r="W342" i="7" s="1"/>
  <c r="W343" i="7" a="1"/>
  <c r="W343" i="7" s="1"/>
  <c r="W344" i="7" a="1"/>
  <c r="W344" i="7" s="1"/>
  <c r="W345" i="7" a="1"/>
  <c r="W345" i="7" s="1"/>
  <c r="W346" i="7" a="1"/>
  <c r="W346" i="7" s="1"/>
  <c r="W347" i="7" a="1"/>
  <c r="W347" i="7" s="1"/>
  <c r="W348" i="7" a="1"/>
  <c r="W348" i="7" s="1"/>
  <c r="W349" i="7" a="1"/>
  <c r="W349" i="7" s="1"/>
  <c r="W350" i="7" a="1"/>
  <c r="W350" i="7" s="1"/>
  <c r="W351" i="7" a="1"/>
  <c r="W351" i="7" s="1"/>
  <c r="W352" i="7" a="1"/>
  <c r="W352" i="7" s="1"/>
  <c r="W353" i="7" a="1"/>
  <c r="W353" i="7" s="1"/>
  <c r="W354" i="7" a="1"/>
  <c r="W354" i="7" s="1"/>
  <c r="W355" i="7" a="1"/>
  <c r="W355" i="7" s="1"/>
  <c r="W356" i="7" a="1"/>
  <c r="W356" i="7" s="1"/>
  <c r="W357" i="7" a="1"/>
  <c r="W357" i="7" s="1"/>
  <c r="W358" i="7" a="1"/>
  <c r="W358" i="7" s="1"/>
  <c r="W359" i="7" a="1"/>
  <c r="W359" i="7" s="1"/>
  <c r="W360" i="7" a="1"/>
  <c r="W360" i="7" s="1"/>
  <c r="W361" i="7" a="1"/>
  <c r="W361" i="7" s="1"/>
  <c r="W362" i="7" a="1"/>
  <c r="W362" i="7" s="1"/>
  <c r="W363" i="7" a="1"/>
  <c r="W363" i="7" s="1"/>
  <c r="W364" i="7" a="1"/>
  <c r="W364" i="7" s="1"/>
  <c r="W365" i="7" a="1"/>
  <c r="W365" i="7" s="1"/>
  <c r="W366" i="7" a="1"/>
  <c r="W366" i="7" s="1"/>
  <c r="W367" i="7" a="1"/>
  <c r="W367" i="7" s="1"/>
  <c r="W368" i="7" a="1"/>
  <c r="W368" i="7" s="1"/>
  <c r="W369" i="7" a="1"/>
  <c r="W369" i="7" s="1"/>
  <c r="W370" i="7" a="1"/>
  <c r="W370" i="7"/>
  <c r="W371" i="7" a="1"/>
  <c r="W371" i="7" s="1"/>
  <c r="W372" i="7" a="1"/>
  <c r="W372" i="7" s="1"/>
  <c r="W373" i="7" a="1"/>
  <c r="W373" i="7" s="1"/>
  <c r="W374" i="7" a="1"/>
  <c r="W374" i="7" s="1"/>
  <c r="W375" i="7" a="1"/>
  <c r="W375" i="7" s="1"/>
  <c r="W376" i="7" a="1"/>
  <c r="W376" i="7" s="1"/>
  <c r="W377" i="7" a="1"/>
  <c r="W377" i="7" s="1"/>
  <c r="W378" i="7" a="1"/>
  <c r="W378" i="7" s="1"/>
  <c r="W379" i="7" a="1"/>
  <c r="W379" i="7" s="1"/>
  <c r="W380" i="7" a="1"/>
  <c r="W380" i="7" s="1"/>
  <c r="W381" i="7" a="1"/>
  <c r="W381" i="7" s="1"/>
  <c r="W382" i="7" a="1"/>
  <c r="W382" i="7" s="1"/>
  <c r="W383" i="7" a="1"/>
  <c r="W383" i="7" s="1"/>
  <c r="W384" i="7" a="1"/>
  <c r="W384" i="7" s="1"/>
  <c r="W385" i="7" a="1"/>
  <c r="W385" i="7" s="1"/>
  <c r="W386" i="7" a="1"/>
  <c r="W386" i="7" s="1"/>
  <c r="W387" i="7" a="1"/>
  <c r="W387" i="7" s="1"/>
  <c r="W388" i="7" a="1"/>
  <c r="W388" i="7" s="1"/>
  <c r="W389" i="7" a="1"/>
  <c r="W389" i="7"/>
  <c r="W390" i="7" a="1"/>
  <c r="W390" i="7" s="1"/>
  <c r="W391" i="7" a="1"/>
  <c r="W391" i="7" s="1"/>
  <c r="W392" i="7" a="1"/>
  <c r="W392" i="7" s="1"/>
  <c r="W393" i="7" a="1"/>
  <c r="W393" i="7" s="1"/>
  <c r="W394" i="7" a="1"/>
  <c r="W394" i="7" s="1"/>
  <c r="W395" i="7" a="1"/>
  <c r="W395" i="7"/>
  <c r="W396" i="7" a="1"/>
  <c r="W396" i="7" s="1"/>
  <c r="W397" i="7" a="1"/>
  <c r="W397" i="7" s="1"/>
  <c r="W398" i="7" a="1"/>
  <c r="W398" i="7" s="1"/>
  <c r="W399" i="7" a="1"/>
  <c r="W399" i="7" s="1"/>
  <c r="W400" i="7" a="1"/>
  <c r="W400" i="7" s="1"/>
  <c r="W401" i="7" a="1"/>
  <c r="W401" i="7" s="1"/>
  <c r="W402" i="7" a="1"/>
  <c r="W402" i="7" s="1"/>
  <c r="W403" i="7" a="1"/>
  <c r="W403" i="7" s="1"/>
  <c r="W404" i="7" a="1"/>
  <c r="W404" i="7" s="1"/>
  <c r="W405" i="7" a="1"/>
  <c r="W405" i="7" s="1"/>
  <c r="W406" i="7" a="1"/>
  <c r="W406" i="7" s="1"/>
  <c r="W407" i="7" a="1"/>
  <c r="W407" i="7" s="1"/>
  <c r="W408" i="7" a="1"/>
  <c r="W408" i="7"/>
  <c r="W409" i="7" a="1"/>
  <c r="W409" i="7" s="1"/>
  <c r="W410" i="7" a="1"/>
  <c r="W410" i="7" s="1"/>
  <c r="W411" i="7" a="1"/>
  <c r="W411" i="7" s="1"/>
  <c r="W412" i="7" a="1"/>
  <c r="W412" i="7" s="1"/>
  <c r="W413" i="7" a="1"/>
  <c r="W413" i="7" s="1"/>
  <c r="W414" i="7" a="1"/>
  <c r="W414" i="7" s="1"/>
  <c r="W415" i="7" a="1"/>
  <c r="W415" i="7" s="1"/>
  <c r="W416" i="7" a="1"/>
  <c r="W416" i="7" s="1"/>
  <c r="W417" i="7" a="1"/>
  <c r="W417" i="7" s="1"/>
  <c r="W418" i="7" a="1"/>
  <c r="W418" i="7" s="1"/>
  <c r="W419" i="7" a="1"/>
  <c r="W419" i="7" s="1"/>
  <c r="W420" i="7" a="1"/>
  <c r="W420" i="7" s="1"/>
  <c r="W421" i="7" a="1"/>
  <c r="W421" i="7" s="1"/>
  <c r="W422" i="7" a="1"/>
  <c r="W422" i="7" s="1"/>
  <c r="W423" i="7" a="1"/>
  <c r="W423" i="7" s="1"/>
  <c r="W424" i="7" a="1"/>
  <c r="W424" i="7" s="1"/>
  <c r="W425" i="7" a="1"/>
  <c r="W425" i="7" s="1"/>
  <c r="W426" i="7" a="1"/>
  <c r="W426" i="7" s="1"/>
  <c r="W427" i="7" a="1"/>
  <c r="W427" i="7" s="1"/>
  <c r="W428" i="7" a="1"/>
  <c r="W428" i="7" s="1"/>
  <c r="W429" i="7" a="1"/>
  <c r="W429" i="7" s="1"/>
  <c r="W430" i="7" a="1"/>
  <c r="W430" i="7" s="1"/>
  <c r="W431" i="7" a="1"/>
  <c r="W431" i="7" s="1"/>
  <c r="W432" i="7" a="1"/>
  <c r="W432" i="7" s="1"/>
  <c r="W433" i="7" a="1"/>
  <c r="W433" i="7"/>
  <c r="W434" i="7" a="1"/>
  <c r="W434" i="7"/>
  <c r="W435" i="7" a="1"/>
  <c r="W435" i="7" s="1"/>
  <c r="W436" i="7" a="1"/>
  <c r="W436" i="7" s="1"/>
  <c r="W437" i="7" a="1"/>
  <c r="W437" i="7" s="1"/>
  <c r="W438" i="7" a="1"/>
  <c r="W438" i="7" s="1"/>
  <c r="W439" i="7" a="1"/>
  <c r="W439" i="7"/>
  <c r="W440" i="7" a="1"/>
  <c r="W440" i="7" s="1"/>
  <c r="W441" i="7" a="1"/>
  <c r="W441" i="7" s="1"/>
  <c r="W442" i="7" a="1"/>
  <c r="W442" i="7" s="1"/>
  <c r="W443" i="7" a="1"/>
  <c r="W443" i="7" s="1"/>
  <c r="W444" i="7" a="1"/>
  <c r="W444" i="7" s="1"/>
  <c r="W445" i="7" a="1"/>
  <c r="W445" i="7" s="1"/>
  <c r="W446" i="7" a="1"/>
  <c r="W446" i="7" s="1"/>
  <c r="W447" i="7" a="1"/>
  <c r="W447" i="7"/>
  <c r="W448" i="7" a="1"/>
  <c r="W448" i="7" s="1"/>
  <c r="W449" i="7" a="1"/>
  <c r="W449" i="7" s="1"/>
  <c r="W450" i="7" a="1"/>
  <c r="W450" i="7" s="1"/>
  <c r="W451" i="7" a="1"/>
  <c r="W451" i="7" s="1"/>
  <c r="W452" i="7" a="1"/>
  <c r="W452" i="7"/>
  <c r="W453" i="7" a="1"/>
  <c r="W453" i="7"/>
  <c r="W454" i="7" a="1"/>
  <c r="W454" i="7" s="1"/>
  <c r="W455" i="7" a="1"/>
  <c r="W455" i="7" s="1"/>
  <c r="W456" i="7" a="1"/>
  <c r="W456" i="7" s="1"/>
  <c r="W457" i="7" a="1"/>
  <c r="W457" i="7" s="1"/>
  <c r="W458" i="7" a="1"/>
  <c r="W458" i="7"/>
  <c r="W459" i="7" a="1"/>
  <c r="W459" i="7"/>
  <c r="W460" i="7" a="1"/>
  <c r="W460" i="7" s="1"/>
  <c r="W461" i="7" a="1"/>
  <c r="W461" i="7" s="1"/>
  <c r="W462" i="7" a="1"/>
  <c r="W462" i="7" s="1"/>
  <c r="W463" i="7" a="1"/>
  <c r="W463" i="7" s="1"/>
  <c r="W464" i="7" a="1"/>
  <c r="W464" i="7"/>
  <c r="W465" i="7" a="1"/>
  <c r="W465" i="7" s="1"/>
  <c r="W466" i="7" a="1"/>
  <c r="W466" i="7" s="1"/>
  <c r="W467" i="7" a="1"/>
  <c r="W467" i="7" s="1"/>
  <c r="W468" i="7" a="1"/>
  <c r="W468" i="7" s="1"/>
  <c r="W469" i="7" a="1"/>
  <c r="W469" i="7" s="1"/>
  <c r="W470" i="7" a="1"/>
  <c r="W470" i="7" s="1"/>
  <c r="W471" i="7" a="1"/>
  <c r="W471" i="7" s="1"/>
  <c r="W472" i="7" a="1"/>
  <c r="W472" i="7"/>
  <c r="W473" i="7" a="1"/>
  <c r="W473" i="7" s="1"/>
  <c r="W474" i="7" a="1"/>
  <c r="W474" i="7" s="1"/>
  <c r="W475" i="7" a="1"/>
  <c r="W475" i="7" s="1"/>
  <c r="W476" i="7" a="1"/>
  <c r="W476" i="7" s="1"/>
  <c r="W477" i="7" a="1"/>
  <c r="W477" i="7"/>
  <c r="W478" i="7" a="1"/>
  <c r="W478" i="7"/>
  <c r="W479" i="7" a="1"/>
  <c r="W479" i="7" s="1"/>
  <c r="W480" i="7" a="1"/>
  <c r="W480" i="7" s="1"/>
  <c r="W481" i="7" a="1"/>
  <c r="W481" i="7" s="1"/>
  <c r="W482" i="7" a="1"/>
  <c r="W482" i="7" s="1"/>
  <c r="W483" i="7" a="1"/>
  <c r="W483" i="7"/>
  <c r="W484" i="7" a="1"/>
  <c r="W484" i="7"/>
  <c r="W485" i="7" a="1"/>
  <c r="W485" i="7" s="1"/>
  <c r="W486" i="7" a="1"/>
  <c r="W486" i="7" s="1"/>
  <c r="W487" i="7" a="1"/>
  <c r="W487" i="7" s="1"/>
  <c r="W488" i="7" a="1"/>
  <c r="W488" i="7" s="1"/>
  <c r="W489" i="7" a="1"/>
  <c r="W489" i="7"/>
  <c r="W490" i="7" a="1"/>
  <c r="W490" i="7" s="1"/>
  <c r="W491" i="7" a="1"/>
  <c r="W491" i="7" s="1"/>
  <c r="W492" i="7" a="1"/>
  <c r="W492" i="7" s="1"/>
  <c r="W493" i="7" a="1"/>
  <c r="W493" i="7" s="1"/>
  <c r="W494" i="7" a="1"/>
  <c r="W494" i="7" s="1"/>
  <c r="W495" i="7" a="1"/>
  <c r="W495" i="7" s="1"/>
  <c r="W496" i="7" a="1"/>
  <c r="W496" i="7" s="1"/>
  <c r="W497" i="7" a="1"/>
  <c r="W497" i="7"/>
  <c r="W498" i="7" a="1"/>
  <c r="W498" i="7" s="1"/>
  <c r="W499" i="7" a="1"/>
  <c r="W499" i="7" s="1"/>
  <c r="W500" i="7" a="1"/>
  <c r="W500" i="7" s="1"/>
  <c r="W501" i="7" a="1"/>
  <c r="W501" i="7" s="1"/>
  <c r="W502" i="7" a="1"/>
  <c r="W502" i="7"/>
  <c r="W503" i="7" a="1"/>
  <c r="W503" i="7"/>
  <c r="W504" i="7" a="1"/>
  <c r="W504" i="7" s="1"/>
  <c r="W505" i="7" a="1"/>
  <c r="W505" i="7" s="1"/>
  <c r="W506" i="7" a="1"/>
  <c r="W506" i="7" s="1"/>
  <c r="W507" i="7" a="1"/>
  <c r="W507" i="7" s="1"/>
  <c r="W508" i="7" a="1"/>
  <c r="W508" i="7"/>
  <c r="W509" i="7" a="1"/>
  <c r="W509" i="7"/>
  <c r="W510" i="7" a="1"/>
  <c r="W510" i="7" s="1"/>
  <c r="W511" i="7" a="1"/>
  <c r="W511" i="7" s="1"/>
  <c r="W512" i="7" a="1"/>
  <c r="W512" i="7" s="1"/>
  <c r="W513" i="7" a="1"/>
  <c r="W513" i="7" s="1"/>
  <c r="W514" i="7" a="1"/>
  <c r="W514" i="7"/>
  <c r="W515" i="7" a="1"/>
  <c r="W515" i="7" s="1"/>
  <c r="W516" i="7" a="1"/>
  <c r="W516" i="7" s="1"/>
  <c r="W517" i="7" a="1"/>
  <c r="W517" i="7" s="1"/>
  <c r="W518" i="7" a="1"/>
  <c r="W518" i="7" s="1"/>
  <c r="W519" i="7" a="1"/>
  <c r="W519" i="7" s="1"/>
  <c r="W520" i="7" a="1"/>
  <c r="W520" i="7" s="1"/>
  <c r="W521" i="7" a="1"/>
  <c r="W521" i="7" s="1"/>
  <c r="W522" i="7" a="1"/>
  <c r="W522" i="7"/>
  <c r="W523" i="7" a="1"/>
  <c r="W523" i="7" s="1"/>
  <c r="W524" i="7" a="1"/>
  <c r="W524" i="7" s="1"/>
  <c r="W525" i="7" a="1"/>
  <c r="W525" i="7" s="1"/>
  <c r="W526" i="7" a="1"/>
  <c r="W526" i="7" s="1"/>
  <c r="W527" i="7" a="1"/>
  <c r="W527" i="7"/>
  <c r="W528" i="7" a="1"/>
  <c r="W528" i="7"/>
  <c r="W529" i="7" a="1"/>
  <c r="W529" i="7" s="1"/>
  <c r="W530" i="7" a="1"/>
  <c r="W530" i="7" s="1"/>
  <c r="W531" i="7" a="1"/>
  <c r="W531" i="7" s="1"/>
  <c r="W532" i="7" a="1"/>
  <c r="W532" i="7" s="1"/>
  <c r="W533" i="7" a="1"/>
  <c r="W533" i="7"/>
  <c r="W534" i="7" a="1"/>
  <c r="W534" i="7"/>
  <c r="W535" i="7" a="1"/>
  <c r="W535" i="7" s="1"/>
  <c r="W536" i="7" a="1"/>
  <c r="W536" i="7" s="1"/>
  <c r="W537" i="7" a="1"/>
  <c r="W537" i="7" s="1"/>
  <c r="W538" i="7" a="1"/>
  <c r="W538" i="7" s="1"/>
  <c r="W539" i="7" a="1"/>
  <c r="W539" i="7"/>
  <c r="W540" i="7" a="1"/>
  <c r="W540" i="7" s="1"/>
  <c r="W541" i="7" a="1"/>
  <c r="W541" i="7" s="1"/>
  <c r="W542" i="7" a="1"/>
  <c r="W542" i="7" s="1"/>
  <c r="W543" i="7" a="1"/>
  <c r="W543" i="7" s="1"/>
  <c r="W544" i="7" a="1"/>
  <c r="W544" i="7" s="1"/>
  <c r="W545" i="7" a="1"/>
  <c r="W545" i="7" s="1"/>
  <c r="W546" i="7" a="1"/>
  <c r="W546" i="7" s="1"/>
  <c r="W547" i="7" a="1"/>
  <c r="W547" i="7"/>
  <c r="W548" i="7" a="1"/>
  <c r="W548" i="7" s="1"/>
  <c r="W549" i="7" a="1"/>
  <c r="W549" i="7" s="1"/>
  <c r="W550" i="7" a="1"/>
  <c r="W550" i="7" s="1"/>
  <c r="W551" i="7" a="1"/>
  <c r="W551" i="7" s="1"/>
  <c r="W552" i="7" a="1"/>
  <c r="W552" i="7"/>
  <c r="W553" i="7" a="1"/>
  <c r="W553" i="7"/>
  <c r="W554" i="7" a="1"/>
  <c r="W554" i="7" s="1"/>
  <c r="W555" i="7" a="1"/>
  <c r="W555" i="7" s="1"/>
  <c r="W556" i="7" a="1"/>
  <c r="W556" i="7" s="1"/>
  <c r="W557" i="7" a="1"/>
  <c r="W557" i="7" s="1"/>
  <c r="W558" i="7" a="1"/>
  <c r="W558" i="7" s="1"/>
  <c r="W559" i="7" a="1"/>
  <c r="W559" i="7"/>
  <c r="W560" i="7" a="1"/>
  <c r="W560" i="7" s="1"/>
  <c r="W561" i="7" a="1"/>
  <c r="W561" i="7" s="1"/>
  <c r="W562" i="7" a="1"/>
  <c r="W562" i="7" s="1"/>
  <c r="W563" i="7" a="1"/>
  <c r="W563" i="7" s="1"/>
  <c r="W564" i="7" a="1"/>
  <c r="W564" i="7" s="1"/>
  <c r="W565" i="7" a="1"/>
  <c r="W565" i="7" s="1"/>
  <c r="W566" i="7" a="1"/>
  <c r="W566" i="7" s="1"/>
  <c r="W567" i="7" a="1"/>
  <c r="W567" i="7" s="1"/>
  <c r="W568" i="7" a="1"/>
  <c r="W568" i="7" s="1"/>
  <c r="W569" i="7" a="1"/>
  <c r="W569" i="7" s="1"/>
  <c r="W570" i="7" a="1"/>
  <c r="W570" i="7" s="1"/>
  <c r="W571" i="7" a="1"/>
  <c r="W571" i="7" s="1"/>
  <c r="W572" i="7" a="1"/>
  <c r="W572" i="7"/>
  <c r="W573" i="7" a="1"/>
  <c r="W573" i="7" s="1"/>
  <c r="W574" i="7" a="1"/>
  <c r="W574" i="7" s="1"/>
  <c r="W575" i="7" a="1"/>
  <c r="W575" i="7" s="1"/>
  <c r="W576" i="7" a="1"/>
  <c r="W576" i="7" s="1"/>
  <c r="W577" i="7" a="1"/>
  <c r="W577" i="7" s="1"/>
  <c r="W578" i="7" a="1"/>
  <c r="W578" i="7"/>
  <c r="W579" i="7" a="1"/>
  <c r="W579" i="7" s="1"/>
  <c r="W580" i="7" a="1"/>
  <c r="W580" i="7" s="1"/>
  <c r="W581" i="7" a="1"/>
  <c r="W581" i="7" s="1"/>
  <c r="W582" i="7" a="1"/>
  <c r="W582" i="7" s="1"/>
  <c r="W583" i="7" a="1"/>
  <c r="W583" i="7" s="1"/>
  <c r="W584" i="7" a="1"/>
  <c r="W584" i="7"/>
  <c r="W585" i="7" a="1"/>
  <c r="W585" i="7" s="1"/>
  <c r="W586" i="7" a="1"/>
  <c r="W586" i="7" s="1"/>
  <c r="W587" i="7" a="1"/>
  <c r="W587" i="7" s="1"/>
  <c r="W588" i="7" a="1"/>
  <c r="W588" i="7" s="1"/>
  <c r="W589" i="7" a="1"/>
  <c r="W589" i="7" s="1"/>
  <c r="W590" i="7" a="1"/>
  <c r="W590" i="7" s="1"/>
  <c r="W591" i="7" a="1"/>
  <c r="W591" i="7" s="1"/>
  <c r="W592" i="7" a="1"/>
  <c r="W592" i="7" s="1"/>
  <c r="W593" i="7" a="1"/>
  <c r="W593" i="7" s="1"/>
  <c r="W594" i="7" a="1"/>
  <c r="W594" i="7" s="1"/>
  <c r="W595" i="7" a="1"/>
  <c r="W595" i="7" s="1"/>
  <c r="W596" i="7" a="1"/>
  <c r="W596" i="7" s="1"/>
  <c r="W597" i="7" a="1"/>
  <c r="W597" i="7"/>
  <c r="W598" i="7" a="1"/>
  <c r="W598" i="7" s="1"/>
  <c r="W599" i="7" a="1"/>
  <c r="W599" i="7" s="1"/>
  <c r="W600" i="7" a="1"/>
  <c r="W600" i="7" s="1"/>
  <c r="W601" i="7" a="1"/>
  <c r="W601" i="7" s="1"/>
  <c r="W602" i="7" a="1"/>
  <c r="W602" i="7" s="1"/>
  <c r="W603" i="7" a="1"/>
  <c r="W603" i="7"/>
  <c r="W604" i="7" a="1"/>
  <c r="W604" i="7" s="1"/>
  <c r="W605" i="7" a="1"/>
  <c r="W605" i="7" s="1"/>
  <c r="W606" i="7" a="1"/>
  <c r="W606" i="7" s="1"/>
  <c r="W607" i="7" a="1"/>
  <c r="W607" i="7" s="1"/>
  <c r="W608" i="7" a="1"/>
  <c r="W608" i="7" s="1"/>
  <c r="W609" i="7" a="1"/>
  <c r="W609" i="7"/>
  <c r="W610" i="7" a="1"/>
  <c r="W610" i="7" s="1"/>
  <c r="W611" i="7" a="1"/>
  <c r="W611" i="7" s="1"/>
  <c r="W612" i="7" a="1"/>
  <c r="W612" i="7" s="1"/>
  <c r="W613" i="7" a="1"/>
  <c r="W613" i="7" s="1"/>
  <c r="W614" i="7" a="1"/>
  <c r="W614" i="7" s="1"/>
  <c r="W615" i="7" a="1"/>
  <c r="W615" i="7" s="1"/>
  <c r="W616" i="7" a="1"/>
  <c r="W616" i="7" s="1"/>
  <c r="W617" i="7" a="1"/>
  <c r="W617" i="7" s="1"/>
  <c r="W618" i="7" a="1"/>
  <c r="W618" i="7" s="1"/>
  <c r="W619" i="7" a="1"/>
  <c r="W619" i="7" s="1"/>
  <c r="W620" i="7" a="1"/>
  <c r="W620" i="7" s="1"/>
  <c r="W621" i="7" a="1"/>
  <c r="W621" i="7" s="1"/>
  <c r="W622" i="7" a="1"/>
  <c r="W622" i="7"/>
  <c r="W623" i="7" a="1"/>
  <c r="W623" i="7" s="1"/>
  <c r="W624" i="7" a="1"/>
  <c r="W624" i="7" s="1"/>
  <c r="W625" i="7" a="1"/>
  <c r="W625" i="7" s="1"/>
  <c r="W626" i="7" a="1"/>
  <c r="W626" i="7" s="1"/>
  <c r="W627" i="7" a="1"/>
  <c r="W627" i="7" s="1"/>
  <c r="W628" i="7" a="1"/>
  <c r="W628" i="7"/>
  <c r="W629" i="7" a="1"/>
  <c r="W629" i="7" s="1"/>
  <c r="W630" i="7" a="1"/>
  <c r="W630" i="7" s="1"/>
  <c r="W631" i="7" a="1"/>
  <c r="W631" i="7" s="1"/>
  <c r="W632" i="7" a="1"/>
  <c r="W632" i="7" s="1"/>
  <c r="W633" i="7" a="1"/>
  <c r="W633" i="7" s="1"/>
  <c r="W634" i="7" a="1"/>
  <c r="W634" i="7"/>
  <c r="W635" i="7" a="1"/>
  <c r="W635" i="7" s="1"/>
  <c r="W636" i="7" a="1"/>
  <c r="W636" i="7" s="1"/>
  <c r="W637" i="7" a="1"/>
  <c r="W637" i="7" s="1"/>
  <c r="W638" i="7" a="1"/>
  <c r="W638" i="7" s="1"/>
  <c r="W639" i="7" a="1"/>
  <c r="W639" i="7" s="1"/>
  <c r="W640" i="7" a="1"/>
  <c r="W640" i="7" s="1"/>
  <c r="W641" i="7" a="1"/>
  <c r="W641" i="7" s="1"/>
  <c r="W642" i="7" a="1"/>
  <c r="W642" i="7" s="1"/>
  <c r="W643" i="7" a="1"/>
  <c r="W643" i="7" s="1"/>
  <c r="W644" i="7" a="1"/>
  <c r="W644" i="7" s="1"/>
  <c r="W645" i="7" a="1"/>
  <c r="W645" i="7" s="1"/>
  <c r="W646" i="7" a="1"/>
  <c r="W646" i="7" s="1"/>
  <c r="W647" i="7" a="1"/>
  <c r="W647" i="7"/>
  <c r="W648" i="7" a="1"/>
  <c r="W648" i="7" s="1"/>
  <c r="W649" i="7" a="1"/>
  <c r="W649" i="7" s="1"/>
  <c r="W650" i="7" a="1"/>
  <c r="W650" i="7" s="1"/>
  <c r="W651" i="7" a="1"/>
  <c r="W651" i="7" s="1"/>
  <c r="W652" i="7" a="1"/>
  <c r="W652" i="7" s="1"/>
  <c r="W653" i="7" a="1"/>
  <c r="W653" i="7"/>
  <c r="W654" i="7" a="1"/>
  <c r="W654" i="7" s="1"/>
  <c r="W655" i="7" a="1"/>
  <c r="W655" i="7" s="1"/>
  <c r="W656" i="7" a="1"/>
  <c r="W656" i="7" s="1"/>
  <c r="W657" i="7" a="1"/>
  <c r="W657" i="7" s="1"/>
  <c r="W658" i="7" a="1"/>
  <c r="W658" i="7" s="1"/>
  <c r="W659" i="7" a="1"/>
  <c r="W659" i="7"/>
  <c r="W660" i="7" a="1"/>
  <c r="W660" i="7" s="1"/>
  <c r="W661" i="7" a="1"/>
  <c r="W661" i="7" s="1"/>
  <c r="W662" i="7" a="1"/>
  <c r="W662" i="7" s="1"/>
  <c r="W663" i="7" a="1"/>
  <c r="W663" i="7" s="1"/>
  <c r="W664" i="7" a="1"/>
  <c r="W664" i="7" s="1"/>
  <c r="W665" i="7" a="1"/>
  <c r="W665" i="7" s="1"/>
  <c r="W666" i="7" a="1"/>
  <c r="W666" i="7" s="1"/>
  <c r="W667" i="7" a="1"/>
  <c r="W667" i="7" s="1"/>
  <c r="W668" i="7" a="1"/>
  <c r="W668" i="7" s="1"/>
  <c r="W669" i="7" a="1"/>
  <c r="W669" i="7" s="1"/>
  <c r="W670" i="7" a="1"/>
  <c r="W670" i="7" s="1"/>
  <c r="W671" i="7" a="1"/>
  <c r="W671" i="7" s="1"/>
  <c r="W672" i="7" a="1"/>
  <c r="W672" i="7"/>
  <c r="W673" i="7" a="1"/>
  <c r="W673" i="7" s="1"/>
  <c r="W674" i="7" a="1"/>
  <c r="W674" i="7" s="1"/>
  <c r="W675" i="7" a="1"/>
  <c r="W675" i="7" s="1"/>
  <c r="W676" i="7" a="1"/>
  <c r="W676" i="7" s="1"/>
  <c r="W677" i="7" a="1"/>
  <c r="W677" i="7" s="1"/>
  <c r="W678" i="7" a="1"/>
  <c r="W678" i="7"/>
  <c r="W679" i="7" a="1"/>
  <c r="W679" i="7" s="1"/>
  <c r="W680" i="7" a="1"/>
  <c r="W680" i="7" s="1"/>
  <c r="W681" i="7" a="1"/>
  <c r="W681" i="7" s="1"/>
  <c r="W682" i="7" a="1"/>
  <c r="W682" i="7" s="1"/>
  <c r="W683" i="7" a="1"/>
  <c r="W683" i="7" s="1"/>
  <c r="W684" i="7" a="1"/>
  <c r="W684" i="7"/>
  <c r="W685" i="7" a="1"/>
  <c r="W685" i="7" s="1"/>
  <c r="W686" i="7" a="1"/>
  <c r="W686" i="7" s="1"/>
  <c r="W687" i="7" a="1"/>
  <c r="W687" i="7" s="1"/>
  <c r="W688" i="7" a="1"/>
  <c r="W688" i="7" s="1"/>
  <c r="W689" i="7" a="1"/>
  <c r="W689" i="7" s="1"/>
  <c r="W690" i="7" a="1"/>
  <c r="W690" i="7" s="1"/>
  <c r="W691" i="7" a="1"/>
  <c r="W691" i="7" s="1"/>
  <c r="W692" i="7" a="1"/>
  <c r="W692" i="7" s="1"/>
  <c r="W693" i="7" a="1"/>
  <c r="W693" i="7" s="1"/>
  <c r="W694" i="7" a="1"/>
  <c r="W694" i="7" s="1"/>
  <c r="W695" i="7" a="1"/>
  <c r="W695" i="7" s="1"/>
  <c r="W696" i="7" a="1"/>
  <c r="W696" i="7" s="1"/>
  <c r="W697" i="7" a="1"/>
  <c r="W697" i="7"/>
  <c r="W698" i="7" a="1"/>
  <c r="W698" i="7" s="1"/>
  <c r="W699" i="7" a="1"/>
  <c r="W699" i="7" s="1"/>
  <c r="W700" i="7" a="1"/>
  <c r="W700" i="7" s="1"/>
  <c r="W701" i="7" a="1"/>
  <c r="W701" i="7" s="1"/>
  <c r="W702" i="7" a="1"/>
  <c r="W702" i="7" s="1"/>
  <c r="W703" i="7" a="1"/>
  <c r="W703" i="7"/>
  <c r="W704" i="7" a="1"/>
  <c r="W704" i="7" s="1"/>
  <c r="W705" i="7" a="1"/>
  <c r="W705" i="7" s="1"/>
  <c r="W706" i="7" a="1"/>
  <c r="W706" i="7" s="1"/>
  <c r="W707" i="7" a="1"/>
  <c r="W707" i="7" s="1"/>
  <c r="W708" i="7" a="1"/>
  <c r="W708" i="7" s="1"/>
  <c r="W709" i="7" a="1"/>
  <c r="W709" i="7"/>
  <c r="W710" i="7" a="1"/>
  <c r="W710" i="7" s="1"/>
  <c r="W711" i="7" a="1"/>
  <c r="W711" i="7" s="1"/>
  <c r="W712" i="7" a="1"/>
  <c r="W712" i="7" s="1"/>
  <c r="W713" i="7" a="1"/>
  <c r="W713" i="7" s="1"/>
  <c r="W714" i="7" a="1"/>
  <c r="W714" i="7" s="1"/>
  <c r="W715" i="7" a="1"/>
  <c r="W715" i="7" s="1"/>
  <c r="W716" i="7" a="1"/>
  <c r="W716" i="7" s="1"/>
  <c r="W717" i="7" a="1"/>
  <c r="W717" i="7" s="1"/>
  <c r="W718" i="7" a="1"/>
  <c r="W718" i="7" s="1"/>
  <c r="W719" i="7" a="1"/>
  <c r="W719" i="7" s="1"/>
  <c r="W720" i="7" a="1"/>
  <c r="W720" i="7" s="1"/>
  <c r="W721" i="7" a="1"/>
  <c r="W721" i="7" s="1"/>
  <c r="W722" i="7" a="1"/>
  <c r="W722" i="7"/>
  <c r="W723" i="7" a="1"/>
  <c r="W723" i="7" s="1"/>
  <c r="W724" i="7" a="1"/>
  <c r="W724" i="7" s="1"/>
  <c r="W725" i="7" a="1"/>
  <c r="W725" i="7" s="1"/>
  <c r="W726" i="7" a="1"/>
  <c r="W726" i="7" s="1"/>
  <c r="W727" i="7" a="1"/>
  <c r="W727" i="7" s="1"/>
  <c r="W728" i="7" a="1"/>
  <c r="W728" i="7"/>
  <c r="W729" i="7" a="1"/>
  <c r="W729" i="7" s="1"/>
  <c r="W730" i="7" a="1"/>
  <c r="W730" i="7" s="1"/>
  <c r="W731" i="7" a="1"/>
  <c r="W731" i="7" s="1"/>
  <c r="W732" i="7" a="1"/>
  <c r="W732" i="7" s="1"/>
  <c r="W733" i="7" a="1"/>
  <c r="W733" i="7" s="1"/>
  <c r="W734" i="7" a="1"/>
  <c r="W734" i="7"/>
  <c r="W735" i="7" a="1"/>
  <c r="W735" i="7" s="1"/>
  <c r="W736" i="7" a="1"/>
  <c r="W736" i="7" s="1"/>
  <c r="W737" i="7" a="1"/>
  <c r="W737" i="7" s="1"/>
  <c r="W738" i="7" a="1"/>
  <c r="W738" i="7" s="1"/>
  <c r="W739" i="7" a="1"/>
  <c r="W739" i="7" s="1"/>
  <c r="W740" i="7" a="1"/>
  <c r="W740" i="7" s="1"/>
  <c r="W741" i="7" a="1"/>
  <c r="W741" i="7" s="1"/>
  <c r="W742" i="7" a="1"/>
  <c r="W742" i="7" s="1"/>
  <c r="W743" i="7" a="1"/>
  <c r="W743" i="7" s="1"/>
  <c r="W744" i="7" a="1"/>
  <c r="W744" i="7" s="1"/>
  <c r="W745" i="7" a="1"/>
  <c r="W745" i="7" s="1"/>
  <c r="W746" i="7" a="1"/>
  <c r="W746" i="7" s="1"/>
  <c r="W747" i="7" a="1"/>
  <c r="W747" i="7"/>
  <c r="W748" i="7" a="1"/>
  <c r="W748" i="7" s="1"/>
  <c r="W749" i="7" a="1"/>
  <c r="W749" i="7" s="1"/>
  <c r="W750" i="7" a="1"/>
  <c r="W750" i="7" s="1"/>
  <c r="W751" i="7" a="1"/>
  <c r="W751" i="7" s="1"/>
  <c r="W752" i="7" a="1"/>
  <c r="W752" i="7" s="1"/>
  <c r="W753" i="7" a="1"/>
  <c r="W753" i="7"/>
  <c r="W754" i="7" a="1"/>
  <c r="W754" i="7" s="1"/>
  <c r="W755" i="7" a="1"/>
  <c r="W755" i="7" s="1"/>
  <c r="W756" i="7" a="1"/>
  <c r="W756" i="7" s="1"/>
  <c r="W757" i="7" a="1"/>
  <c r="W757" i="7" s="1"/>
  <c r="W758" i="7" a="1"/>
  <c r="W758" i="7" s="1"/>
  <c r="W759" i="7" a="1"/>
  <c r="W759" i="7"/>
  <c r="W760" i="7" a="1"/>
  <c r="W760" i="7" s="1"/>
  <c r="W761" i="7" a="1"/>
  <c r="W761" i="7" s="1"/>
  <c r="W762" i="7" a="1"/>
  <c r="W762" i="7" s="1"/>
  <c r="W763" i="7" a="1"/>
  <c r="W763" i="7" s="1"/>
  <c r="W764" i="7" a="1"/>
  <c r="W764" i="7" s="1"/>
  <c r="W765" i="7" a="1"/>
  <c r="W765" i="7" s="1"/>
  <c r="W766" i="7" a="1"/>
  <c r="W766" i="7" s="1"/>
  <c r="W767" i="7" a="1"/>
  <c r="W767" i="7" s="1"/>
  <c r="W768" i="7" a="1"/>
  <c r="W768" i="7" s="1"/>
  <c r="W769" i="7" a="1"/>
  <c r="W769" i="7" s="1"/>
  <c r="W770" i="7" a="1"/>
  <c r="W770" i="7" s="1"/>
  <c r="W771" i="7" a="1"/>
  <c r="W771" i="7" s="1"/>
  <c r="W772" i="7" a="1"/>
  <c r="W772" i="7"/>
  <c r="W773" i="7" a="1"/>
  <c r="W773" i="7" s="1"/>
  <c r="W774" i="7" a="1"/>
  <c r="W774" i="7" s="1"/>
  <c r="W775" i="7" a="1"/>
  <c r="W775" i="7" s="1"/>
  <c r="W776" i="7" a="1"/>
  <c r="W776" i="7" s="1"/>
  <c r="W777" i="7" a="1"/>
  <c r="W777" i="7" s="1"/>
  <c r="W778" i="7" a="1"/>
  <c r="W778" i="7"/>
  <c r="W779" i="7" a="1"/>
  <c r="W779" i="7" s="1"/>
  <c r="W780" i="7" a="1"/>
  <c r="W780" i="7" s="1"/>
  <c r="W781" i="7" a="1"/>
  <c r="W781" i="7" s="1"/>
  <c r="W782" i="7" a="1"/>
  <c r="W782" i="7" s="1"/>
  <c r="W783" i="7" a="1"/>
  <c r="W783" i="7" s="1"/>
  <c r="W784" i="7" a="1"/>
  <c r="W784" i="7"/>
  <c r="W785" i="7" a="1"/>
  <c r="W785" i="7" s="1"/>
  <c r="W786" i="7" a="1"/>
  <c r="W786" i="7" s="1"/>
  <c r="W787" i="7" a="1"/>
  <c r="W787" i="7" s="1"/>
  <c r="Q66" i="7" a="1"/>
  <c r="Q66" i="7" s="1"/>
  <c r="Q67" i="7" a="1"/>
  <c r="Q67" i="7" s="1"/>
  <c r="Q68" i="7" a="1"/>
  <c r="Q68" i="7" s="1"/>
  <c r="Q69" i="7" a="1"/>
  <c r="Q69" i="7" s="1"/>
  <c r="Q70" i="7" a="1"/>
  <c r="Q70" i="7" s="1"/>
  <c r="Q71" i="7" a="1"/>
  <c r="Q71" i="7" s="1"/>
  <c r="Q72" i="7" a="1"/>
  <c r="Q72" i="7" s="1"/>
  <c r="Q73" i="7" a="1"/>
  <c r="Q73" i="7" s="1"/>
  <c r="Q74" i="7" a="1"/>
  <c r="Q74" i="7" s="1"/>
  <c r="Q75" i="7" a="1"/>
  <c r="Q75" i="7" s="1"/>
  <c r="Q76" i="7" a="1"/>
  <c r="Q76" i="7" s="1"/>
  <c r="Q77" i="7" a="1"/>
  <c r="Q77" i="7" s="1"/>
  <c r="Q78" i="7" a="1"/>
  <c r="Q78" i="7" s="1"/>
  <c r="Q79" i="7" a="1"/>
  <c r="Q79" i="7" s="1"/>
  <c r="Q80" i="7" a="1"/>
  <c r="Q80" i="7" s="1"/>
  <c r="Q81" i="7" a="1"/>
  <c r="Q81" i="7" s="1"/>
  <c r="Q82" i="7" a="1"/>
  <c r="Q82" i="7" s="1"/>
  <c r="Q83" i="7" a="1"/>
  <c r="Q83" i="7" s="1"/>
  <c r="Q84" i="7" a="1"/>
  <c r="Q84" i="7" s="1"/>
  <c r="Q85" i="7" a="1"/>
  <c r="Q85" i="7" s="1"/>
  <c r="Q86" i="7" a="1"/>
  <c r="Q86" i="7" s="1"/>
  <c r="Q87" i="7" a="1"/>
  <c r="Q87" i="7" s="1"/>
  <c r="Q88" i="7" a="1"/>
  <c r="Q88" i="7" s="1"/>
  <c r="Q89" i="7" a="1"/>
  <c r="Q89" i="7" s="1"/>
  <c r="Q90" i="7" a="1"/>
  <c r="Q90" i="7" s="1"/>
  <c r="Q91" i="7" a="1"/>
  <c r="Q91" i="7" s="1"/>
  <c r="Q92" i="7" a="1"/>
  <c r="Q92" i="7" s="1"/>
  <c r="Q93" i="7" a="1"/>
  <c r="Q93" i="7" s="1"/>
  <c r="Q94" i="7" a="1"/>
  <c r="Q94" i="7" s="1"/>
  <c r="Q95" i="7" a="1"/>
  <c r="Q95" i="7" s="1"/>
  <c r="Q96" i="7" a="1"/>
  <c r="Q96" i="7" s="1"/>
  <c r="Q97" i="7" a="1"/>
  <c r="Q97" i="7" s="1"/>
  <c r="Q98" i="7" a="1"/>
  <c r="Q98" i="7" s="1"/>
  <c r="Q99" i="7" a="1"/>
  <c r="Q99" i="7" s="1"/>
  <c r="Q100" i="7" a="1"/>
  <c r="Q100" i="7" s="1"/>
  <c r="Q101" i="7" a="1"/>
  <c r="Q101" i="7" s="1"/>
  <c r="Q102" i="7" a="1"/>
  <c r="Q102" i="7" s="1"/>
  <c r="Q103" i="7" a="1"/>
  <c r="Q103" i="7" s="1"/>
  <c r="Q104" i="7" a="1"/>
  <c r="Q104" i="7" s="1"/>
  <c r="Q105" i="7" a="1"/>
  <c r="Q105" i="7" s="1"/>
  <c r="Q106" i="7" a="1"/>
  <c r="Q106" i="7" s="1"/>
  <c r="Q107" i="7" a="1"/>
  <c r="Q107" i="7" s="1"/>
  <c r="Q108" i="7" a="1"/>
  <c r="Q108" i="7" s="1"/>
  <c r="Q109" i="7" a="1"/>
  <c r="Q109" i="7" s="1"/>
  <c r="Q110" i="7" a="1"/>
  <c r="Q110" i="7" s="1"/>
  <c r="Q111" i="7" a="1"/>
  <c r="Q111" i="7" s="1"/>
  <c r="Q112" i="7" a="1"/>
  <c r="Q112" i="7" s="1"/>
  <c r="Q113" i="7" a="1"/>
  <c r="Q113" i="7" s="1"/>
  <c r="Q114" i="7" a="1"/>
  <c r="Q114" i="7" s="1"/>
  <c r="Q115" i="7" a="1"/>
  <c r="Q115" i="7" s="1"/>
  <c r="Q116" i="7" a="1"/>
  <c r="Q116" i="7" s="1"/>
  <c r="Q117" i="7" a="1"/>
  <c r="Q117" i="7" s="1"/>
  <c r="Q118" i="7" a="1"/>
  <c r="Q118" i="7" s="1"/>
  <c r="Q119" i="7" a="1"/>
  <c r="Q119" i="7" s="1"/>
  <c r="Q120" i="7" a="1"/>
  <c r="Q120" i="7" s="1"/>
  <c r="Q121" i="7" a="1"/>
  <c r="Q121" i="7" s="1"/>
  <c r="Q122" i="7" a="1"/>
  <c r="Q122" i="7" s="1"/>
  <c r="Q123" i="7" a="1"/>
  <c r="Q123" i="7" s="1"/>
  <c r="Q124" i="7" a="1"/>
  <c r="Q124" i="7" s="1"/>
  <c r="Q125" i="7" a="1"/>
  <c r="Q125" i="7" s="1"/>
  <c r="Q126" i="7" a="1"/>
  <c r="Q126" i="7" s="1"/>
  <c r="Q127" i="7" a="1"/>
  <c r="Q127" i="7" s="1"/>
  <c r="Q128" i="7" a="1"/>
  <c r="Q128" i="7" s="1"/>
  <c r="Q129" i="7" a="1"/>
  <c r="Q129" i="7" s="1"/>
  <c r="Q130" i="7" a="1"/>
  <c r="Q130" i="7" s="1"/>
  <c r="Q131" i="7" a="1"/>
  <c r="Q131" i="7" s="1"/>
  <c r="Q132" i="7" a="1"/>
  <c r="Q132" i="7" s="1"/>
  <c r="Q133" i="7" a="1"/>
  <c r="Q133" i="7" s="1"/>
  <c r="Q134" i="7" a="1"/>
  <c r="Q134" i="7" s="1"/>
  <c r="Q135" i="7" a="1"/>
  <c r="Q135" i="7" s="1"/>
  <c r="Q136" i="7" a="1"/>
  <c r="Q136" i="7" s="1"/>
  <c r="Q137" i="7" a="1"/>
  <c r="Q137" i="7" s="1"/>
  <c r="Q138" i="7" a="1"/>
  <c r="Q138" i="7" s="1"/>
  <c r="Q139" i="7" a="1"/>
  <c r="Q139" i="7" s="1"/>
  <c r="Q140" i="7" a="1"/>
  <c r="Q140" i="7" s="1"/>
  <c r="Q141" i="7" a="1"/>
  <c r="Q141" i="7" s="1"/>
  <c r="Q142" i="7" a="1"/>
  <c r="Q142" i="7" s="1"/>
  <c r="Q143" i="7" a="1"/>
  <c r="Q143" i="7" s="1"/>
  <c r="Q144" i="7" a="1"/>
  <c r="Q144" i="7" s="1"/>
  <c r="Q145" i="7" a="1"/>
  <c r="Q145" i="7" s="1"/>
  <c r="Q146" i="7" a="1"/>
  <c r="Q146" i="7" s="1"/>
  <c r="Q147" i="7" a="1"/>
  <c r="Q147" i="7" s="1"/>
  <c r="Q148" i="7" a="1"/>
  <c r="Q148" i="7" s="1"/>
  <c r="Q149" i="7" a="1"/>
  <c r="Q149" i="7" s="1"/>
  <c r="Q150" i="7" a="1"/>
  <c r="Q150" i="7" s="1"/>
  <c r="Q151" i="7" a="1"/>
  <c r="Q151" i="7" s="1"/>
  <c r="Q152" i="7" a="1"/>
  <c r="Q152" i="7" s="1"/>
  <c r="Q153" i="7" a="1"/>
  <c r="Q153" i="7" s="1"/>
  <c r="Q154" i="7" a="1"/>
  <c r="Q154" i="7" s="1"/>
  <c r="Q155" i="7" a="1"/>
  <c r="Q155" i="7" s="1"/>
  <c r="Q156" i="7" a="1"/>
  <c r="Q156" i="7" s="1"/>
  <c r="Q157" i="7" a="1"/>
  <c r="Q157" i="7" s="1"/>
  <c r="Q158" i="7" a="1"/>
  <c r="Q158" i="7" s="1"/>
  <c r="Q159" i="7" a="1"/>
  <c r="Q159" i="7" s="1"/>
  <c r="Q160" i="7" a="1"/>
  <c r="Q160" i="7" s="1"/>
  <c r="Q161" i="7" a="1"/>
  <c r="Q161" i="7" s="1"/>
  <c r="Q162" i="7" a="1"/>
  <c r="Q162" i="7" s="1"/>
  <c r="Q163" i="7" a="1"/>
  <c r="Q163" i="7" s="1"/>
  <c r="Q164" i="7" a="1"/>
  <c r="Q164" i="7" s="1"/>
  <c r="Q165" i="7" a="1"/>
  <c r="Q165" i="7" s="1"/>
  <c r="Q166" i="7" a="1"/>
  <c r="Q166" i="7" s="1"/>
  <c r="Q167" i="7" a="1"/>
  <c r="Q167" i="7" s="1"/>
  <c r="Q168" i="7" a="1"/>
  <c r="Q168" i="7" s="1"/>
  <c r="Q169" i="7" a="1"/>
  <c r="Q169" i="7" s="1"/>
  <c r="Q170" i="7" a="1"/>
  <c r="Q170" i="7" s="1"/>
  <c r="Q171" i="7" a="1"/>
  <c r="Q171" i="7" s="1"/>
  <c r="Q172" i="7" a="1"/>
  <c r="Q172" i="7" s="1"/>
  <c r="Q173" i="7" a="1"/>
  <c r="Q173" i="7" s="1"/>
  <c r="Q174" i="7" a="1"/>
  <c r="Q174" i="7" s="1"/>
  <c r="Q175" i="7" a="1"/>
  <c r="Q175" i="7" s="1"/>
  <c r="Q176" i="7" a="1"/>
  <c r="Q176" i="7" s="1"/>
  <c r="Q177" i="7" a="1"/>
  <c r="Q177" i="7" s="1"/>
  <c r="Q178" i="7" a="1"/>
  <c r="Q178" i="7" s="1"/>
  <c r="Q179" i="7" a="1"/>
  <c r="Q179" i="7" s="1"/>
  <c r="Q180" i="7" a="1"/>
  <c r="Q180" i="7" s="1"/>
  <c r="Q181" i="7" a="1"/>
  <c r="Q181" i="7" s="1"/>
  <c r="Q182" i="7" a="1"/>
  <c r="Q182" i="7" s="1"/>
  <c r="Q183" i="7" a="1"/>
  <c r="Q183" i="7" s="1"/>
  <c r="Q184" i="7" a="1"/>
  <c r="Q184" i="7" s="1"/>
  <c r="Q185" i="7" a="1"/>
  <c r="Q185" i="7" s="1"/>
  <c r="Q186" i="7" a="1"/>
  <c r="Q186" i="7" s="1"/>
  <c r="Q187" i="7" a="1"/>
  <c r="Q187" i="7" s="1"/>
  <c r="Q188" i="7" a="1"/>
  <c r="Q188" i="7" s="1"/>
  <c r="Q189" i="7" a="1"/>
  <c r="Q189" i="7" s="1"/>
  <c r="Q190" i="7" a="1"/>
  <c r="Q190" i="7" s="1"/>
  <c r="Q191" i="7" a="1"/>
  <c r="Q191" i="7" s="1"/>
  <c r="Q192" i="7" a="1"/>
  <c r="Q192" i="7" s="1"/>
  <c r="Q193" i="7" a="1"/>
  <c r="Q193" i="7" s="1"/>
  <c r="Q194" i="7" a="1"/>
  <c r="Q194" i="7" s="1"/>
  <c r="Q195" i="7" a="1"/>
  <c r="Q195" i="7" s="1"/>
  <c r="Q196" i="7" a="1"/>
  <c r="Q196" i="7" s="1"/>
  <c r="Q197" i="7" a="1"/>
  <c r="Q197" i="7" s="1"/>
  <c r="Q198" i="7" a="1"/>
  <c r="Q198" i="7" s="1"/>
  <c r="Q199" i="7" a="1"/>
  <c r="Q199" i="7" s="1"/>
  <c r="Q200" i="7" a="1"/>
  <c r="Q200" i="7" s="1"/>
  <c r="Q201" i="7" a="1"/>
  <c r="Q201" i="7" s="1"/>
  <c r="Q202" i="7" a="1"/>
  <c r="Q202" i="7" s="1"/>
  <c r="Q203" i="7" a="1"/>
  <c r="Q203" i="7" s="1"/>
  <c r="Q204" i="7" a="1"/>
  <c r="Q204" i="7" s="1"/>
  <c r="Q205" i="7" a="1"/>
  <c r="Q205" i="7" s="1"/>
  <c r="Q206" i="7" a="1"/>
  <c r="Q206" i="7" s="1"/>
  <c r="Q207" i="7" a="1"/>
  <c r="Q207" i="7" s="1"/>
  <c r="Q208" i="7" a="1"/>
  <c r="Q208" i="7" s="1"/>
  <c r="Q209" i="7" a="1"/>
  <c r="Q209" i="7" s="1"/>
  <c r="Q210" i="7" a="1"/>
  <c r="Q210" i="7" s="1"/>
  <c r="K94" i="7" a="1"/>
  <c r="K94" i="7" s="1"/>
  <c r="K95" i="7" a="1"/>
  <c r="K95" i="7" s="1"/>
  <c r="K96" i="7" a="1"/>
  <c r="K96" i="7"/>
  <c r="K97" i="7" a="1"/>
  <c r="K97" i="7" s="1"/>
  <c r="K98" i="7" a="1"/>
  <c r="K98" i="7" s="1"/>
  <c r="K99" i="7" a="1"/>
  <c r="K99" i="7"/>
  <c r="K100" i="7" a="1"/>
  <c r="K100" i="7" s="1"/>
  <c r="K101" i="7" a="1"/>
  <c r="K101" i="7" s="1"/>
  <c r="K102" i="7" a="1"/>
  <c r="K102" i="7" s="1"/>
  <c r="K103" i="7" a="1"/>
  <c r="K103" i="7" s="1"/>
  <c r="K104" i="7" a="1"/>
  <c r="K104" i="7"/>
  <c r="K105" i="7" a="1"/>
  <c r="K105" i="7" s="1"/>
  <c r="K106" i="7" a="1"/>
  <c r="K106" i="7"/>
  <c r="K107" i="7" a="1"/>
  <c r="K107" i="7" s="1"/>
  <c r="K108" i="7" a="1"/>
  <c r="K108" i="7" s="1"/>
  <c r="K109" i="7" a="1"/>
  <c r="K109" i="7" s="1"/>
  <c r="K110" i="7" a="1"/>
  <c r="K110" i="7" s="1"/>
  <c r="K111" i="7" a="1"/>
  <c r="K111" i="7"/>
  <c r="K112" i="7" a="1"/>
  <c r="K112" i="7" s="1"/>
  <c r="K113" i="7" a="1"/>
  <c r="K113" i="7" s="1"/>
  <c r="K114" i="7" a="1"/>
  <c r="K114" i="7"/>
  <c r="K115" i="7" a="1"/>
  <c r="K115" i="7" s="1"/>
  <c r="K116" i="7" a="1"/>
  <c r="K116" i="7" s="1"/>
  <c r="K117" i="7" a="1"/>
  <c r="K117" i="7" s="1"/>
  <c r="K118" i="7" a="1"/>
  <c r="K118" i="7" s="1"/>
  <c r="K119" i="7" a="1"/>
  <c r="K119" i="7"/>
  <c r="K120" i="7" a="1"/>
  <c r="K120" i="7" s="1"/>
  <c r="K121" i="7" a="1"/>
  <c r="K121" i="7"/>
  <c r="K122" i="7" a="1"/>
  <c r="K122" i="7" s="1"/>
  <c r="K123" i="7" a="1"/>
  <c r="K123" i="7" s="1"/>
  <c r="K124" i="7" a="1"/>
  <c r="K124" i="7" s="1"/>
  <c r="K125" i="7" a="1"/>
  <c r="K125" i="7" s="1"/>
  <c r="K126" i="7" a="1"/>
  <c r="K126" i="7" s="1"/>
  <c r="K127" i="7" a="1"/>
  <c r="K127" i="7" s="1"/>
  <c r="K128" i="7" a="1"/>
  <c r="K128" i="7" s="1"/>
  <c r="K129" i="7" a="1"/>
  <c r="K129" i="7" s="1"/>
  <c r="K130" i="7" a="1"/>
  <c r="K130" i="7" s="1"/>
  <c r="K131" i="7" a="1"/>
  <c r="K131" i="7" s="1"/>
  <c r="K132" i="7" a="1"/>
  <c r="K132" i="7" s="1"/>
  <c r="K133" i="7" a="1"/>
  <c r="K133" i="7" s="1"/>
  <c r="K134" i="7" a="1"/>
  <c r="K134" i="7"/>
  <c r="K135" i="7" a="1"/>
  <c r="K135" i="7" s="1"/>
  <c r="K136" i="7" a="1"/>
  <c r="K136" i="7" s="1"/>
  <c r="K137" i="7" a="1"/>
  <c r="K137" i="7" s="1"/>
  <c r="K138" i="7" a="1"/>
  <c r="K138" i="7" s="1"/>
  <c r="K139" i="7" a="1"/>
  <c r="K139" i="7"/>
  <c r="K140" i="7" a="1"/>
  <c r="K140" i="7" s="1"/>
  <c r="K141" i="7" a="1"/>
  <c r="K141" i="7" s="1"/>
  <c r="K142" i="7" a="1"/>
  <c r="K142" i="7" s="1"/>
  <c r="K143" i="7" a="1"/>
  <c r="K143" i="7" s="1"/>
  <c r="K144" i="7" a="1"/>
  <c r="K144" i="7"/>
  <c r="K145" i="7" a="1"/>
  <c r="K145" i="7" s="1"/>
  <c r="K146" i="7" a="1"/>
  <c r="K146" i="7"/>
  <c r="K147" i="7" a="1"/>
  <c r="K147" i="7" s="1"/>
  <c r="K148" i="7" a="1"/>
  <c r="K148" i="7" s="1"/>
  <c r="K149" i="7" a="1"/>
  <c r="K149" i="7"/>
  <c r="K150" i="7" a="1"/>
  <c r="K150" i="7" s="1"/>
  <c r="K151" i="7" a="1"/>
  <c r="K151" i="7"/>
  <c r="K152" i="7" a="1"/>
  <c r="K152" i="7" s="1"/>
  <c r="K153" i="7" a="1"/>
  <c r="K153" i="7" s="1"/>
  <c r="K154" i="7" a="1"/>
  <c r="K154" i="7"/>
  <c r="K155" i="7" a="1"/>
  <c r="K155" i="7" s="1"/>
  <c r="K156" i="7" a="1"/>
  <c r="K156" i="7"/>
  <c r="K157" i="7" a="1"/>
  <c r="K157" i="7" s="1"/>
  <c r="K158" i="7" a="1"/>
  <c r="K158" i="7" s="1"/>
  <c r="K159" i="7" a="1"/>
  <c r="K159" i="7" s="1"/>
  <c r="K160" i="7" a="1"/>
  <c r="K160" i="7" s="1"/>
  <c r="K161" i="7" a="1"/>
  <c r="K161" i="7"/>
  <c r="K162" i="7" a="1"/>
  <c r="K162" i="7" s="1"/>
  <c r="K163" i="7" a="1"/>
  <c r="K163" i="7" s="1"/>
  <c r="K164" i="7" a="1"/>
  <c r="K164" i="7"/>
  <c r="K165" i="7" a="1"/>
  <c r="K165" i="7" s="1"/>
  <c r="K166" i="7" a="1"/>
  <c r="K166" i="7" s="1"/>
  <c r="K167" i="7" a="1"/>
  <c r="K167" i="7" s="1"/>
  <c r="K168" i="7" a="1"/>
  <c r="K168" i="7" s="1"/>
  <c r="K169" i="7" a="1"/>
  <c r="K169" i="7"/>
  <c r="K170" i="7" a="1"/>
  <c r="K170" i="7" s="1"/>
  <c r="K171" i="7" a="1"/>
  <c r="K171" i="7" s="1"/>
  <c r="K172" i="7" a="1"/>
  <c r="K172" i="7" s="1"/>
  <c r="K173" i="7" a="1"/>
  <c r="K173" i="7" s="1"/>
  <c r="K174" i="7" a="1"/>
  <c r="K174" i="7" s="1"/>
  <c r="K175" i="7" a="1"/>
  <c r="K175" i="7" s="1"/>
  <c r="K176" i="7" a="1"/>
  <c r="K176" i="7" s="1"/>
  <c r="K177" i="7" a="1"/>
  <c r="K177" i="7" s="1"/>
  <c r="K178" i="7" a="1"/>
  <c r="K178" i="7" s="1"/>
  <c r="K179" i="7" a="1"/>
  <c r="K179" i="7" s="1"/>
  <c r="K180" i="7" a="1"/>
  <c r="K180" i="7" s="1"/>
  <c r="K181" i="7" a="1"/>
  <c r="K181" i="7" s="1"/>
  <c r="K182" i="7" a="1"/>
  <c r="K182" i="7" s="1"/>
  <c r="K183" i="7" a="1"/>
  <c r="K183" i="7" s="1"/>
  <c r="K184" i="7" a="1"/>
  <c r="K184" i="7" s="1"/>
  <c r="K185" i="7" a="1"/>
  <c r="K185" i="7" s="1"/>
  <c r="K186" i="7" a="1"/>
  <c r="K186" i="7" s="1"/>
  <c r="K187" i="7" a="1"/>
  <c r="K187" i="7" s="1"/>
  <c r="K188" i="7" a="1"/>
  <c r="K188" i="7" s="1"/>
  <c r="K189" i="7" a="1"/>
  <c r="K189" i="7"/>
  <c r="K190" i="7" a="1"/>
  <c r="K190" i="7" s="1"/>
  <c r="K191" i="7" a="1"/>
  <c r="K191" i="7"/>
  <c r="K192" i="7" a="1"/>
  <c r="K192" i="7" s="1"/>
  <c r="K193" i="7" a="1"/>
  <c r="K193" i="7" s="1"/>
  <c r="K194" i="7" a="1"/>
  <c r="K194" i="7"/>
  <c r="K195" i="7" a="1"/>
  <c r="K195" i="7" s="1"/>
  <c r="K196" i="7" a="1"/>
  <c r="K196" i="7"/>
  <c r="K197" i="7" a="1"/>
  <c r="K197" i="7" s="1"/>
  <c r="K198" i="7" a="1"/>
  <c r="K198" i="7" s="1"/>
  <c r="K199" i="7" a="1"/>
  <c r="K199" i="7" s="1"/>
  <c r="K200" i="7" a="1"/>
  <c r="K200" i="7" s="1"/>
  <c r="K201" i="7" a="1"/>
  <c r="K201" i="7"/>
  <c r="K202" i="7" a="1"/>
  <c r="K202" i="7" s="1"/>
  <c r="K203" i="7" a="1"/>
  <c r="K203" i="7" s="1"/>
  <c r="K204" i="7" a="1"/>
  <c r="K204" i="7" s="1"/>
  <c r="K205" i="7" a="1"/>
  <c r="K205" i="7" s="1"/>
  <c r="K206" i="7" a="1"/>
  <c r="K206" i="7"/>
  <c r="K207" i="7" a="1"/>
  <c r="K207" i="7" s="1"/>
  <c r="K208" i="7" a="1"/>
  <c r="K208" i="7" s="1"/>
  <c r="K209" i="7" a="1"/>
  <c r="K209" i="7" s="1"/>
  <c r="K210" i="7" a="1"/>
  <c r="K210" i="7" s="1"/>
  <c r="K211" i="7" a="1"/>
  <c r="K211" i="7"/>
  <c r="K212" i="7" a="1"/>
  <c r="K212" i="7" s="1"/>
  <c r="K213" i="7" a="1"/>
  <c r="K213" i="7" s="1"/>
  <c r="K214" i="7" a="1"/>
  <c r="K214" i="7"/>
  <c r="K215" i="7" a="1"/>
  <c r="K215" i="7" s="1"/>
  <c r="K216" i="7" a="1"/>
  <c r="K216" i="7" s="1"/>
  <c r="K217" i="7" a="1"/>
  <c r="K217" i="7" s="1"/>
  <c r="K218" i="7" a="1"/>
  <c r="K218" i="7" s="1"/>
  <c r="K219" i="7" a="1"/>
  <c r="K219" i="7"/>
  <c r="K220" i="7" a="1"/>
  <c r="K220" i="7" s="1"/>
  <c r="K221" i="7" a="1"/>
  <c r="K221" i="7"/>
  <c r="K222" i="7" a="1"/>
  <c r="K222" i="7" s="1"/>
  <c r="K223" i="7" a="1"/>
  <c r="K223" i="7" s="1"/>
  <c r="K224" i="7" a="1"/>
  <c r="K224" i="7" s="1"/>
  <c r="K225" i="7" a="1"/>
  <c r="K225" i="7" s="1"/>
  <c r="K226" i="7" a="1"/>
  <c r="K226" i="7" s="1"/>
  <c r="K227" i="7" a="1"/>
  <c r="K227" i="7" s="1"/>
  <c r="K228" i="7" a="1"/>
  <c r="K228" i="7" s="1"/>
  <c r="K229" i="7" a="1"/>
  <c r="K229" i="7" s="1"/>
  <c r="K230" i="7" a="1"/>
  <c r="K230" i="7" s="1"/>
  <c r="K231" i="7" a="1"/>
  <c r="K231" i="7" s="1"/>
  <c r="K232" i="7" a="1"/>
  <c r="K232" i="7" s="1"/>
  <c r="K233" i="7" a="1"/>
  <c r="K233" i="7" s="1"/>
  <c r="K234" i="7" a="1"/>
  <c r="K234" i="7"/>
  <c r="K235" i="7" a="1"/>
  <c r="K235" i="7" s="1"/>
  <c r="K236" i="7" a="1"/>
  <c r="K236" i="7" s="1"/>
  <c r="K237" i="7" a="1"/>
  <c r="K237" i="7" s="1"/>
  <c r="K238" i="7" a="1"/>
  <c r="K238" i="7" s="1"/>
  <c r="K239" i="7" a="1"/>
  <c r="K239" i="7" s="1"/>
  <c r="K240" i="7" a="1"/>
  <c r="K240" i="7" s="1"/>
  <c r="K241" i="7" a="1"/>
  <c r="K241" i="7" s="1"/>
  <c r="K242" i="7" a="1"/>
  <c r="K242" i="7" s="1"/>
  <c r="K243" i="7" a="1"/>
  <c r="K243" i="7" s="1"/>
  <c r="K244" i="7" a="1"/>
  <c r="K244" i="7" s="1"/>
  <c r="K245" i="7" a="1"/>
  <c r="K245" i="7" s="1"/>
  <c r="K246" i="7" a="1"/>
  <c r="K246" i="7" s="1"/>
  <c r="K247" i="7" a="1"/>
  <c r="K247" i="7" s="1"/>
  <c r="K248" i="7" a="1"/>
  <c r="K248" i="7" s="1"/>
  <c r="K249" i="7" a="1"/>
  <c r="K249" i="7" s="1"/>
  <c r="K250" i="7" a="1"/>
  <c r="K250" i="7" s="1"/>
  <c r="K251" i="7" a="1"/>
  <c r="K251" i="7" s="1"/>
  <c r="K252" i="7" a="1"/>
  <c r="K252" i="7" s="1"/>
  <c r="K253" i="7" a="1"/>
  <c r="K253" i="7" s="1"/>
  <c r="K254" i="7" a="1"/>
  <c r="K254" i="7" s="1"/>
  <c r="K255" i="7" a="1"/>
  <c r="K255" i="7" s="1"/>
  <c r="K256" i="7" a="1"/>
  <c r="K256" i="7" s="1"/>
  <c r="K257" i="7" a="1"/>
  <c r="K257" i="7" s="1"/>
  <c r="K258" i="7" a="1"/>
  <c r="K258" i="7" s="1"/>
  <c r="K259" i="7" a="1"/>
  <c r="K259" i="7" s="1"/>
  <c r="K260" i="7" a="1"/>
  <c r="K260" i="7" s="1"/>
  <c r="K261" i="7" a="1"/>
  <c r="K261" i="7" s="1"/>
  <c r="K262" i="7" a="1"/>
  <c r="K262" i="7" s="1"/>
  <c r="K263" i="7" a="1"/>
  <c r="K263" i="7" s="1"/>
  <c r="K264" i="7" a="1"/>
  <c r="K264" i="7" s="1"/>
  <c r="K265" i="7" a="1"/>
  <c r="K265" i="7" s="1"/>
  <c r="K266" i="7" a="1"/>
  <c r="K266" i="7" s="1"/>
  <c r="K267" i="7" a="1"/>
  <c r="K267" i="7" s="1"/>
  <c r="K268" i="7" a="1"/>
  <c r="K268" i="7" s="1"/>
  <c r="K269" i="7" a="1"/>
  <c r="K269" i="7" s="1"/>
  <c r="K270" i="7" a="1"/>
  <c r="K270" i="7" s="1"/>
  <c r="K271" i="7" a="1"/>
  <c r="K271" i="7"/>
  <c r="K272" i="7" a="1"/>
  <c r="K272" i="7" s="1"/>
  <c r="K273" i="7" a="1"/>
  <c r="K273" i="7" s="1"/>
  <c r="K274" i="7" a="1"/>
  <c r="K274" i="7" s="1"/>
  <c r="K275" i="7" a="1"/>
  <c r="K275" i="7" s="1"/>
  <c r="K276" i="7" a="1"/>
  <c r="K276" i="7"/>
  <c r="K277" i="7" a="1"/>
  <c r="K277" i="7" s="1"/>
  <c r="K278" i="7" a="1"/>
  <c r="K278" i="7" s="1"/>
  <c r="K279" i="7" a="1"/>
  <c r="K279" i="7" s="1"/>
  <c r="K280" i="7" a="1"/>
  <c r="K280" i="7" s="1"/>
  <c r="K281" i="7" a="1"/>
  <c r="K281" i="7" s="1"/>
  <c r="K282" i="7" a="1"/>
  <c r="K282" i="7" s="1"/>
  <c r="K283" i="7" a="1"/>
  <c r="K283" i="7" s="1"/>
  <c r="K284" i="7" a="1"/>
  <c r="K284" i="7"/>
  <c r="K285" i="7" a="1"/>
  <c r="K285" i="7" s="1"/>
  <c r="K286" i="7" a="1"/>
  <c r="K286" i="7" s="1"/>
  <c r="K287" i="7" a="1"/>
  <c r="K287" i="7" s="1"/>
  <c r="K288" i="7" a="1"/>
  <c r="K288" i="7" s="1"/>
  <c r="K289" i="7" a="1"/>
  <c r="K289" i="7" s="1"/>
  <c r="K290" i="7" a="1"/>
  <c r="K290" i="7" s="1"/>
  <c r="K291" i="7" a="1"/>
  <c r="K291" i="7" s="1"/>
  <c r="K292" i="7" a="1"/>
  <c r="K292" i="7" s="1"/>
  <c r="K293" i="7" a="1"/>
  <c r="K293" i="7" s="1"/>
  <c r="K294" i="7" a="1"/>
  <c r="K294" i="7" s="1"/>
  <c r="K295" i="7" a="1"/>
  <c r="K295" i="7" s="1"/>
  <c r="K296" i="7" a="1"/>
  <c r="K296" i="7"/>
  <c r="K297" i="7" a="1"/>
  <c r="K297" i="7" s="1"/>
  <c r="K298" i="7" a="1"/>
  <c r="K298" i="7" s="1"/>
  <c r="K299" i="7" a="1"/>
  <c r="K299" i="7"/>
  <c r="K300" i="7" a="1"/>
  <c r="K300" i="7" s="1"/>
  <c r="K301" i="7" a="1"/>
  <c r="K301" i="7" s="1"/>
  <c r="K302" i="7" a="1"/>
  <c r="K302" i="7" s="1"/>
  <c r="K303" i="7" a="1"/>
  <c r="K303" i="7" s="1"/>
  <c r="K304" i="7" a="1"/>
  <c r="K304" i="7" s="1"/>
  <c r="K305" i="7" a="1"/>
  <c r="K305" i="7" s="1"/>
  <c r="K306" i="7" a="1"/>
  <c r="K306" i="7"/>
  <c r="K307" i="7" a="1"/>
  <c r="K307" i="7" s="1"/>
  <c r="K308" i="7" a="1"/>
  <c r="K308" i="7" s="1"/>
  <c r="K309" i="7" a="1"/>
  <c r="K309" i="7" s="1"/>
  <c r="K310" i="7" a="1"/>
  <c r="K310" i="7" s="1"/>
  <c r="K311" i="7" a="1"/>
  <c r="K311" i="7" s="1"/>
  <c r="K312" i="7" a="1"/>
  <c r="K312" i="7" s="1"/>
  <c r="K313" i="7" a="1"/>
  <c r="K313" i="7" s="1"/>
  <c r="K314" i="7" a="1"/>
  <c r="K314" i="7"/>
  <c r="K315" i="7" a="1"/>
  <c r="K315" i="7" s="1"/>
  <c r="K316" i="7" a="1"/>
  <c r="K316" i="7" s="1"/>
  <c r="K317" i="7" a="1"/>
  <c r="K317" i="7" s="1"/>
  <c r="K318" i="7" a="1"/>
  <c r="K318" i="7" s="1"/>
  <c r="K319" i="7" a="1"/>
  <c r="K319" i="7" s="1"/>
  <c r="K320" i="7" a="1"/>
  <c r="K320" i="7" s="1"/>
  <c r="K321" i="7" a="1"/>
  <c r="K321" i="7" s="1"/>
  <c r="K322" i="7" a="1"/>
  <c r="K322" i="7" s="1"/>
  <c r="K323" i="7" a="1"/>
  <c r="K323" i="7" s="1"/>
  <c r="K324" i="7" a="1"/>
  <c r="K324" i="7" s="1"/>
  <c r="K325" i="7" a="1"/>
  <c r="K325" i="7" s="1"/>
  <c r="K326" i="7" a="1"/>
  <c r="K326" i="7" s="1"/>
  <c r="K327" i="7" a="1"/>
  <c r="K327" i="7" s="1"/>
  <c r="K328" i="7" a="1"/>
  <c r="K328" i="7" s="1"/>
  <c r="K329" i="7" a="1"/>
  <c r="K329" i="7" s="1"/>
  <c r="K330" i="7" a="1"/>
  <c r="K330" i="7" s="1"/>
  <c r="K331" i="7" a="1"/>
  <c r="K331" i="7" s="1"/>
  <c r="K332" i="7" a="1"/>
  <c r="K332" i="7" s="1"/>
  <c r="K333" i="7" a="1"/>
  <c r="K333" i="7" s="1"/>
  <c r="K334" i="7" a="1"/>
  <c r="K334" i="7"/>
  <c r="K335" i="7" a="1"/>
  <c r="K335" i="7" s="1"/>
  <c r="K336" i="7" a="1"/>
  <c r="K336" i="7" s="1"/>
  <c r="K337" i="7" a="1"/>
  <c r="K337" i="7" s="1"/>
  <c r="K338" i="7" a="1"/>
  <c r="K338" i="7" s="1"/>
  <c r="K339" i="7" a="1"/>
  <c r="K339" i="7"/>
  <c r="K340" i="7" a="1"/>
  <c r="K340" i="7" s="1"/>
  <c r="K341" i="7" a="1"/>
  <c r="K341" i="7"/>
  <c r="K342" i="7" a="1"/>
  <c r="K342" i="7" s="1"/>
  <c r="K343" i="7" a="1"/>
  <c r="K343" i="7" s="1"/>
  <c r="K344" i="7" a="1"/>
  <c r="K344" i="7" s="1"/>
  <c r="K345" i="7" a="1"/>
  <c r="K345" i="7" s="1"/>
  <c r="K346" i="7" a="1"/>
  <c r="K346" i="7"/>
  <c r="K347" i="7" a="1"/>
  <c r="K347" i="7" s="1"/>
  <c r="K348" i="7" a="1"/>
  <c r="K348" i="7" s="1"/>
  <c r="K349" i="7" a="1"/>
  <c r="K349" i="7"/>
  <c r="K350" i="7" a="1"/>
  <c r="K350" i="7" s="1"/>
  <c r="K351" i="7" a="1"/>
  <c r="K351" i="7" s="1"/>
  <c r="K352" i="7" a="1"/>
  <c r="K352" i="7" s="1"/>
  <c r="K353" i="7" a="1"/>
  <c r="K353" i="7" s="1"/>
  <c r="K354" i="7" a="1"/>
  <c r="K354" i="7"/>
  <c r="K355" i="7" a="1"/>
  <c r="K355" i="7" s="1"/>
  <c r="K356" i="7" a="1"/>
  <c r="K356" i="7"/>
  <c r="K357" i="7" a="1"/>
  <c r="K357" i="7" s="1"/>
  <c r="K358" i="7" a="1"/>
  <c r="K358" i="7" s="1"/>
  <c r="K359" i="7" a="1"/>
  <c r="K359" i="7" s="1"/>
  <c r="K360" i="7" a="1"/>
  <c r="K360" i="7" s="1"/>
  <c r="K361" i="7" a="1"/>
  <c r="K361" i="7"/>
  <c r="K362" i="7" a="1"/>
  <c r="K362" i="7" s="1"/>
  <c r="K363" i="7" a="1"/>
  <c r="K363" i="7" s="1"/>
  <c r="K364" i="7" a="1"/>
  <c r="K364" i="7"/>
  <c r="K365" i="7" a="1"/>
  <c r="K365" i="7" s="1"/>
  <c r="K366" i="7" a="1"/>
  <c r="K366" i="7" s="1"/>
  <c r="K367" i="7" a="1"/>
  <c r="K367" i="7" s="1"/>
  <c r="K368" i="7" a="1"/>
  <c r="K368" i="7" s="1"/>
  <c r="K369" i="7" a="1"/>
  <c r="K369" i="7"/>
  <c r="K370" i="7" a="1"/>
  <c r="K370" i="7" s="1"/>
  <c r="K371" i="7" a="1"/>
  <c r="K371" i="7"/>
  <c r="K372" i="7" a="1"/>
  <c r="K372" i="7" s="1"/>
  <c r="K373" i="7" a="1"/>
  <c r="K373" i="7" s="1"/>
  <c r="K374" i="7" a="1"/>
  <c r="K374" i="7" s="1"/>
  <c r="K375" i="7" a="1"/>
  <c r="K375" i="7" s="1"/>
  <c r="K376" i="7" a="1"/>
  <c r="K376" i="7" s="1"/>
  <c r="K377" i="7" a="1"/>
  <c r="K377" i="7" s="1"/>
  <c r="K378" i="7" a="1"/>
  <c r="K378" i="7" s="1"/>
  <c r="K379" i="7" a="1"/>
  <c r="K379" i="7" s="1"/>
  <c r="K380" i="7" a="1"/>
  <c r="K380" i="7" s="1"/>
  <c r="K381" i="7" a="1"/>
  <c r="K381" i="7" s="1"/>
  <c r="K382" i="7" a="1"/>
  <c r="K382" i="7" s="1"/>
  <c r="K383" i="7" a="1"/>
  <c r="K383" i="7" s="1"/>
  <c r="K384" i="7" a="1"/>
  <c r="K384" i="7"/>
  <c r="K385" i="7" a="1"/>
  <c r="K385" i="7" s="1"/>
  <c r="K386" i="7" a="1"/>
  <c r="K386" i="7" s="1"/>
  <c r="K387" i="7" a="1"/>
  <c r="K387" i="7" s="1"/>
  <c r="K388" i="7" a="1"/>
  <c r="K388" i="7" s="1"/>
  <c r="K389" i="7" a="1"/>
  <c r="K389" i="7"/>
  <c r="K390" i="7" a="1"/>
  <c r="K390" i="7" s="1"/>
  <c r="K391" i="7" a="1"/>
  <c r="K391" i="7" s="1"/>
  <c r="K392" i="7" a="1"/>
  <c r="K392" i="7" s="1"/>
  <c r="K393" i="7" a="1"/>
  <c r="K393" i="7" s="1"/>
  <c r="K394" i="7" a="1"/>
  <c r="K394" i="7"/>
  <c r="K395" i="7" a="1"/>
  <c r="K395" i="7" s="1"/>
  <c r="K396" i="7" a="1"/>
  <c r="K396" i="7" s="1"/>
  <c r="K397" i="7" a="1"/>
  <c r="K397" i="7" s="1"/>
  <c r="K398" i="7" a="1"/>
  <c r="K398" i="7" s="1"/>
  <c r="K399" i="7" a="1"/>
  <c r="K399" i="7"/>
  <c r="K400" i="7" a="1"/>
  <c r="K400" i="7" s="1"/>
  <c r="K401" i="7" a="1"/>
  <c r="K401" i="7"/>
  <c r="K402" i="7" a="1"/>
  <c r="K402" i="7" s="1"/>
  <c r="K403" i="7" a="1"/>
  <c r="K403" i="7" s="1"/>
  <c r="K404" i="7" a="1"/>
  <c r="K404" i="7"/>
  <c r="K405" i="7" a="1"/>
  <c r="K405" i="7" s="1"/>
  <c r="K406" i="7" a="1"/>
  <c r="K406" i="7"/>
  <c r="K407" i="7" a="1"/>
  <c r="K407" i="7" s="1"/>
  <c r="K408" i="7" a="1"/>
  <c r="K408" i="7" s="1"/>
  <c r="K409" i="7" a="1"/>
  <c r="K409" i="7" s="1"/>
  <c r="K410" i="7" a="1"/>
  <c r="K410" i="7" s="1"/>
  <c r="K411" i="7" a="1"/>
  <c r="K411" i="7" s="1"/>
  <c r="K412" i="7" a="1"/>
  <c r="K412" i="7" s="1"/>
  <c r="K413" i="7" a="1"/>
  <c r="K413" i="7" s="1"/>
  <c r="K414" i="7" a="1"/>
  <c r="K414" i="7"/>
  <c r="K415" i="7" a="1"/>
  <c r="K415" i="7" s="1"/>
  <c r="K416" i="7" a="1"/>
  <c r="K416" i="7" s="1"/>
  <c r="K417" i="7" a="1"/>
  <c r="K417" i="7" s="1"/>
  <c r="K418" i="7" a="1"/>
  <c r="K418" i="7" s="1"/>
  <c r="K419" i="7" a="1"/>
  <c r="K419" i="7" s="1"/>
  <c r="K420" i="7" a="1"/>
  <c r="K420" i="7" s="1"/>
  <c r="K421" i="7" a="1"/>
  <c r="K421" i="7" s="1"/>
  <c r="K422" i="7" a="1"/>
  <c r="K422" i="7" s="1"/>
  <c r="K423" i="7" a="1"/>
  <c r="K423" i="7" s="1"/>
  <c r="K424" i="7" a="1"/>
  <c r="K424" i="7" s="1"/>
  <c r="K425" i="7" a="1"/>
  <c r="K425" i="7" s="1"/>
  <c r="K426" i="7" a="1"/>
  <c r="K426" i="7"/>
  <c r="K427" i="7" a="1"/>
  <c r="K427" i="7" s="1"/>
  <c r="K428" i="7" a="1"/>
  <c r="K428" i="7" s="1"/>
  <c r="K429" i="7" a="1"/>
  <c r="K429" i="7" s="1"/>
  <c r="K430" i="7" a="1"/>
  <c r="K430" i="7" s="1"/>
  <c r="K431" i="7" a="1"/>
  <c r="K431" i="7" s="1"/>
  <c r="K432" i="7" a="1"/>
  <c r="K432" i="7"/>
  <c r="K433" i="7" a="1"/>
  <c r="K433" i="7" s="1"/>
  <c r="K434" i="7" a="1"/>
  <c r="K434" i="7" s="1"/>
  <c r="K435" i="7" a="1"/>
  <c r="K435" i="7"/>
  <c r="K436" i="7" a="1"/>
  <c r="K436" i="7" s="1"/>
  <c r="K437" i="7" a="1"/>
  <c r="K437" i="7" s="1"/>
  <c r="K438" i="7" a="1"/>
  <c r="K438" i="7"/>
  <c r="K439" i="7" a="1"/>
  <c r="K439" i="7" s="1"/>
  <c r="K440" i="7" a="1"/>
  <c r="K440" i="7" s="1"/>
  <c r="K441" i="7" a="1"/>
  <c r="K441" i="7" s="1"/>
  <c r="K442" i="7" a="1"/>
  <c r="K442" i="7"/>
  <c r="K443" i="7" a="1"/>
  <c r="K443" i="7"/>
  <c r="K444" i="7" a="1"/>
  <c r="K444" i="7"/>
  <c r="K445" i="7" a="1"/>
  <c r="K445" i="7"/>
  <c r="K446" i="7" a="1"/>
  <c r="K446" i="7" s="1"/>
  <c r="K447" i="7" a="1"/>
  <c r="K447" i="7" s="1"/>
  <c r="K448" i="7" a="1"/>
  <c r="K448" i="7" s="1"/>
  <c r="K449" i="7" a="1"/>
  <c r="K449" i="7"/>
  <c r="K450" i="7" a="1"/>
  <c r="K450" i="7" s="1"/>
  <c r="K451" i="7" a="1"/>
  <c r="K451" i="7" s="1"/>
  <c r="K452" i="7" a="1"/>
  <c r="K452" i="7"/>
  <c r="K453" i="7" a="1"/>
  <c r="K453" i="7"/>
  <c r="K454" i="7" a="1"/>
  <c r="K454" i="7"/>
  <c r="K455" i="7" a="1"/>
  <c r="K455" i="7"/>
  <c r="K456" i="7" a="1"/>
  <c r="K456" i="7" s="1"/>
  <c r="K457" i="7" a="1"/>
  <c r="K457" i="7" s="1"/>
  <c r="K458" i="7" a="1"/>
  <c r="K458" i="7" s="1"/>
  <c r="K459" i="7" a="1"/>
  <c r="K459" i="7" s="1"/>
  <c r="K460" i="7" a="1"/>
  <c r="K460" i="7"/>
  <c r="K461" i="7" a="1"/>
  <c r="K461" i="7" s="1"/>
  <c r="K462" i="7" a="1"/>
  <c r="K462" i="7"/>
  <c r="K463" i="7" a="1"/>
  <c r="K463" i="7"/>
  <c r="K464" i="7" a="1"/>
  <c r="K464" i="7"/>
  <c r="K465" i="7" a="1"/>
  <c r="K465" i="7"/>
  <c r="K466" i="7" a="1"/>
  <c r="K466" i="7" s="1"/>
  <c r="K467" i="7" a="1"/>
  <c r="K467" i="7"/>
  <c r="K468" i="7" a="1"/>
  <c r="K468" i="7" s="1"/>
  <c r="K469" i="7" a="1"/>
  <c r="K469" i="7" s="1"/>
  <c r="K470" i="7" a="1"/>
  <c r="K470" i="7" s="1"/>
  <c r="K471" i="7" a="1"/>
  <c r="K471" i="7" s="1"/>
  <c r="K472" i="7" a="1"/>
  <c r="K472" i="7" s="1"/>
  <c r="K473" i="7" a="1"/>
  <c r="K473" i="7"/>
  <c r="K474" i="7" a="1"/>
  <c r="K474" i="7"/>
  <c r="K475" i="7" a="1"/>
  <c r="K475" i="7"/>
  <c r="K476" i="7" a="1"/>
  <c r="K476" i="7" s="1"/>
  <c r="K477" i="7" a="1"/>
  <c r="K477" i="7" s="1"/>
  <c r="K478" i="7" a="1"/>
  <c r="K478" i="7"/>
  <c r="K479" i="7" a="1"/>
  <c r="K479" i="7"/>
  <c r="K480" i="7" a="1"/>
  <c r="K480" i="7" s="1"/>
  <c r="K481" i="7" a="1"/>
  <c r="K481" i="7" s="1"/>
  <c r="K482" i="7" a="1"/>
  <c r="K482" i="7"/>
  <c r="K483" i="7" a="1"/>
  <c r="K483" i="7" s="1"/>
  <c r="K484" i="7" a="1"/>
  <c r="K484" i="7"/>
  <c r="K485" i="7" a="1"/>
  <c r="K485" i="7"/>
  <c r="K486" i="7" a="1"/>
  <c r="K486" i="7" s="1"/>
  <c r="K487" i="7" a="1"/>
  <c r="K487" i="7" s="1"/>
  <c r="K488" i="7" a="1"/>
  <c r="K488" i="7" s="1"/>
  <c r="K489" i="7" a="1"/>
  <c r="K489" i="7" s="1"/>
  <c r="K490" i="7" a="1"/>
  <c r="K490" i="7"/>
  <c r="K491" i="7" a="1"/>
  <c r="K491" i="7" s="1"/>
  <c r="K492" i="7" a="1"/>
  <c r="K492" i="7"/>
  <c r="K493" i="7" a="1"/>
  <c r="K493" i="7"/>
  <c r="K494" i="7" a="1"/>
  <c r="K494" i="7"/>
  <c r="K495" i="7" a="1"/>
  <c r="K495" i="7" s="1"/>
  <c r="K496" i="7" a="1"/>
  <c r="K496" i="7" s="1"/>
  <c r="K497" i="7" a="1"/>
  <c r="K497" i="7" s="1"/>
  <c r="K498" i="7" a="1"/>
  <c r="K498" i="7" s="1"/>
  <c r="K499" i="7" a="1"/>
  <c r="K499" i="7" s="1"/>
  <c r="K500" i="7" a="1"/>
  <c r="K500" i="7" s="1"/>
  <c r="K501" i="7" a="1"/>
  <c r="K501" i="7" s="1"/>
  <c r="K502" i="7" a="1"/>
  <c r="K502" i="7" s="1"/>
  <c r="K503" i="7" a="1"/>
  <c r="K503" i="7"/>
  <c r="K504" i="7" a="1"/>
  <c r="K504" i="7"/>
  <c r="K505" i="7" a="1"/>
  <c r="K505" i="7"/>
  <c r="K506" i="7" a="1"/>
  <c r="K506" i="7" s="1"/>
  <c r="K507" i="7" a="1"/>
  <c r="K507" i="7" s="1"/>
  <c r="K508" i="7" a="1"/>
  <c r="K508" i="7" s="1"/>
  <c r="K509" i="7" a="1"/>
  <c r="K509" i="7" s="1"/>
  <c r="K510" i="7" a="1"/>
  <c r="K510" i="7"/>
  <c r="K511" i="7" a="1"/>
  <c r="K511" i="7" s="1"/>
  <c r="K512" i="7" a="1"/>
  <c r="K512" i="7"/>
  <c r="K513" i="7" a="1"/>
  <c r="K513" i="7"/>
  <c r="K514" i="7" a="1"/>
  <c r="K514" i="7"/>
  <c r="K515" i="7" a="1"/>
  <c r="K515" i="7"/>
  <c r="K516" i="7" a="1"/>
  <c r="K516" i="7" s="1"/>
  <c r="K517" i="7" a="1"/>
  <c r="K517" i="7" s="1"/>
  <c r="K518" i="7" a="1"/>
  <c r="K518" i="7" s="1"/>
  <c r="K519" i="7" a="1"/>
  <c r="K519" i="7" s="1"/>
  <c r="K520" i="7" a="1"/>
  <c r="K520" i="7" s="1"/>
  <c r="K521" i="7" a="1"/>
  <c r="K521" i="7" s="1"/>
  <c r="K522" i="7" a="1"/>
  <c r="K522" i="7"/>
  <c r="K523" i="7" a="1"/>
  <c r="K523" i="7"/>
  <c r="K524" i="7" a="1"/>
  <c r="K524" i="7"/>
  <c r="K525" i="7" a="1"/>
  <c r="K525" i="7"/>
  <c r="K526" i="7" a="1"/>
  <c r="K526" i="7" s="1"/>
  <c r="K527" i="7" a="1"/>
  <c r="K527" i="7"/>
  <c r="K528" i="7" a="1"/>
  <c r="K528" i="7"/>
  <c r="K529" i="7" a="1"/>
  <c r="K529" i="7" s="1"/>
  <c r="K530" i="7" a="1"/>
  <c r="K530" i="7" s="1"/>
  <c r="K531" i="7" a="1"/>
  <c r="K531" i="7" s="1"/>
  <c r="K532" i="7" a="1"/>
  <c r="K532" i="7"/>
  <c r="K533" i="7" a="1"/>
  <c r="K533" i="7"/>
  <c r="K534" i="7" a="1"/>
  <c r="K534" i="7"/>
  <c r="K535" i="7" a="1"/>
  <c r="K535" i="7" s="1"/>
  <c r="K536" i="7" a="1"/>
  <c r="K536" i="7" s="1"/>
  <c r="K537" i="7" a="1"/>
  <c r="K537" i="7" s="1"/>
  <c r="K538" i="7" a="1"/>
  <c r="K538" i="7" s="1"/>
  <c r="K539" i="7" a="1"/>
  <c r="K539" i="7"/>
  <c r="K540" i="7" a="1"/>
  <c r="K540" i="7"/>
  <c r="K541" i="7" a="1"/>
  <c r="K541" i="7" s="1"/>
  <c r="K542" i="7" a="1"/>
  <c r="K542" i="7"/>
  <c r="K543" i="7" a="1"/>
  <c r="K543" i="7"/>
  <c r="K544" i="7" a="1"/>
  <c r="K544" i="7" s="1"/>
  <c r="K545" i="7" a="1"/>
  <c r="K545" i="7"/>
  <c r="K546" i="7" a="1"/>
  <c r="K546" i="7" s="1"/>
  <c r="K547" i="7" a="1"/>
  <c r="K547" i="7" s="1"/>
  <c r="K548" i="7" a="1"/>
  <c r="K548" i="7" s="1"/>
  <c r="K549" i="7" a="1"/>
  <c r="K549" i="7" s="1"/>
  <c r="K550" i="7" a="1"/>
  <c r="K550" i="7" s="1"/>
  <c r="K551" i="7" a="1"/>
  <c r="K551" i="7" s="1"/>
  <c r="K552" i="7" a="1"/>
  <c r="K552" i="7"/>
  <c r="K553" i="7" a="1"/>
  <c r="K553" i="7"/>
  <c r="K554" i="7" a="1"/>
  <c r="K554" i="7"/>
  <c r="K555" i="7" a="1"/>
  <c r="K555" i="7"/>
  <c r="K556" i="7" a="1"/>
  <c r="K556" i="7" s="1"/>
  <c r="K557" i="7" a="1"/>
  <c r="K557" i="7"/>
  <c r="K558" i="7" a="1"/>
  <c r="K558" i="7" s="1"/>
  <c r="K559" i="7" a="1"/>
  <c r="K559" i="7" s="1"/>
  <c r="K560" i="7" a="1"/>
  <c r="K560" i="7" s="1"/>
  <c r="K561" i="7" a="1"/>
  <c r="K561" i="7" s="1"/>
  <c r="K562" i="7" a="1"/>
  <c r="K562" i="7"/>
  <c r="K563" i="7" a="1"/>
  <c r="K563" i="7" s="1"/>
  <c r="K564" i="7" a="1"/>
  <c r="K564" i="7"/>
  <c r="K565" i="7" a="1"/>
  <c r="K565" i="7"/>
  <c r="K566" i="7" a="1"/>
  <c r="K566" i="7" s="1"/>
  <c r="K567" i="7" a="1"/>
  <c r="K567" i="7" s="1"/>
  <c r="K568" i="7" a="1"/>
  <c r="K568" i="7" s="1"/>
  <c r="K569" i="7" a="1"/>
  <c r="K569" i="7" s="1"/>
  <c r="K570" i="7" a="1"/>
  <c r="K570" i="7" s="1"/>
  <c r="K571" i="7" a="1"/>
  <c r="K571" i="7" s="1"/>
  <c r="K572" i="7" a="1"/>
  <c r="K572" i="7"/>
  <c r="K573" i="7" a="1"/>
  <c r="K573" i="7"/>
  <c r="K574" i="7" a="1"/>
  <c r="K574" i="7"/>
  <c r="K575" i="7" a="1"/>
  <c r="K575" i="7"/>
  <c r="K576" i="7" a="1"/>
  <c r="K576" i="7" s="1"/>
  <c r="K577" i="7" a="1"/>
  <c r="K577" i="7"/>
  <c r="K578" i="7" a="1"/>
  <c r="K578" i="7" s="1"/>
  <c r="K579" i="7" a="1"/>
  <c r="K579" i="7" s="1"/>
  <c r="K580" i="7" a="1"/>
  <c r="K580" i="7" s="1"/>
  <c r="K581" i="7" a="1"/>
  <c r="K581" i="7" s="1"/>
  <c r="K582" i="7" a="1"/>
  <c r="K582" i="7"/>
  <c r="K583" i="7" a="1"/>
  <c r="K583" i="7"/>
  <c r="K584" i="7" a="1"/>
  <c r="K584" i="7" s="1"/>
  <c r="K585" i="7" a="1"/>
  <c r="K585" i="7" s="1"/>
  <c r="K586" i="7" a="1"/>
  <c r="K586" i="7" s="1"/>
  <c r="K587" i="7" a="1"/>
  <c r="K587" i="7" s="1"/>
  <c r="K588" i="7" a="1"/>
  <c r="K588" i="7"/>
  <c r="K589" i="7" a="1"/>
  <c r="K589" i="7"/>
  <c r="K590" i="7" a="1"/>
  <c r="K590" i="7" s="1"/>
  <c r="K591" i="7" a="1"/>
  <c r="K591" i="7" s="1"/>
  <c r="K592" i="7" a="1"/>
  <c r="K592" i="7"/>
  <c r="K593" i="7" a="1"/>
  <c r="K593" i="7"/>
  <c r="K594" i="7" a="1"/>
  <c r="K594" i="7"/>
  <c r="K595" i="7" a="1"/>
  <c r="K595" i="7"/>
  <c r="K596" i="7" a="1"/>
  <c r="K596" i="7" s="1"/>
  <c r="K597" i="7" a="1"/>
  <c r="K597" i="7" s="1"/>
  <c r="K598" i="7" a="1"/>
  <c r="K598" i="7" s="1"/>
  <c r="K599" i="7" a="1"/>
  <c r="K599" i="7" s="1"/>
  <c r="K600" i="7" a="1"/>
  <c r="K600" i="7"/>
  <c r="K601" i="7" a="1"/>
  <c r="K601" i="7" s="1"/>
  <c r="K602" i="7" a="1"/>
  <c r="K602" i="7"/>
  <c r="K603" i="7" a="1"/>
  <c r="K603" i="7"/>
  <c r="K604" i="7" a="1"/>
  <c r="K604" i="7"/>
  <c r="K605" i="7" a="1"/>
  <c r="K605" i="7" s="1"/>
  <c r="K606" i="7" a="1"/>
  <c r="K606" i="7" s="1"/>
  <c r="K607" i="7" a="1"/>
  <c r="K607" i="7"/>
  <c r="K608" i="7" a="1"/>
  <c r="K608" i="7" s="1"/>
  <c r="K609" i="7" a="1"/>
  <c r="K609" i="7" s="1"/>
  <c r="K610" i="7" a="1"/>
  <c r="K610" i="7" s="1"/>
  <c r="K611" i="7" a="1"/>
  <c r="K611" i="7" s="1"/>
  <c r="K612" i="7" a="1"/>
  <c r="K612" i="7" s="1"/>
  <c r="K613" i="7" a="1"/>
  <c r="K613" i="7"/>
  <c r="K614" i="7" a="1"/>
  <c r="K614" i="7"/>
  <c r="K615" i="7" a="1"/>
  <c r="K615" i="7"/>
  <c r="K616" i="7" a="1"/>
  <c r="K616" i="7" s="1"/>
  <c r="K617" i="7" a="1"/>
  <c r="K617" i="7" s="1"/>
  <c r="K618" i="7" a="1"/>
  <c r="K618" i="7"/>
  <c r="K619" i="7" a="1"/>
  <c r="K619" i="7" s="1"/>
  <c r="K620" i="7" a="1"/>
  <c r="K620" i="7" s="1"/>
  <c r="K621" i="7" a="1"/>
  <c r="K621" i="7" s="1"/>
  <c r="K622" i="7" a="1"/>
  <c r="K622" i="7"/>
  <c r="K623" i="7" a="1"/>
  <c r="K623" i="7"/>
  <c r="K624" i="7" a="1"/>
  <c r="K624" i="7" s="1"/>
  <c r="K625" i="7" a="1"/>
  <c r="K625" i="7"/>
  <c r="K626" i="7" a="1"/>
  <c r="K626" i="7" s="1"/>
  <c r="K627" i="7" a="1"/>
  <c r="K627" i="7" s="1"/>
  <c r="K628" i="7" a="1"/>
  <c r="K628" i="7" s="1"/>
  <c r="K629" i="7" a="1"/>
  <c r="K629" i="7" s="1"/>
  <c r="K630" i="7" a="1"/>
  <c r="K630" i="7" s="1"/>
  <c r="K631" i="7" a="1"/>
  <c r="K631" i="7" s="1"/>
  <c r="K632" i="7" a="1"/>
  <c r="K632" i="7"/>
  <c r="K633" i="7" a="1"/>
  <c r="K633" i="7" s="1"/>
  <c r="K634" i="7" a="1"/>
  <c r="K634" i="7" s="1"/>
  <c r="K635" i="7" a="1"/>
  <c r="K635" i="7" s="1"/>
  <c r="K636" i="7" a="1"/>
  <c r="K636" i="7" s="1"/>
  <c r="K637" i="7" a="1"/>
  <c r="K637" i="7" s="1"/>
  <c r="K638" i="7" a="1"/>
  <c r="K638" i="7"/>
  <c r="K639" i="7" a="1"/>
  <c r="K639" i="7" s="1"/>
  <c r="K640" i="7" a="1"/>
  <c r="K640" i="7" s="1"/>
  <c r="K641" i="7" a="1"/>
  <c r="K641" i="7" s="1"/>
  <c r="K642" i="7" a="1"/>
  <c r="K642" i="7" s="1"/>
  <c r="K643" i="7" a="1"/>
  <c r="K643" i="7"/>
  <c r="K644" i="7" a="1"/>
  <c r="K644" i="7"/>
  <c r="K645" i="7" a="1"/>
  <c r="K645" i="7"/>
  <c r="K646" i="7" a="1"/>
  <c r="K646" i="7" s="1"/>
  <c r="K647" i="7" a="1"/>
  <c r="K647" i="7" s="1"/>
  <c r="K648" i="7" a="1"/>
  <c r="K648" i="7" s="1"/>
  <c r="K649" i="7" a="1"/>
  <c r="K649" i="7"/>
  <c r="K650" i="7" a="1"/>
  <c r="K650" i="7"/>
  <c r="K651" i="7" a="1"/>
  <c r="K651" i="7" s="1"/>
  <c r="K652" i="7" a="1"/>
  <c r="K652" i="7" s="1"/>
  <c r="K653" i="7" a="1"/>
  <c r="K653" i="7" s="1"/>
  <c r="K654" i="7" a="1"/>
  <c r="K654" i="7"/>
  <c r="K655" i="7" a="1"/>
  <c r="K655" i="7"/>
  <c r="K656" i="7" a="1"/>
  <c r="K656" i="7" s="1"/>
  <c r="K657" i="7" a="1"/>
  <c r="K657" i="7"/>
  <c r="K658" i="7" a="1"/>
  <c r="K658" i="7"/>
  <c r="K659" i="7" a="1"/>
  <c r="K659" i="7" s="1"/>
  <c r="K660" i="7" a="1"/>
  <c r="K660" i="7"/>
  <c r="K661" i="7" a="1"/>
  <c r="K661" i="7" s="1"/>
  <c r="K662" i="7" a="1"/>
  <c r="K662" i="7"/>
  <c r="K663" i="7" a="1"/>
  <c r="K663" i="7"/>
  <c r="K664" i="7" a="1"/>
  <c r="K664" i="7"/>
  <c r="K665" i="7" a="1"/>
  <c r="K665" i="7"/>
  <c r="K666" i="7" a="1"/>
  <c r="K666" i="7" s="1"/>
  <c r="K667" i="7" a="1"/>
  <c r="K667" i="7"/>
  <c r="K668" i="7" a="1"/>
  <c r="K668" i="7" s="1"/>
  <c r="K669" i="7" a="1"/>
  <c r="K669" i="7" s="1"/>
  <c r="K670" i="7" a="1"/>
  <c r="K670" i="7" s="1"/>
  <c r="K671" i="7" a="1"/>
  <c r="K671" i="7" s="1"/>
  <c r="K672" i="7" a="1"/>
  <c r="K672" i="7"/>
  <c r="K673" i="7" a="1"/>
  <c r="K673" i="7"/>
  <c r="K674" i="7" a="1"/>
  <c r="K674" i="7" s="1"/>
  <c r="K675" i="7" a="1"/>
  <c r="K675" i="7" s="1"/>
  <c r="K676" i="7" a="1"/>
  <c r="K676" i="7" s="1"/>
  <c r="K677" i="7" a="1"/>
  <c r="K677" i="7" s="1"/>
  <c r="K678" i="7" a="1"/>
  <c r="K678" i="7"/>
  <c r="K679" i="7" a="1"/>
  <c r="K679" i="7"/>
  <c r="K680" i="7" a="1"/>
  <c r="K680" i="7"/>
  <c r="K681" i="7" a="1"/>
  <c r="K681" i="7" s="1"/>
  <c r="K682" i="7" a="1"/>
  <c r="K682" i="7"/>
  <c r="K683" i="7" a="1"/>
  <c r="K683" i="7"/>
  <c r="K684" i="7" a="1"/>
  <c r="K684" i="7"/>
  <c r="K685" i="7" a="1"/>
  <c r="K685" i="7" s="1"/>
  <c r="K686" i="7" a="1"/>
  <c r="K686" i="7" s="1"/>
  <c r="K687" i="7" a="1"/>
  <c r="K687" i="7"/>
  <c r="K688" i="7" a="1"/>
  <c r="K688" i="7" s="1"/>
  <c r="K689" i="7" a="1"/>
  <c r="K689" i="7"/>
  <c r="K690" i="7" a="1"/>
  <c r="K690" i="7"/>
  <c r="K691" i="7" a="1"/>
  <c r="K691" i="7" s="1"/>
  <c r="K692" i="7" a="1"/>
  <c r="K692" i="7" s="1"/>
  <c r="K693" i="7" a="1"/>
  <c r="K693" i="7" s="1"/>
  <c r="K694" i="7" a="1"/>
  <c r="K694" i="7"/>
  <c r="K695" i="7" a="1"/>
  <c r="K695" i="7"/>
  <c r="K696" i="7" a="1"/>
  <c r="K696" i="7" s="1"/>
  <c r="K697" i="7" a="1"/>
  <c r="K697" i="7"/>
  <c r="K698" i="7" a="1"/>
  <c r="K698" i="7"/>
  <c r="K699" i="7" a="1"/>
  <c r="K699" i="7" s="1"/>
  <c r="K700" i="7" a="1"/>
  <c r="K700" i="7"/>
  <c r="K701" i="7" a="1"/>
  <c r="K701" i="7" s="1"/>
  <c r="K702" i="7" a="1"/>
  <c r="K702" i="7" s="1"/>
  <c r="K703" i="7" a="1"/>
  <c r="K703" i="7" s="1"/>
  <c r="K704" i="7" a="1"/>
  <c r="K704" i="7" s="1"/>
  <c r="K705" i="7" a="1"/>
  <c r="K705" i="7"/>
  <c r="K706" i="7" a="1"/>
  <c r="K706" i="7" s="1"/>
  <c r="K707" i="7" a="1"/>
  <c r="K707" i="7"/>
  <c r="K708" i="7" a="1"/>
  <c r="K708" i="7"/>
  <c r="K709" i="7" a="1"/>
  <c r="K709" i="7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E201" i="7" a="1"/>
  <c r="E201" i="7" s="1"/>
  <c r="E202" i="7" a="1"/>
  <c r="E202" i="7" s="1"/>
  <c r="E203" i="7" a="1"/>
  <c r="E203" i="7" s="1"/>
  <c r="E204" i="7" a="1"/>
  <c r="E204" i="7" s="1"/>
  <c r="E205" i="7" a="1"/>
  <c r="E205" i="7" s="1"/>
  <c r="E206" i="7" a="1"/>
  <c r="E206" i="7" s="1"/>
  <c r="E207" i="7" a="1"/>
  <c r="E207" i="7" s="1"/>
  <c r="E208" i="7" a="1"/>
  <c r="E208" i="7" s="1"/>
  <c r="E209" i="7" a="1"/>
  <c r="E209" i="7" s="1"/>
  <c r="E210" i="7" a="1"/>
  <c r="E210" i="7" s="1"/>
  <c r="E211" i="7" a="1"/>
  <c r="E211" i="7" s="1"/>
  <c r="E212" i="7" a="1"/>
  <c r="E212" i="7" s="1"/>
  <c r="E213" i="7" a="1"/>
  <c r="E213" i="7" s="1"/>
  <c r="E214" i="7" a="1"/>
  <c r="E214" i="7" s="1"/>
  <c r="E215" i="7" a="1"/>
  <c r="E215" i="7" s="1"/>
  <c r="E216" i="7" a="1"/>
  <c r="E216" i="7" s="1"/>
  <c r="E217" i="7" a="1"/>
  <c r="E217" i="7" s="1"/>
  <c r="E218" i="7" a="1"/>
  <c r="E218" i="7" s="1"/>
  <c r="E219" i="7" a="1"/>
  <c r="E219" i="7" s="1"/>
  <c r="E220" i="7" a="1"/>
  <c r="E220" i="7" s="1"/>
  <c r="E221" i="7" a="1"/>
  <c r="E221" i="7" s="1"/>
  <c r="E222" i="7" a="1"/>
  <c r="E222" i="7" s="1"/>
  <c r="E223" i="7" a="1"/>
  <c r="E223" i="7" s="1"/>
  <c r="E224" i="7" a="1"/>
  <c r="E224" i="7" s="1"/>
  <c r="E225" i="7" a="1"/>
  <c r="E225" i="7" s="1"/>
  <c r="E226" i="7" a="1"/>
  <c r="E226" i="7" s="1"/>
  <c r="E227" i="7" a="1"/>
  <c r="E227" i="7" s="1"/>
  <c r="E228" i="7" a="1"/>
  <c r="E228" i="7" s="1"/>
  <c r="E229" i="7" a="1"/>
  <c r="E229" i="7" s="1"/>
  <c r="E230" i="7" a="1"/>
  <c r="E230" i="7" s="1"/>
  <c r="E231" i="7" a="1"/>
  <c r="E231" i="7" s="1"/>
  <c r="E232" i="7" a="1"/>
  <c r="E232" i="7" s="1"/>
  <c r="E233" i="7" a="1"/>
  <c r="E233" i="7" s="1"/>
  <c r="E234" i="7" a="1"/>
  <c r="E234" i="7" s="1"/>
  <c r="E235" i="7" a="1"/>
  <c r="E235" i="7" s="1"/>
  <c r="E236" i="7" a="1"/>
  <c r="E236" i="7" s="1"/>
  <c r="E237" i="7" a="1"/>
  <c r="E237" i="7" s="1"/>
  <c r="E238" i="7" a="1"/>
  <c r="E238" i="7" s="1"/>
  <c r="E239" i="7" a="1"/>
  <c r="E239" i="7" s="1"/>
  <c r="E240" i="7" a="1"/>
  <c r="E240" i="7" s="1"/>
  <c r="E241" i="7" a="1"/>
  <c r="E241" i="7" s="1"/>
  <c r="E242" i="7" a="1"/>
  <c r="E242" i="7" s="1"/>
  <c r="E243" i="7" a="1"/>
  <c r="E243" i="7" s="1"/>
  <c r="E244" i="7" a="1"/>
  <c r="E244" i="7" s="1"/>
  <c r="E245" i="7" a="1"/>
  <c r="E245" i="7" s="1"/>
  <c r="E246" i="7" a="1"/>
  <c r="E246" i="7" s="1"/>
  <c r="E247" i="7" a="1"/>
  <c r="E247" i="7" s="1"/>
  <c r="E248" i="7" a="1"/>
  <c r="E248" i="7" s="1"/>
  <c r="E249" i="7" a="1"/>
  <c r="E249" i="7" s="1"/>
  <c r="E250" i="7" a="1"/>
  <c r="E250" i="7" s="1"/>
  <c r="E251" i="7" a="1"/>
  <c r="E251" i="7" s="1"/>
  <c r="E252" i="7" a="1"/>
  <c r="E252" i="7" s="1"/>
  <c r="E253" i="7" a="1"/>
  <c r="E253" i="7" s="1"/>
  <c r="E254" i="7" a="1"/>
  <c r="E254" i="7" s="1"/>
  <c r="E255" i="7" a="1"/>
  <c r="E255" i="7" s="1"/>
  <c r="E256" i="7" a="1"/>
  <c r="E256" i="7" s="1"/>
  <c r="E257" i="7" a="1"/>
  <c r="E257" i="7" s="1"/>
  <c r="E258" i="7" a="1"/>
  <c r="E258" i="7" s="1"/>
  <c r="E259" i="7" a="1"/>
  <c r="E259" i="7" s="1"/>
  <c r="E260" i="7" a="1"/>
  <c r="E260" i="7" s="1"/>
  <c r="E261" i="7" a="1"/>
  <c r="E261" i="7" s="1"/>
  <c r="E262" i="7" a="1"/>
  <c r="E262" i="7" s="1"/>
  <c r="E263" i="7" a="1"/>
  <c r="E263" i="7" s="1"/>
  <c r="E264" i="7" a="1"/>
  <c r="E264" i="7" s="1"/>
  <c r="E265" i="7" a="1"/>
  <c r="E265" i="7" s="1"/>
  <c r="E266" i="7" a="1"/>
  <c r="E266" i="7" s="1"/>
  <c r="E267" i="7" a="1"/>
  <c r="E267" i="7" s="1"/>
  <c r="E268" i="7" a="1"/>
  <c r="E268" i="7" s="1"/>
  <c r="E269" i="7" a="1"/>
  <c r="E269" i="7" s="1"/>
  <c r="E270" i="7" a="1"/>
  <c r="E270" i="7" s="1"/>
  <c r="E271" i="7" a="1"/>
  <c r="E271" i="7" s="1"/>
  <c r="E272" i="7" a="1"/>
  <c r="E272" i="7" s="1"/>
  <c r="E273" i="7" a="1"/>
  <c r="E273" i="7" s="1"/>
  <c r="E274" i="7" a="1"/>
  <c r="E274" i="7" s="1"/>
  <c r="E275" i="7" a="1"/>
  <c r="E275" i="7" s="1"/>
  <c r="E276" i="7" a="1"/>
  <c r="E276" i="7" s="1"/>
  <c r="E277" i="7" a="1"/>
  <c r="E277" i="7" s="1"/>
  <c r="E278" i="7" a="1"/>
  <c r="E278" i="7" s="1"/>
  <c r="E279" i="7" a="1"/>
  <c r="E279" i="7" s="1"/>
  <c r="E280" i="7" a="1"/>
  <c r="E280" i="7" s="1"/>
  <c r="E281" i="7" a="1"/>
  <c r="E281" i="7" s="1"/>
  <c r="E282" i="7" a="1"/>
  <c r="E282" i="7" s="1"/>
  <c r="E283" i="7" a="1"/>
  <c r="E283" i="7" s="1"/>
  <c r="E284" i="7" a="1"/>
  <c r="E284" i="7" s="1"/>
  <c r="E285" i="7" a="1"/>
  <c r="E285" i="7" s="1"/>
  <c r="E286" i="7" a="1"/>
  <c r="E286" i="7" s="1"/>
  <c r="E287" i="7" a="1"/>
  <c r="E287" i="7" s="1"/>
  <c r="E92" i="6" a="1"/>
  <c r="E92" i="6" s="1"/>
  <c r="E99" i="9" s="1"/>
  <c r="E70" i="6" a="1"/>
  <c r="E70" i="6" s="1"/>
  <c r="E77" i="9" s="1"/>
  <c r="E48" i="6" a="1"/>
  <c r="E48" i="6" s="1"/>
  <c r="E55" i="9" s="1"/>
  <c r="E26" i="6" a="1"/>
  <c r="E26" i="6" s="1"/>
  <c r="E33" i="9" s="1"/>
  <c r="E4" i="6" a="1"/>
  <c r="E4" i="6" s="1"/>
  <c r="E11" i="9" s="1"/>
  <c r="Q853" i="7"/>
  <c r="P853" i="7"/>
  <c r="O853" i="7"/>
  <c r="N853" i="7"/>
  <c r="E853" i="7"/>
  <c r="D853" i="7"/>
  <c r="C853" i="7"/>
  <c r="B853" i="7"/>
  <c r="Q852" i="7"/>
  <c r="P852" i="7"/>
  <c r="O852" i="7"/>
  <c r="N852" i="7"/>
  <c r="E852" i="7"/>
  <c r="D852" i="7"/>
  <c r="C852" i="7"/>
  <c r="B852" i="7"/>
  <c r="Q851" i="7"/>
  <c r="P851" i="7"/>
  <c r="O851" i="7"/>
  <c r="N851" i="7"/>
  <c r="E851" i="7"/>
  <c r="D851" i="7"/>
  <c r="C851" i="7"/>
  <c r="B851" i="7"/>
  <c r="Q850" i="7"/>
  <c r="P850" i="7"/>
  <c r="O850" i="7"/>
  <c r="N850" i="7"/>
  <c r="E850" i="7"/>
  <c r="D850" i="7"/>
  <c r="C850" i="7"/>
  <c r="B850" i="7"/>
  <c r="Q849" i="7"/>
  <c r="P849" i="7"/>
  <c r="O849" i="7"/>
  <c r="N849" i="7"/>
  <c r="E849" i="7"/>
  <c r="D849" i="7"/>
  <c r="C849" i="7"/>
  <c r="B849" i="7"/>
  <c r="Q848" i="7"/>
  <c r="P848" i="7"/>
  <c r="O848" i="7"/>
  <c r="N848" i="7"/>
  <c r="E848" i="7"/>
  <c r="D848" i="7"/>
  <c r="C848" i="7"/>
  <c r="B848" i="7"/>
  <c r="Q847" i="7"/>
  <c r="P847" i="7"/>
  <c r="O847" i="7"/>
  <c r="N847" i="7"/>
  <c r="E847" i="7"/>
  <c r="D847" i="7"/>
  <c r="C847" i="7"/>
  <c r="B847" i="7"/>
  <c r="Q846" i="7"/>
  <c r="P846" i="7"/>
  <c r="O846" i="7"/>
  <c r="N846" i="7"/>
  <c r="E846" i="7"/>
  <c r="D846" i="7"/>
  <c r="C846" i="7"/>
  <c r="B846" i="7"/>
  <c r="Q845" i="7"/>
  <c r="P845" i="7"/>
  <c r="O845" i="7"/>
  <c r="N845" i="7"/>
  <c r="E845" i="7"/>
  <c r="D845" i="7"/>
  <c r="C845" i="7"/>
  <c r="B845" i="7"/>
  <c r="W844" i="7"/>
  <c r="V844" i="7"/>
  <c r="U844" i="7"/>
  <c r="T844" i="7"/>
  <c r="Q844" i="7"/>
  <c r="P844" i="7"/>
  <c r="O844" i="7"/>
  <c r="N844" i="7"/>
  <c r="E844" i="7"/>
  <c r="D844" i="7"/>
  <c r="C844" i="7"/>
  <c r="B844" i="7"/>
  <c r="W843" i="7"/>
  <c r="V843" i="7"/>
  <c r="U843" i="7"/>
  <c r="T843" i="7"/>
  <c r="Q843" i="7"/>
  <c r="P843" i="7"/>
  <c r="O843" i="7"/>
  <c r="N843" i="7"/>
  <c r="E843" i="7"/>
  <c r="D843" i="7"/>
  <c r="C843" i="7"/>
  <c r="B843" i="7"/>
  <c r="W842" i="7"/>
  <c r="V842" i="7"/>
  <c r="U842" i="7"/>
  <c r="T842" i="7"/>
  <c r="Q842" i="7"/>
  <c r="P842" i="7"/>
  <c r="O842" i="7"/>
  <c r="N842" i="7"/>
  <c r="E842" i="7"/>
  <c r="D842" i="7"/>
  <c r="C842" i="7"/>
  <c r="B842" i="7"/>
  <c r="W841" i="7"/>
  <c r="V841" i="7"/>
  <c r="U841" i="7"/>
  <c r="T841" i="7"/>
  <c r="Q841" i="7"/>
  <c r="P841" i="7"/>
  <c r="O841" i="7"/>
  <c r="N841" i="7"/>
  <c r="E841" i="7"/>
  <c r="D841" i="7"/>
  <c r="C841" i="7"/>
  <c r="B841" i="7"/>
  <c r="W840" i="7"/>
  <c r="V840" i="7"/>
  <c r="U840" i="7"/>
  <c r="T840" i="7"/>
  <c r="Q840" i="7"/>
  <c r="P840" i="7"/>
  <c r="O840" i="7"/>
  <c r="N840" i="7"/>
  <c r="E840" i="7"/>
  <c r="D840" i="7"/>
  <c r="C840" i="7"/>
  <c r="B840" i="7"/>
  <c r="W839" i="7"/>
  <c r="V839" i="7"/>
  <c r="U839" i="7"/>
  <c r="T839" i="7"/>
  <c r="Q839" i="7"/>
  <c r="P839" i="7"/>
  <c r="O839" i="7"/>
  <c r="N839" i="7"/>
  <c r="E839" i="7"/>
  <c r="D839" i="7"/>
  <c r="C839" i="7"/>
  <c r="B839" i="7"/>
  <c r="W838" i="7"/>
  <c r="V838" i="7"/>
  <c r="U838" i="7"/>
  <c r="T838" i="7"/>
  <c r="Q838" i="7"/>
  <c r="P838" i="7"/>
  <c r="O838" i="7"/>
  <c r="N838" i="7"/>
  <c r="E838" i="7"/>
  <c r="D838" i="7"/>
  <c r="C838" i="7"/>
  <c r="B838" i="7"/>
  <c r="W837" i="7"/>
  <c r="V837" i="7"/>
  <c r="U837" i="7"/>
  <c r="T837" i="7"/>
  <c r="Q837" i="7"/>
  <c r="P837" i="7"/>
  <c r="O837" i="7"/>
  <c r="N837" i="7"/>
  <c r="E837" i="7"/>
  <c r="D837" i="7"/>
  <c r="C837" i="7"/>
  <c r="B837" i="7"/>
  <c r="W836" i="7"/>
  <c r="V836" i="7"/>
  <c r="U836" i="7"/>
  <c r="T836" i="7"/>
  <c r="Q836" i="7"/>
  <c r="P836" i="7"/>
  <c r="O836" i="7"/>
  <c r="N836" i="7"/>
  <c r="E836" i="7"/>
  <c r="D836" i="7"/>
  <c r="C836" i="7"/>
  <c r="B836" i="7"/>
  <c r="W835" i="7"/>
  <c r="V835" i="7"/>
  <c r="U835" i="7"/>
  <c r="T835" i="7"/>
  <c r="Q835" i="7"/>
  <c r="P835" i="7"/>
  <c r="O835" i="7"/>
  <c r="N835" i="7"/>
  <c r="E835" i="7"/>
  <c r="D835" i="7"/>
  <c r="C835" i="7"/>
  <c r="B835" i="7"/>
  <c r="W834" i="7"/>
  <c r="V834" i="7"/>
  <c r="U834" i="7"/>
  <c r="T834" i="7"/>
  <c r="Q834" i="7"/>
  <c r="P834" i="7"/>
  <c r="O834" i="7"/>
  <c r="N834" i="7"/>
  <c r="E834" i="7"/>
  <c r="D834" i="7"/>
  <c r="C834" i="7"/>
  <c r="B834" i="7"/>
  <c r="W833" i="7"/>
  <c r="V833" i="7"/>
  <c r="U833" i="7"/>
  <c r="T833" i="7"/>
  <c r="Q833" i="7"/>
  <c r="P833" i="7"/>
  <c r="O833" i="7"/>
  <c r="N833" i="7"/>
  <c r="E833" i="7"/>
  <c r="D833" i="7"/>
  <c r="C833" i="7"/>
  <c r="B833" i="7"/>
  <c r="W832" i="7"/>
  <c r="V832" i="7"/>
  <c r="U832" i="7"/>
  <c r="T832" i="7"/>
  <c r="Q832" i="7"/>
  <c r="P832" i="7"/>
  <c r="O832" i="7"/>
  <c r="N832" i="7"/>
  <c r="E832" i="7"/>
  <c r="D832" i="7"/>
  <c r="C832" i="7"/>
  <c r="B832" i="7"/>
  <c r="W831" i="7"/>
  <c r="V831" i="7"/>
  <c r="U831" i="7"/>
  <c r="T831" i="7"/>
  <c r="Q831" i="7"/>
  <c r="P831" i="7"/>
  <c r="O831" i="7"/>
  <c r="N831" i="7"/>
  <c r="E831" i="7"/>
  <c r="D831" i="7"/>
  <c r="C831" i="7"/>
  <c r="B831" i="7"/>
  <c r="W830" i="7"/>
  <c r="V830" i="7"/>
  <c r="U830" i="7"/>
  <c r="T830" i="7"/>
  <c r="Q830" i="7"/>
  <c r="P830" i="7"/>
  <c r="O830" i="7"/>
  <c r="N830" i="7"/>
  <c r="E830" i="7"/>
  <c r="D830" i="7"/>
  <c r="C830" i="7"/>
  <c r="B830" i="7"/>
  <c r="W829" i="7"/>
  <c r="V829" i="7"/>
  <c r="U829" i="7"/>
  <c r="T829" i="7"/>
  <c r="Q829" i="7"/>
  <c r="P829" i="7"/>
  <c r="O829" i="7"/>
  <c r="N829" i="7"/>
  <c r="E829" i="7"/>
  <c r="D829" i="7"/>
  <c r="C829" i="7"/>
  <c r="B829" i="7"/>
  <c r="W828" i="7"/>
  <c r="V828" i="7"/>
  <c r="U828" i="7"/>
  <c r="T828" i="7"/>
  <c r="Q828" i="7"/>
  <c r="P828" i="7"/>
  <c r="O828" i="7"/>
  <c r="N828" i="7"/>
  <c r="E828" i="7"/>
  <c r="D828" i="7"/>
  <c r="C828" i="7"/>
  <c r="B828" i="7"/>
  <c r="W827" i="7"/>
  <c r="V827" i="7"/>
  <c r="U827" i="7"/>
  <c r="T827" i="7"/>
  <c r="Q827" i="7"/>
  <c r="P827" i="7"/>
  <c r="O827" i="7"/>
  <c r="N827" i="7"/>
  <c r="E827" i="7"/>
  <c r="D827" i="7"/>
  <c r="C827" i="7"/>
  <c r="B827" i="7"/>
  <c r="W826" i="7"/>
  <c r="V826" i="7"/>
  <c r="U826" i="7"/>
  <c r="T826" i="7"/>
  <c r="Q826" i="7"/>
  <c r="P826" i="7"/>
  <c r="O826" i="7"/>
  <c r="N826" i="7"/>
  <c r="E826" i="7"/>
  <c r="D826" i="7"/>
  <c r="C826" i="7"/>
  <c r="B826" i="7"/>
  <c r="W825" i="7"/>
  <c r="V825" i="7"/>
  <c r="U825" i="7"/>
  <c r="T825" i="7"/>
  <c r="Q825" i="7"/>
  <c r="P825" i="7"/>
  <c r="O825" i="7"/>
  <c r="N825" i="7"/>
  <c r="E825" i="7"/>
  <c r="D825" i="7"/>
  <c r="C825" i="7"/>
  <c r="B825" i="7"/>
  <c r="W824" i="7"/>
  <c r="V824" i="7"/>
  <c r="U824" i="7"/>
  <c r="T824" i="7"/>
  <c r="Q824" i="7"/>
  <c r="P824" i="7"/>
  <c r="O824" i="7"/>
  <c r="N824" i="7"/>
  <c r="E824" i="7"/>
  <c r="D824" i="7"/>
  <c r="C824" i="7"/>
  <c r="B824" i="7"/>
  <c r="W823" i="7"/>
  <c r="V823" i="7"/>
  <c r="U823" i="7"/>
  <c r="T823" i="7"/>
  <c r="Q823" i="7"/>
  <c r="P823" i="7"/>
  <c r="O823" i="7"/>
  <c r="N823" i="7"/>
  <c r="E823" i="7"/>
  <c r="D823" i="7"/>
  <c r="C823" i="7"/>
  <c r="B823" i="7"/>
  <c r="W822" i="7"/>
  <c r="V822" i="7"/>
  <c r="U822" i="7"/>
  <c r="T822" i="7"/>
  <c r="Q822" i="7"/>
  <c r="P822" i="7"/>
  <c r="O822" i="7"/>
  <c r="N822" i="7"/>
  <c r="E822" i="7"/>
  <c r="D822" i="7"/>
  <c r="C822" i="7"/>
  <c r="B822" i="7"/>
  <c r="W821" i="7"/>
  <c r="V821" i="7"/>
  <c r="U821" i="7"/>
  <c r="T821" i="7"/>
  <c r="Q821" i="7"/>
  <c r="P821" i="7"/>
  <c r="O821" i="7"/>
  <c r="N821" i="7"/>
  <c r="E821" i="7"/>
  <c r="D821" i="7"/>
  <c r="C821" i="7"/>
  <c r="B821" i="7"/>
  <c r="W820" i="7"/>
  <c r="V820" i="7"/>
  <c r="U820" i="7"/>
  <c r="T820" i="7"/>
  <c r="Q820" i="7"/>
  <c r="P820" i="7"/>
  <c r="O820" i="7"/>
  <c r="N820" i="7"/>
  <c r="E820" i="7"/>
  <c r="D820" i="7"/>
  <c r="C820" i="7"/>
  <c r="B820" i="7"/>
  <c r="W819" i="7"/>
  <c r="V819" i="7"/>
  <c r="U819" i="7"/>
  <c r="T819" i="7"/>
  <c r="Q819" i="7"/>
  <c r="P819" i="7"/>
  <c r="O819" i="7"/>
  <c r="N819" i="7"/>
  <c r="E819" i="7"/>
  <c r="D819" i="7"/>
  <c r="C819" i="7"/>
  <c r="B819" i="7"/>
  <c r="W818" i="7"/>
  <c r="V818" i="7"/>
  <c r="U818" i="7"/>
  <c r="T818" i="7"/>
  <c r="Q818" i="7"/>
  <c r="P818" i="7"/>
  <c r="O818" i="7"/>
  <c r="N818" i="7"/>
  <c r="E818" i="7"/>
  <c r="D818" i="7"/>
  <c r="C818" i="7"/>
  <c r="B818" i="7"/>
  <c r="W817" i="7"/>
  <c r="V817" i="7"/>
  <c r="U817" i="7"/>
  <c r="T817" i="7"/>
  <c r="Q817" i="7"/>
  <c r="P817" i="7"/>
  <c r="O817" i="7"/>
  <c r="N817" i="7"/>
  <c r="E817" i="7"/>
  <c r="D817" i="7"/>
  <c r="C817" i="7"/>
  <c r="B817" i="7"/>
  <c r="W816" i="7"/>
  <c r="V816" i="7"/>
  <c r="U816" i="7"/>
  <c r="T816" i="7"/>
  <c r="Q816" i="7"/>
  <c r="P816" i="7"/>
  <c r="O816" i="7"/>
  <c r="N816" i="7"/>
  <c r="E816" i="7"/>
  <c r="D816" i="7"/>
  <c r="C816" i="7"/>
  <c r="B816" i="7"/>
  <c r="W815" i="7"/>
  <c r="V815" i="7"/>
  <c r="U815" i="7"/>
  <c r="T815" i="7"/>
  <c r="Q815" i="7"/>
  <c r="P815" i="7"/>
  <c r="O815" i="7"/>
  <c r="N815" i="7"/>
  <c r="E815" i="7"/>
  <c r="D815" i="7"/>
  <c r="C815" i="7"/>
  <c r="B815" i="7"/>
  <c r="W814" i="7"/>
  <c r="V814" i="7"/>
  <c r="U814" i="7"/>
  <c r="T814" i="7"/>
  <c r="Q814" i="7"/>
  <c r="P814" i="7"/>
  <c r="O814" i="7"/>
  <c r="N814" i="7"/>
  <c r="E814" i="7"/>
  <c r="D814" i="7"/>
  <c r="C814" i="7"/>
  <c r="B814" i="7"/>
  <c r="W813" i="7"/>
  <c r="V813" i="7"/>
  <c r="U813" i="7"/>
  <c r="T813" i="7"/>
  <c r="Q813" i="7"/>
  <c r="P813" i="7"/>
  <c r="O813" i="7"/>
  <c r="N813" i="7"/>
  <c r="E813" i="7"/>
  <c r="D813" i="7"/>
  <c r="C813" i="7"/>
  <c r="B813" i="7"/>
  <c r="W812" i="7"/>
  <c r="V812" i="7"/>
  <c r="U812" i="7"/>
  <c r="T812" i="7"/>
  <c r="Q812" i="7"/>
  <c r="P812" i="7"/>
  <c r="O812" i="7"/>
  <c r="N812" i="7"/>
  <c r="E812" i="7"/>
  <c r="D812" i="7"/>
  <c r="C812" i="7"/>
  <c r="B812" i="7"/>
  <c r="W811" i="7"/>
  <c r="V811" i="7"/>
  <c r="U811" i="7"/>
  <c r="T811" i="7"/>
  <c r="Q811" i="7"/>
  <c r="P811" i="7"/>
  <c r="O811" i="7"/>
  <c r="N811" i="7"/>
  <c r="E811" i="7"/>
  <c r="D811" i="7"/>
  <c r="C811" i="7"/>
  <c r="B811" i="7"/>
  <c r="W810" i="7"/>
  <c r="V810" i="7"/>
  <c r="U810" i="7"/>
  <c r="T810" i="7"/>
  <c r="Q810" i="7"/>
  <c r="P810" i="7"/>
  <c r="O810" i="7"/>
  <c r="N810" i="7"/>
  <c r="E810" i="7"/>
  <c r="D810" i="7"/>
  <c r="C810" i="7"/>
  <c r="B810" i="7"/>
  <c r="W809" i="7"/>
  <c r="V809" i="7"/>
  <c r="U809" i="7"/>
  <c r="T809" i="7"/>
  <c r="Q809" i="7"/>
  <c r="P809" i="7"/>
  <c r="O809" i="7"/>
  <c r="N809" i="7"/>
  <c r="E809" i="7"/>
  <c r="D809" i="7"/>
  <c r="C809" i="7"/>
  <c r="B809" i="7"/>
  <c r="W808" i="7"/>
  <c r="V808" i="7"/>
  <c r="U808" i="7"/>
  <c r="T808" i="7"/>
  <c r="Q808" i="7"/>
  <c r="P808" i="7"/>
  <c r="O808" i="7"/>
  <c r="N808" i="7"/>
  <c r="E808" i="7"/>
  <c r="D808" i="7"/>
  <c r="C808" i="7"/>
  <c r="B808" i="7"/>
  <c r="W807" i="7"/>
  <c r="V807" i="7"/>
  <c r="U807" i="7"/>
  <c r="T807" i="7"/>
  <c r="Q807" i="7"/>
  <c r="P807" i="7"/>
  <c r="O807" i="7"/>
  <c r="N807" i="7"/>
  <c r="E807" i="7"/>
  <c r="D807" i="7"/>
  <c r="C807" i="7"/>
  <c r="B807" i="7"/>
  <c r="W806" i="7"/>
  <c r="V806" i="7"/>
  <c r="U806" i="7"/>
  <c r="T806" i="7"/>
  <c r="Q806" i="7"/>
  <c r="P806" i="7"/>
  <c r="O806" i="7"/>
  <c r="N806" i="7"/>
  <c r="E806" i="7"/>
  <c r="D806" i="7"/>
  <c r="C806" i="7"/>
  <c r="B806" i="7"/>
  <c r="W805" i="7"/>
  <c r="V805" i="7"/>
  <c r="U805" i="7"/>
  <c r="T805" i="7"/>
  <c r="Q805" i="7"/>
  <c r="P805" i="7"/>
  <c r="O805" i="7"/>
  <c r="N805" i="7"/>
  <c r="E805" i="7"/>
  <c r="D805" i="7"/>
  <c r="C805" i="7"/>
  <c r="B805" i="7"/>
  <c r="W804" i="7"/>
  <c r="V804" i="7"/>
  <c r="U804" i="7"/>
  <c r="T804" i="7"/>
  <c r="Q804" i="7"/>
  <c r="P804" i="7"/>
  <c r="O804" i="7"/>
  <c r="N804" i="7"/>
  <c r="E804" i="7"/>
  <c r="D804" i="7"/>
  <c r="C804" i="7"/>
  <c r="B804" i="7"/>
  <c r="W803" i="7"/>
  <c r="V803" i="7"/>
  <c r="U803" i="7"/>
  <c r="T803" i="7"/>
  <c r="Q803" i="7"/>
  <c r="P803" i="7"/>
  <c r="O803" i="7"/>
  <c r="N803" i="7"/>
  <c r="E803" i="7"/>
  <c r="D803" i="7"/>
  <c r="C803" i="7"/>
  <c r="B803" i="7"/>
  <c r="W802" i="7"/>
  <c r="V802" i="7"/>
  <c r="U802" i="7"/>
  <c r="T802" i="7"/>
  <c r="Q802" i="7"/>
  <c r="P802" i="7"/>
  <c r="O802" i="7"/>
  <c r="N802" i="7"/>
  <c r="E802" i="7"/>
  <c r="D802" i="7"/>
  <c r="C802" i="7"/>
  <c r="B802" i="7"/>
  <c r="W801" i="7"/>
  <c r="V801" i="7"/>
  <c r="U801" i="7"/>
  <c r="T801" i="7"/>
  <c r="Q801" i="7"/>
  <c r="P801" i="7"/>
  <c r="O801" i="7"/>
  <c r="N801" i="7"/>
  <c r="E801" i="7"/>
  <c r="D801" i="7"/>
  <c r="C801" i="7"/>
  <c r="B801" i="7"/>
  <c r="W800" i="7"/>
  <c r="V800" i="7"/>
  <c r="U800" i="7"/>
  <c r="T800" i="7"/>
  <c r="Q800" i="7"/>
  <c r="P800" i="7"/>
  <c r="O800" i="7"/>
  <c r="N800" i="7"/>
  <c r="E800" i="7"/>
  <c r="D800" i="7"/>
  <c r="C800" i="7"/>
  <c r="B800" i="7"/>
  <c r="W799" i="7"/>
  <c r="V799" i="7"/>
  <c r="U799" i="7"/>
  <c r="T799" i="7"/>
  <c r="Q799" i="7"/>
  <c r="P799" i="7"/>
  <c r="O799" i="7"/>
  <c r="N799" i="7"/>
  <c r="E799" i="7"/>
  <c r="D799" i="7"/>
  <c r="C799" i="7"/>
  <c r="B799" i="7"/>
  <c r="W798" i="7"/>
  <c r="V798" i="7"/>
  <c r="U798" i="7"/>
  <c r="T798" i="7"/>
  <c r="Q798" i="7"/>
  <c r="P798" i="7"/>
  <c r="O798" i="7"/>
  <c r="N798" i="7"/>
  <c r="E798" i="7"/>
  <c r="D798" i="7"/>
  <c r="C798" i="7"/>
  <c r="B798" i="7"/>
  <c r="W797" i="7"/>
  <c r="V797" i="7"/>
  <c r="U797" i="7"/>
  <c r="T797" i="7"/>
  <c r="Q797" i="7"/>
  <c r="P797" i="7"/>
  <c r="O797" i="7"/>
  <c r="N797" i="7"/>
  <c r="E797" i="7"/>
  <c r="D797" i="7"/>
  <c r="C797" i="7"/>
  <c r="B797" i="7"/>
  <c r="W796" i="7"/>
  <c r="V796" i="7"/>
  <c r="U796" i="7"/>
  <c r="T796" i="7"/>
  <c r="Q796" i="7"/>
  <c r="P796" i="7"/>
  <c r="O796" i="7"/>
  <c r="N796" i="7"/>
  <c r="E796" i="7"/>
  <c r="D796" i="7"/>
  <c r="C796" i="7"/>
  <c r="B796" i="7"/>
  <c r="W795" i="7"/>
  <c r="V795" i="7"/>
  <c r="U795" i="7"/>
  <c r="T795" i="7"/>
  <c r="Q795" i="7"/>
  <c r="P795" i="7"/>
  <c r="O795" i="7"/>
  <c r="N795" i="7"/>
  <c r="E795" i="7"/>
  <c r="D795" i="7"/>
  <c r="C795" i="7"/>
  <c r="B795" i="7"/>
  <c r="W794" i="7"/>
  <c r="V794" i="7"/>
  <c r="U794" i="7"/>
  <c r="T794" i="7"/>
  <c r="Q794" i="7"/>
  <c r="P794" i="7"/>
  <c r="O794" i="7"/>
  <c r="N794" i="7"/>
  <c r="E794" i="7"/>
  <c r="D794" i="7"/>
  <c r="C794" i="7"/>
  <c r="B794" i="7"/>
  <c r="W793" i="7"/>
  <c r="V793" i="7"/>
  <c r="U793" i="7"/>
  <c r="T793" i="7"/>
  <c r="Q793" i="7"/>
  <c r="P793" i="7"/>
  <c r="O793" i="7"/>
  <c r="N793" i="7"/>
  <c r="E793" i="7"/>
  <c r="D793" i="7"/>
  <c r="C793" i="7"/>
  <c r="B793" i="7"/>
  <c r="W792" i="7"/>
  <c r="V792" i="7"/>
  <c r="U792" i="7"/>
  <c r="T792" i="7"/>
  <c r="Q792" i="7"/>
  <c r="P792" i="7"/>
  <c r="O792" i="7"/>
  <c r="N792" i="7"/>
  <c r="E792" i="7"/>
  <c r="D792" i="7"/>
  <c r="C792" i="7"/>
  <c r="B792" i="7"/>
  <c r="W791" i="7"/>
  <c r="V791" i="7"/>
  <c r="U791" i="7"/>
  <c r="T791" i="7"/>
  <c r="Q791" i="7"/>
  <c r="P791" i="7"/>
  <c r="O791" i="7"/>
  <c r="N791" i="7"/>
  <c r="E791" i="7"/>
  <c r="D791" i="7"/>
  <c r="C791" i="7"/>
  <c r="B791" i="7"/>
  <c r="W790" i="7"/>
  <c r="V790" i="7"/>
  <c r="U790" i="7"/>
  <c r="T790" i="7"/>
  <c r="Q790" i="7"/>
  <c r="P790" i="7"/>
  <c r="O790" i="7"/>
  <c r="N790" i="7"/>
  <c r="E790" i="7"/>
  <c r="D790" i="7"/>
  <c r="C790" i="7"/>
  <c r="B790" i="7"/>
  <c r="W789" i="7"/>
  <c r="V789" i="7"/>
  <c r="U789" i="7"/>
  <c r="T789" i="7"/>
  <c r="Q789" i="7"/>
  <c r="P789" i="7"/>
  <c r="O789" i="7"/>
  <c r="N789" i="7"/>
  <c r="E789" i="7"/>
  <c r="D789" i="7"/>
  <c r="C789" i="7"/>
  <c r="B789" i="7"/>
  <c r="W788" i="7"/>
  <c r="V788" i="7"/>
  <c r="U788" i="7"/>
  <c r="T788" i="7"/>
  <c r="Q788" i="7"/>
  <c r="P788" i="7"/>
  <c r="O788" i="7"/>
  <c r="N788" i="7"/>
  <c r="E788" i="7"/>
  <c r="D788" i="7"/>
  <c r="C788" i="7"/>
  <c r="B788" i="7"/>
  <c r="V787" i="7"/>
  <c r="U787" i="7"/>
  <c r="T787" i="7"/>
  <c r="Q787" i="7"/>
  <c r="P787" i="7"/>
  <c r="O787" i="7"/>
  <c r="N787" i="7"/>
  <c r="E787" i="7"/>
  <c r="D787" i="7"/>
  <c r="C787" i="7"/>
  <c r="B787" i="7"/>
  <c r="V786" i="7"/>
  <c r="U786" i="7"/>
  <c r="T786" i="7"/>
  <c r="Q786" i="7"/>
  <c r="P786" i="7"/>
  <c r="O786" i="7"/>
  <c r="N786" i="7"/>
  <c r="E786" i="7"/>
  <c r="D786" i="7"/>
  <c r="C786" i="7"/>
  <c r="B786" i="7"/>
  <c r="V785" i="7"/>
  <c r="U785" i="7"/>
  <c r="T785" i="7"/>
  <c r="Q785" i="7"/>
  <c r="P785" i="7"/>
  <c r="O785" i="7"/>
  <c r="N785" i="7"/>
  <c r="E785" i="7"/>
  <c r="D785" i="7"/>
  <c r="C785" i="7"/>
  <c r="B785" i="7"/>
  <c r="V784" i="7"/>
  <c r="U784" i="7"/>
  <c r="T784" i="7"/>
  <c r="Q784" i="7"/>
  <c r="P784" i="7"/>
  <c r="O784" i="7"/>
  <c r="N784" i="7"/>
  <c r="E784" i="7"/>
  <c r="D784" i="7"/>
  <c r="C784" i="7"/>
  <c r="B784" i="7"/>
  <c r="V783" i="7"/>
  <c r="U783" i="7"/>
  <c r="T783" i="7"/>
  <c r="Q783" i="7"/>
  <c r="P783" i="7"/>
  <c r="O783" i="7"/>
  <c r="N783" i="7"/>
  <c r="E783" i="7"/>
  <c r="D783" i="7"/>
  <c r="C783" i="7"/>
  <c r="B783" i="7"/>
  <c r="V782" i="7"/>
  <c r="U782" i="7"/>
  <c r="T782" i="7"/>
  <c r="Q782" i="7"/>
  <c r="P782" i="7"/>
  <c r="O782" i="7"/>
  <c r="N782" i="7"/>
  <c r="E782" i="7"/>
  <c r="D782" i="7"/>
  <c r="C782" i="7"/>
  <c r="B782" i="7"/>
  <c r="V781" i="7"/>
  <c r="U781" i="7"/>
  <c r="T781" i="7"/>
  <c r="Q781" i="7"/>
  <c r="P781" i="7"/>
  <c r="O781" i="7"/>
  <c r="N781" i="7"/>
  <c r="E781" i="7"/>
  <c r="D781" i="7"/>
  <c r="C781" i="7"/>
  <c r="B781" i="7"/>
  <c r="V780" i="7"/>
  <c r="U780" i="7"/>
  <c r="T780" i="7"/>
  <c r="Q780" i="7"/>
  <c r="P780" i="7"/>
  <c r="O780" i="7"/>
  <c r="N780" i="7"/>
  <c r="E780" i="7"/>
  <c r="D780" i="7"/>
  <c r="C780" i="7"/>
  <c r="B780" i="7"/>
  <c r="V779" i="7"/>
  <c r="U779" i="7"/>
  <c r="T779" i="7"/>
  <c r="Q779" i="7"/>
  <c r="P779" i="7"/>
  <c r="O779" i="7"/>
  <c r="N779" i="7"/>
  <c r="E779" i="7"/>
  <c r="D779" i="7"/>
  <c r="C779" i="7"/>
  <c r="B779" i="7"/>
  <c r="V778" i="7"/>
  <c r="U778" i="7"/>
  <c r="T778" i="7"/>
  <c r="Q778" i="7"/>
  <c r="P778" i="7"/>
  <c r="O778" i="7"/>
  <c r="N778" i="7"/>
  <c r="E778" i="7"/>
  <c r="D778" i="7"/>
  <c r="C778" i="7"/>
  <c r="B778" i="7"/>
  <c r="V777" i="7"/>
  <c r="U777" i="7"/>
  <c r="T777" i="7"/>
  <c r="Q777" i="7"/>
  <c r="P777" i="7"/>
  <c r="O777" i="7"/>
  <c r="N777" i="7"/>
  <c r="E777" i="7"/>
  <c r="D777" i="7"/>
  <c r="C777" i="7"/>
  <c r="B777" i="7"/>
  <c r="V776" i="7"/>
  <c r="U776" i="7"/>
  <c r="T776" i="7"/>
  <c r="Q776" i="7"/>
  <c r="P776" i="7"/>
  <c r="O776" i="7"/>
  <c r="N776" i="7"/>
  <c r="E776" i="7"/>
  <c r="D776" i="7"/>
  <c r="C776" i="7"/>
  <c r="B776" i="7"/>
  <c r="V775" i="7"/>
  <c r="U775" i="7"/>
  <c r="T775" i="7"/>
  <c r="Q775" i="7"/>
  <c r="P775" i="7"/>
  <c r="O775" i="7"/>
  <c r="N775" i="7"/>
  <c r="E775" i="7"/>
  <c r="D775" i="7"/>
  <c r="C775" i="7"/>
  <c r="B775" i="7"/>
  <c r="V774" i="7"/>
  <c r="U774" i="7"/>
  <c r="T774" i="7"/>
  <c r="Q774" i="7"/>
  <c r="P774" i="7"/>
  <c r="O774" i="7"/>
  <c r="N774" i="7"/>
  <c r="E774" i="7"/>
  <c r="D774" i="7"/>
  <c r="C774" i="7"/>
  <c r="B774" i="7"/>
  <c r="V773" i="7"/>
  <c r="U773" i="7"/>
  <c r="T773" i="7"/>
  <c r="Q773" i="7"/>
  <c r="P773" i="7"/>
  <c r="O773" i="7"/>
  <c r="N773" i="7"/>
  <c r="E773" i="7"/>
  <c r="D773" i="7"/>
  <c r="C773" i="7"/>
  <c r="B773" i="7"/>
  <c r="V772" i="7"/>
  <c r="U772" i="7"/>
  <c r="T772" i="7"/>
  <c r="Q772" i="7"/>
  <c r="P772" i="7"/>
  <c r="O772" i="7"/>
  <c r="N772" i="7"/>
  <c r="E772" i="7"/>
  <c r="D772" i="7"/>
  <c r="C772" i="7"/>
  <c r="B772" i="7"/>
  <c r="V771" i="7"/>
  <c r="U771" i="7"/>
  <c r="T771" i="7"/>
  <c r="Q771" i="7"/>
  <c r="P771" i="7"/>
  <c r="O771" i="7"/>
  <c r="N771" i="7"/>
  <c r="E771" i="7"/>
  <c r="D771" i="7"/>
  <c r="C771" i="7"/>
  <c r="B771" i="7"/>
  <c r="V770" i="7"/>
  <c r="U770" i="7"/>
  <c r="T770" i="7"/>
  <c r="Q770" i="7"/>
  <c r="P770" i="7"/>
  <c r="O770" i="7"/>
  <c r="N770" i="7"/>
  <c r="E770" i="7"/>
  <c r="D770" i="7"/>
  <c r="C770" i="7"/>
  <c r="B770" i="7"/>
  <c r="V769" i="7"/>
  <c r="U769" i="7"/>
  <c r="T769" i="7"/>
  <c r="Q769" i="7"/>
  <c r="P769" i="7"/>
  <c r="O769" i="7"/>
  <c r="N769" i="7"/>
  <c r="E769" i="7"/>
  <c r="D769" i="7"/>
  <c r="C769" i="7"/>
  <c r="B769" i="7"/>
  <c r="V768" i="7"/>
  <c r="U768" i="7"/>
  <c r="T768" i="7"/>
  <c r="Q768" i="7"/>
  <c r="P768" i="7"/>
  <c r="O768" i="7"/>
  <c r="N768" i="7"/>
  <c r="E768" i="7"/>
  <c r="D768" i="7"/>
  <c r="C768" i="7"/>
  <c r="B768" i="7"/>
  <c r="V767" i="7"/>
  <c r="U767" i="7"/>
  <c r="T767" i="7"/>
  <c r="Q767" i="7"/>
  <c r="P767" i="7"/>
  <c r="O767" i="7"/>
  <c r="N767" i="7"/>
  <c r="E767" i="7"/>
  <c r="D767" i="7"/>
  <c r="C767" i="7"/>
  <c r="B767" i="7"/>
  <c r="V766" i="7"/>
  <c r="U766" i="7"/>
  <c r="T766" i="7"/>
  <c r="Q766" i="7"/>
  <c r="P766" i="7"/>
  <c r="O766" i="7"/>
  <c r="N766" i="7"/>
  <c r="E766" i="7"/>
  <c r="D766" i="7"/>
  <c r="C766" i="7"/>
  <c r="B766" i="7"/>
  <c r="V765" i="7"/>
  <c r="U765" i="7"/>
  <c r="T765" i="7"/>
  <c r="Q765" i="7"/>
  <c r="P765" i="7"/>
  <c r="O765" i="7"/>
  <c r="N765" i="7"/>
  <c r="E765" i="7"/>
  <c r="D765" i="7"/>
  <c r="C765" i="7"/>
  <c r="B765" i="7"/>
  <c r="V764" i="7"/>
  <c r="U764" i="7"/>
  <c r="T764" i="7"/>
  <c r="Q764" i="7"/>
  <c r="P764" i="7"/>
  <c r="O764" i="7"/>
  <c r="N764" i="7"/>
  <c r="E764" i="7"/>
  <c r="D764" i="7"/>
  <c r="C764" i="7"/>
  <c r="B764" i="7"/>
  <c r="V763" i="7"/>
  <c r="U763" i="7"/>
  <c r="T763" i="7"/>
  <c r="Q763" i="7"/>
  <c r="P763" i="7"/>
  <c r="O763" i="7"/>
  <c r="N763" i="7"/>
  <c r="E763" i="7"/>
  <c r="D763" i="7"/>
  <c r="C763" i="7"/>
  <c r="B763" i="7"/>
  <c r="V762" i="7"/>
  <c r="U762" i="7"/>
  <c r="T762" i="7"/>
  <c r="Q762" i="7"/>
  <c r="P762" i="7"/>
  <c r="O762" i="7"/>
  <c r="N762" i="7"/>
  <c r="E762" i="7"/>
  <c r="D762" i="7"/>
  <c r="C762" i="7"/>
  <c r="B762" i="7"/>
  <c r="V761" i="7"/>
  <c r="U761" i="7"/>
  <c r="T761" i="7"/>
  <c r="Q761" i="7"/>
  <c r="P761" i="7"/>
  <c r="O761" i="7"/>
  <c r="N761" i="7"/>
  <c r="E761" i="7"/>
  <c r="D761" i="7"/>
  <c r="C761" i="7"/>
  <c r="B761" i="7"/>
  <c r="V760" i="7"/>
  <c r="U760" i="7"/>
  <c r="T760" i="7"/>
  <c r="Q760" i="7"/>
  <c r="P760" i="7"/>
  <c r="O760" i="7"/>
  <c r="N760" i="7"/>
  <c r="E760" i="7"/>
  <c r="D760" i="7"/>
  <c r="C760" i="7"/>
  <c r="B760" i="7"/>
  <c r="V759" i="7"/>
  <c r="U759" i="7"/>
  <c r="T759" i="7"/>
  <c r="Q759" i="7"/>
  <c r="P759" i="7"/>
  <c r="O759" i="7"/>
  <c r="N759" i="7"/>
  <c r="E759" i="7"/>
  <c r="D759" i="7"/>
  <c r="C759" i="7"/>
  <c r="B759" i="7"/>
  <c r="V758" i="7"/>
  <c r="U758" i="7"/>
  <c r="T758" i="7"/>
  <c r="Q758" i="7"/>
  <c r="P758" i="7"/>
  <c r="O758" i="7"/>
  <c r="N758" i="7"/>
  <c r="E758" i="7"/>
  <c r="D758" i="7"/>
  <c r="C758" i="7"/>
  <c r="B758" i="7"/>
  <c r="V757" i="7"/>
  <c r="U757" i="7"/>
  <c r="T757" i="7"/>
  <c r="Q757" i="7"/>
  <c r="P757" i="7"/>
  <c r="O757" i="7"/>
  <c r="N757" i="7"/>
  <c r="E757" i="7"/>
  <c r="D757" i="7"/>
  <c r="C757" i="7"/>
  <c r="B757" i="7"/>
  <c r="V756" i="7"/>
  <c r="U756" i="7"/>
  <c r="T756" i="7"/>
  <c r="Q756" i="7"/>
  <c r="P756" i="7"/>
  <c r="O756" i="7"/>
  <c r="N756" i="7"/>
  <c r="E756" i="7"/>
  <c r="D756" i="7"/>
  <c r="C756" i="7"/>
  <c r="B756" i="7"/>
  <c r="V755" i="7"/>
  <c r="U755" i="7"/>
  <c r="T755" i="7"/>
  <c r="Q755" i="7"/>
  <c r="P755" i="7"/>
  <c r="O755" i="7"/>
  <c r="N755" i="7"/>
  <c r="E755" i="7"/>
  <c r="D755" i="7"/>
  <c r="C755" i="7"/>
  <c r="B755" i="7"/>
  <c r="V754" i="7"/>
  <c r="U754" i="7"/>
  <c r="T754" i="7"/>
  <c r="Q754" i="7"/>
  <c r="P754" i="7"/>
  <c r="O754" i="7"/>
  <c r="N754" i="7"/>
  <c r="E754" i="7"/>
  <c r="D754" i="7"/>
  <c r="C754" i="7"/>
  <c r="B754" i="7"/>
  <c r="V753" i="7"/>
  <c r="U753" i="7"/>
  <c r="T753" i="7"/>
  <c r="Q753" i="7"/>
  <c r="P753" i="7"/>
  <c r="O753" i="7"/>
  <c r="N753" i="7"/>
  <c r="E753" i="7"/>
  <c r="D753" i="7"/>
  <c r="C753" i="7"/>
  <c r="B753" i="7"/>
  <c r="V752" i="7"/>
  <c r="U752" i="7"/>
  <c r="T752" i="7"/>
  <c r="Q752" i="7"/>
  <c r="P752" i="7"/>
  <c r="O752" i="7"/>
  <c r="N752" i="7"/>
  <c r="E752" i="7"/>
  <c r="D752" i="7"/>
  <c r="C752" i="7"/>
  <c r="B752" i="7"/>
  <c r="V751" i="7"/>
  <c r="U751" i="7"/>
  <c r="T751" i="7"/>
  <c r="Q751" i="7"/>
  <c r="P751" i="7"/>
  <c r="O751" i="7"/>
  <c r="N751" i="7"/>
  <c r="E751" i="7"/>
  <c r="D751" i="7"/>
  <c r="C751" i="7"/>
  <c r="B751" i="7"/>
  <c r="V750" i="7"/>
  <c r="U750" i="7"/>
  <c r="T750" i="7"/>
  <c r="Q750" i="7"/>
  <c r="P750" i="7"/>
  <c r="O750" i="7"/>
  <c r="N750" i="7"/>
  <c r="E750" i="7"/>
  <c r="D750" i="7"/>
  <c r="C750" i="7"/>
  <c r="B750" i="7"/>
  <c r="V749" i="7"/>
  <c r="U749" i="7"/>
  <c r="T749" i="7"/>
  <c r="Q749" i="7"/>
  <c r="P749" i="7"/>
  <c r="O749" i="7"/>
  <c r="N749" i="7"/>
  <c r="E749" i="7"/>
  <c r="D749" i="7"/>
  <c r="C749" i="7"/>
  <c r="B749" i="7"/>
  <c r="V748" i="7"/>
  <c r="U748" i="7"/>
  <c r="T748" i="7"/>
  <c r="Q748" i="7"/>
  <c r="P748" i="7"/>
  <c r="O748" i="7"/>
  <c r="N748" i="7"/>
  <c r="E748" i="7"/>
  <c r="D748" i="7"/>
  <c r="C748" i="7"/>
  <c r="B748" i="7"/>
  <c r="V747" i="7"/>
  <c r="U747" i="7"/>
  <c r="T747" i="7"/>
  <c r="Q747" i="7"/>
  <c r="P747" i="7"/>
  <c r="O747" i="7"/>
  <c r="N747" i="7"/>
  <c r="E747" i="7"/>
  <c r="D747" i="7"/>
  <c r="C747" i="7"/>
  <c r="B747" i="7"/>
  <c r="V746" i="7"/>
  <c r="U746" i="7"/>
  <c r="T746" i="7"/>
  <c r="Q746" i="7"/>
  <c r="P746" i="7"/>
  <c r="O746" i="7"/>
  <c r="N746" i="7"/>
  <c r="E746" i="7"/>
  <c r="D746" i="7"/>
  <c r="C746" i="7"/>
  <c r="B746" i="7"/>
  <c r="V745" i="7"/>
  <c r="U745" i="7"/>
  <c r="T745" i="7"/>
  <c r="Q745" i="7"/>
  <c r="P745" i="7"/>
  <c r="O745" i="7"/>
  <c r="N745" i="7"/>
  <c r="E745" i="7"/>
  <c r="D745" i="7"/>
  <c r="C745" i="7"/>
  <c r="B745" i="7"/>
  <c r="V744" i="7"/>
  <c r="U744" i="7"/>
  <c r="T744" i="7"/>
  <c r="Q744" i="7"/>
  <c r="P744" i="7"/>
  <c r="O744" i="7"/>
  <c r="N744" i="7"/>
  <c r="E744" i="7"/>
  <c r="D744" i="7"/>
  <c r="C744" i="7"/>
  <c r="B744" i="7"/>
  <c r="V743" i="7"/>
  <c r="U743" i="7"/>
  <c r="T743" i="7"/>
  <c r="Q743" i="7"/>
  <c r="P743" i="7"/>
  <c r="O743" i="7"/>
  <c r="N743" i="7"/>
  <c r="E743" i="7"/>
  <c r="D743" i="7"/>
  <c r="C743" i="7"/>
  <c r="B743" i="7"/>
  <c r="V742" i="7"/>
  <c r="U742" i="7"/>
  <c r="T742" i="7"/>
  <c r="Q742" i="7"/>
  <c r="P742" i="7"/>
  <c r="O742" i="7"/>
  <c r="N742" i="7"/>
  <c r="E742" i="7"/>
  <c r="D742" i="7"/>
  <c r="C742" i="7"/>
  <c r="B742" i="7"/>
  <c r="V741" i="7"/>
  <c r="U741" i="7"/>
  <c r="T741" i="7"/>
  <c r="Q741" i="7"/>
  <c r="P741" i="7"/>
  <c r="O741" i="7"/>
  <c r="N741" i="7"/>
  <c r="E741" i="7"/>
  <c r="D741" i="7"/>
  <c r="C741" i="7"/>
  <c r="B741" i="7"/>
  <c r="V740" i="7"/>
  <c r="U740" i="7"/>
  <c r="T740" i="7"/>
  <c r="Q740" i="7"/>
  <c r="P740" i="7"/>
  <c r="O740" i="7"/>
  <c r="N740" i="7"/>
  <c r="E740" i="7"/>
  <c r="D740" i="7"/>
  <c r="C740" i="7"/>
  <c r="B740" i="7"/>
  <c r="V739" i="7"/>
  <c r="U739" i="7"/>
  <c r="T739" i="7"/>
  <c r="Q739" i="7"/>
  <c r="P739" i="7"/>
  <c r="O739" i="7"/>
  <c r="N739" i="7"/>
  <c r="E739" i="7"/>
  <c r="D739" i="7"/>
  <c r="C739" i="7"/>
  <c r="B739" i="7"/>
  <c r="V738" i="7"/>
  <c r="U738" i="7"/>
  <c r="T738" i="7"/>
  <c r="Q738" i="7"/>
  <c r="P738" i="7"/>
  <c r="O738" i="7"/>
  <c r="N738" i="7"/>
  <c r="E738" i="7"/>
  <c r="D738" i="7"/>
  <c r="C738" i="7"/>
  <c r="B738" i="7"/>
  <c r="V737" i="7"/>
  <c r="U737" i="7"/>
  <c r="T737" i="7"/>
  <c r="Q737" i="7"/>
  <c r="P737" i="7"/>
  <c r="O737" i="7"/>
  <c r="N737" i="7"/>
  <c r="E737" i="7"/>
  <c r="D737" i="7"/>
  <c r="C737" i="7"/>
  <c r="B737" i="7"/>
  <c r="V736" i="7"/>
  <c r="U736" i="7"/>
  <c r="T736" i="7"/>
  <c r="Q736" i="7"/>
  <c r="P736" i="7"/>
  <c r="O736" i="7"/>
  <c r="N736" i="7"/>
  <c r="E736" i="7"/>
  <c r="D736" i="7"/>
  <c r="C736" i="7"/>
  <c r="B736" i="7"/>
  <c r="V735" i="7"/>
  <c r="U735" i="7"/>
  <c r="T735" i="7"/>
  <c r="Q735" i="7"/>
  <c r="P735" i="7"/>
  <c r="O735" i="7"/>
  <c r="N735" i="7"/>
  <c r="E735" i="7"/>
  <c r="D735" i="7"/>
  <c r="C735" i="7"/>
  <c r="B735" i="7"/>
  <c r="V734" i="7"/>
  <c r="U734" i="7"/>
  <c r="T734" i="7"/>
  <c r="Q734" i="7"/>
  <c r="P734" i="7"/>
  <c r="O734" i="7"/>
  <c r="N734" i="7"/>
  <c r="E734" i="7"/>
  <c r="D734" i="7"/>
  <c r="C734" i="7"/>
  <c r="B734" i="7"/>
  <c r="V733" i="7"/>
  <c r="U733" i="7"/>
  <c r="T733" i="7"/>
  <c r="Q733" i="7"/>
  <c r="P733" i="7"/>
  <c r="O733" i="7"/>
  <c r="N733" i="7"/>
  <c r="E733" i="7"/>
  <c r="D733" i="7"/>
  <c r="C733" i="7"/>
  <c r="B733" i="7"/>
  <c r="V732" i="7"/>
  <c r="U732" i="7"/>
  <c r="T732" i="7"/>
  <c r="Q732" i="7"/>
  <c r="P732" i="7"/>
  <c r="O732" i="7"/>
  <c r="N732" i="7"/>
  <c r="E732" i="7"/>
  <c r="D732" i="7"/>
  <c r="C732" i="7"/>
  <c r="B732" i="7"/>
  <c r="V731" i="7"/>
  <c r="U731" i="7"/>
  <c r="T731" i="7"/>
  <c r="Q731" i="7"/>
  <c r="P731" i="7"/>
  <c r="O731" i="7"/>
  <c r="N731" i="7"/>
  <c r="E731" i="7"/>
  <c r="D731" i="7"/>
  <c r="C731" i="7"/>
  <c r="B731" i="7"/>
  <c r="V730" i="7"/>
  <c r="U730" i="7"/>
  <c r="T730" i="7"/>
  <c r="Q730" i="7"/>
  <c r="P730" i="7"/>
  <c r="O730" i="7"/>
  <c r="N730" i="7"/>
  <c r="E730" i="7"/>
  <c r="D730" i="7"/>
  <c r="C730" i="7"/>
  <c r="B730" i="7"/>
  <c r="V729" i="7"/>
  <c r="U729" i="7"/>
  <c r="T729" i="7"/>
  <c r="Q729" i="7"/>
  <c r="P729" i="7"/>
  <c r="O729" i="7"/>
  <c r="N729" i="7"/>
  <c r="E729" i="7"/>
  <c r="D729" i="7"/>
  <c r="C729" i="7"/>
  <c r="B729" i="7"/>
  <c r="V728" i="7"/>
  <c r="U728" i="7"/>
  <c r="T728" i="7"/>
  <c r="Q728" i="7"/>
  <c r="P728" i="7"/>
  <c r="O728" i="7"/>
  <c r="N728" i="7"/>
  <c r="E728" i="7"/>
  <c r="D728" i="7"/>
  <c r="C728" i="7"/>
  <c r="B728" i="7"/>
  <c r="V727" i="7"/>
  <c r="U727" i="7"/>
  <c r="T727" i="7"/>
  <c r="Q727" i="7"/>
  <c r="P727" i="7"/>
  <c r="O727" i="7"/>
  <c r="N727" i="7"/>
  <c r="E727" i="7"/>
  <c r="D727" i="7"/>
  <c r="C727" i="7"/>
  <c r="B727" i="7"/>
  <c r="V726" i="7"/>
  <c r="U726" i="7"/>
  <c r="T726" i="7"/>
  <c r="Q726" i="7"/>
  <c r="P726" i="7"/>
  <c r="O726" i="7"/>
  <c r="N726" i="7"/>
  <c r="E726" i="7"/>
  <c r="D726" i="7"/>
  <c r="C726" i="7"/>
  <c r="B726" i="7"/>
  <c r="V725" i="7"/>
  <c r="U725" i="7"/>
  <c r="T725" i="7"/>
  <c r="Q725" i="7"/>
  <c r="P725" i="7"/>
  <c r="O725" i="7"/>
  <c r="N725" i="7"/>
  <c r="E725" i="7"/>
  <c r="D725" i="7"/>
  <c r="C725" i="7"/>
  <c r="B725" i="7"/>
  <c r="V724" i="7"/>
  <c r="U724" i="7"/>
  <c r="T724" i="7"/>
  <c r="Q724" i="7"/>
  <c r="P724" i="7"/>
  <c r="O724" i="7"/>
  <c r="N724" i="7"/>
  <c r="E724" i="7"/>
  <c r="D724" i="7"/>
  <c r="C724" i="7"/>
  <c r="B724" i="7"/>
  <c r="V723" i="7"/>
  <c r="U723" i="7"/>
  <c r="T723" i="7"/>
  <c r="Q723" i="7"/>
  <c r="P723" i="7"/>
  <c r="O723" i="7"/>
  <c r="N723" i="7"/>
  <c r="E723" i="7"/>
  <c r="D723" i="7"/>
  <c r="C723" i="7"/>
  <c r="B723" i="7"/>
  <c r="V722" i="7"/>
  <c r="U722" i="7"/>
  <c r="T722" i="7"/>
  <c r="Q722" i="7"/>
  <c r="P722" i="7"/>
  <c r="O722" i="7"/>
  <c r="N722" i="7"/>
  <c r="E722" i="7"/>
  <c r="D722" i="7"/>
  <c r="C722" i="7"/>
  <c r="B722" i="7"/>
  <c r="V721" i="7"/>
  <c r="U721" i="7"/>
  <c r="T721" i="7"/>
  <c r="Q721" i="7"/>
  <c r="P721" i="7"/>
  <c r="O721" i="7"/>
  <c r="N721" i="7"/>
  <c r="E721" i="7"/>
  <c r="D721" i="7"/>
  <c r="C721" i="7"/>
  <c r="B721" i="7"/>
  <c r="V720" i="7"/>
  <c r="U720" i="7"/>
  <c r="T720" i="7"/>
  <c r="Q720" i="7"/>
  <c r="P720" i="7"/>
  <c r="O720" i="7"/>
  <c r="N720" i="7"/>
  <c r="E720" i="7"/>
  <c r="D720" i="7"/>
  <c r="C720" i="7"/>
  <c r="B720" i="7"/>
  <c r="V719" i="7"/>
  <c r="U719" i="7"/>
  <c r="T719" i="7"/>
  <c r="Q719" i="7"/>
  <c r="P719" i="7"/>
  <c r="O719" i="7"/>
  <c r="N719" i="7"/>
  <c r="E719" i="7"/>
  <c r="D719" i="7"/>
  <c r="C719" i="7"/>
  <c r="B719" i="7"/>
  <c r="V718" i="7"/>
  <c r="U718" i="7"/>
  <c r="T718" i="7"/>
  <c r="Q718" i="7"/>
  <c r="P718" i="7"/>
  <c r="O718" i="7"/>
  <c r="N718" i="7"/>
  <c r="E718" i="7"/>
  <c r="D718" i="7"/>
  <c r="C718" i="7"/>
  <c r="B718" i="7"/>
  <c r="V717" i="7"/>
  <c r="U717" i="7"/>
  <c r="T717" i="7"/>
  <c r="Q717" i="7"/>
  <c r="P717" i="7"/>
  <c r="O717" i="7"/>
  <c r="N717" i="7"/>
  <c r="E717" i="7"/>
  <c r="D717" i="7"/>
  <c r="C717" i="7"/>
  <c r="B717" i="7"/>
  <c r="V716" i="7"/>
  <c r="U716" i="7"/>
  <c r="T716" i="7"/>
  <c r="Q716" i="7"/>
  <c r="P716" i="7"/>
  <c r="O716" i="7"/>
  <c r="N716" i="7"/>
  <c r="E716" i="7"/>
  <c r="D716" i="7"/>
  <c r="C716" i="7"/>
  <c r="B716" i="7"/>
  <c r="V715" i="7"/>
  <c r="U715" i="7"/>
  <c r="T715" i="7"/>
  <c r="Q715" i="7"/>
  <c r="P715" i="7"/>
  <c r="O715" i="7"/>
  <c r="N715" i="7"/>
  <c r="E715" i="7"/>
  <c r="D715" i="7"/>
  <c r="C715" i="7"/>
  <c r="B715" i="7"/>
  <c r="V714" i="7"/>
  <c r="U714" i="7"/>
  <c r="T714" i="7"/>
  <c r="Q714" i="7"/>
  <c r="P714" i="7"/>
  <c r="O714" i="7"/>
  <c r="N714" i="7"/>
  <c r="E714" i="7"/>
  <c r="D714" i="7"/>
  <c r="C714" i="7"/>
  <c r="B714" i="7"/>
  <c r="V713" i="7"/>
  <c r="U713" i="7"/>
  <c r="T713" i="7"/>
  <c r="Q713" i="7"/>
  <c r="P713" i="7"/>
  <c r="O713" i="7"/>
  <c r="N713" i="7"/>
  <c r="E713" i="7"/>
  <c r="D713" i="7"/>
  <c r="C713" i="7"/>
  <c r="B713" i="7"/>
  <c r="V712" i="7"/>
  <c r="U712" i="7"/>
  <c r="T712" i="7"/>
  <c r="Q712" i="7"/>
  <c r="P712" i="7"/>
  <c r="O712" i="7"/>
  <c r="N712" i="7"/>
  <c r="E712" i="7"/>
  <c r="D712" i="7"/>
  <c r="C712" i="7"/>
  <c r="B712" i="7"/>
  <c r="V711" i="7"/>
  <c r="U711" i="7"/>
  <c r="T711" i="7"/>
  <c r="Q711" i="7"/>
  <c r="P711" i="7"/>
  <c r="O711" i="7"/>
  <c r="N711" i="7"/>
  <c r="E711" i="7"/>
  <c r="D711" i="7"/>
  <c r="C711" i="7"/>
  <c r="B711" i="7"/>
  <c r="V710" i="7"/>
  <c r="U710" i="7"/>
  <c r="T710" i="7"/>
  <c r="Q710" i="7"/>
  <c r="P710" i="7"/>
  <c r="O710" i="7"/>
  <c r="N710" i="7"/>
  <c r="E710" i="7"/>
  <c r="D710" i="7"/>
  <c r="C710" i="7"/>
  <c r="B710" i="7"/>
  <c r="V709" i="7"/>
  <c r="U709" i="7"/>
  <c r="T709" i="7"/>
  <c r="Q709" i="7"/>
  <c r="P709" i="7"/>
  <c r="O709" i="7"/>
  <c r="N709" i="7"/>
  <c r="J709" i="7"/>
  <c r="I709" i="7"/>
  <c r="H709" i="7"/>
  <c r="E709" i="7"/>
  <c r="D709" i="7"/>
  <c r="C709" i="7"/>
  <c r="B709" i="7"/>
  <c r="V708" i="7"/>
  <c r="U708" i="7"/>
  <c r="T708" i="7"/>
  <c r="Q708" i="7"/>
  <c r="P708" i="7"/>
  <c r="O708" i="7"/>
  <c r="N708" i="7"/>
  <c r="J708" i="7"/>
  <c r="I708" i="7"/>
  <c r="H708" i="7"/>
  <c r="E708" i="7"/>
  <c r="D708" i="7"/>
  <c r="C708" i="7"/>
  <c r="B708" i="7"/>
  <c r="V707" i="7"/>
  <c r="U707" i="7"/>
  <c r="T707" i="7"/>
  <c r="Q707" i="7"/>
  <c r="P707" i="7"/>
  <c r="O707" i="7"/>
  <c r="N707" i="7"/>
  <c r="J707" i="7"/>
  <c r="I707" i="7"/>
  <c r="H707" i="7"/>
  <c r="E707" i="7"/>
  <c r="D707" i="7"/>
  <c r="C707" i="7"/>
  <c r="B707" i="7"/>
  <c r="V706" i="7"/>
  <c r="U706" i="7"/>
  <c r="T706" i="7"/>
  <c r="Q706" i="7"/>
  <c r="P706" i="7"/>
  <c r="O706" i="7"/>
  <c r="N706" i="7"/>
  <c r="J706" i="7"/>
  <c r="I706" i="7"/>
  <c r="H706" i="7"/>
  <c r="E706" i="7"/>
  <c r="D706" i="7"/>
  <c r="C706" i="7"/>
  <c r="B706" i="7"/>
  <c r="V705" i="7"/>
  <c r="U705" i="7"/>
  <c r="T705" i="7"/>
  <c r="Q705" i="7"/>
  <c r="P705" i="7"/>
  <c r="O705" i="7"/>
  <c r="N705" i="7"/>
  <c r="J705" i="7"/>
  <c r="I705" i="7"/>
  <c r="H705" i="7"/>
  <c r="E705" i="7"/>
  <c r="D705" i="7"/>
  <c r="C705" i="7"/>
  <c r="B705" i="7"/>
  <c r="V704" i="7"/>
  <c r="U704" i="7"/>
  <c r="T704" i="7"/>
  <c r="Q704" i="7"/>
  <c r="P704" i="7"/>
  <c r="O704" i="7"/>
  <c r="N704" i="7"/>
  <c r="J704" i="7"/>
  <c r="I704" i="7"/>
  <c r="H704" i="7"/>
  <c r="E704" i="7"/>
  <c r="D704" i="7"/>
  <c r="C704" i="7"/>
  <c r="B704" i="7"/>
  <c r="V703" i="7"/>
  <c r="U703" i="7"/>
  <c r="T703" i="7"/>
  <c r="Q703" i="7"/>
  <c r="P703" i="7"/>
  <c r="O703" i="7"/>
  <c r="N703" i="7"/>
  <c r="J703" i="7"/>
  <c r="I703" i="7"/>
  <c r="H703" i="7"/>
  <c r="E703" i="7"/>
  <c r="D703" i="7"/>
  <c r="C703" i="7"/>
  <c r="B703" i="7"/>
  <c r="V702" i="7"/>
  <c r="U702" i="7"/>
  <c r="T702" i="7"/>
  <c r="Q702" i="7"/>
  <c r="P702" i="7"/>
  <c r="O702" i="7"/>
  <c r="N702" i="7"/>
  <c r="J702" i="7"/>
  <c r="I702" i="7"/>
  <c r="H702" i="7"/>
  <c r="E702" i="7"/>
  <c r="D702" i="7"/>
  <c r="C702" i="7"/>
  <c r="B702" i="7"/>
  <c r="V701" i="7"/>
  <c r="U701" i="7"/>
  <c r="T701" i="7"/>
  <c r="Q701" i="7"/>
  <c r="P701" i="7"/>
  <c r="O701" i="7"/>
  <c r="N701" i="7"/>
  <c r="J701" i="7"/>
  <c r="I701" i="7"/>
  <c r="H701" i="7"/>
  <c r="E701" i="7"/>
  <c r="D701" i="7"/>
  <c r="C701" i="7"/>
  <c r="B701" i="7"/>
  <c r="V700" i="7"/>
  <c r="U700" i="7"/>
  <c r="T700" i="7"/>
  <c r="Q700" i="7"/>
  <c r="P700" i="7"/>
  <c r="O700" i="7"/>
  <c r="N700" i="7"/>
  <c r="J700" i="7"/>
  <c r="I700" i="7"/>
  <c r="H700" i="7"/>
  <c r="E700" i="7"/>
  <c r="D700" i="7"/>
  <c r="C700" i="7"/>
  <c r="B700" i="7"/>
  <c r="V699" i="7"/>
  <c r="U699" i="7"/>
  <c r="T699" i="7"/>
  <c r="Q699" i="7"/>
  <c r="P699" i="7"/>
  <c r="O699" i="7"/>
  <c r="N699" i="7"/>
  <c r="J699" i="7"/>
  <c r="I699" i="7"/>
  <c r="H699" i="7"/>
  <c r="E699" i="7"/>
  <c r="D699" i="7"/>
  <c r="C699" i="7"/>
  <c r="B699" i="7"/>
  <c r="V698" i="7"/>
  <c r="U698" i="7"/>
  <c r="T698" i="7"/>
  <c r="Q698" i="7"/>
  <c r="P698" i="7"/>
  <c r="O698" i="7"/>
  <c r="N698" i="7"/>
  <c r="J698" i="7"/>
  <c r="I698" i="7"/>
  <c r="H698" i="7"/>
  <c r="E698" i="7"/>
  <c r="D698" i="7"/>
  <c r="C698" i="7"/>
  <c r="B698" i="7"/>
  <c r="V697" i="7"/>
  <c r="U697" i="7"/>
  <c r="T697" i="7"/>
  <c r="Q697" i="7"/>
  <c r="P697" i="7"/>
  <c r="O697" i="7"/>
  <c r="N697" i="7"/>
  <c r="J697" i="7"/>
  <c r="I697" i="7"/>
  <c r="H697" i="7"/>
  <c r="E697" i="7"/>
  <c r="D697" i="7"/>
  <c r="C697" i="7"/>
  <c r="B697" i="7"/>
  <c r="V696" i="7"/>
  <c r="U696" i="7"/>
  <c r="T696" i="7"/>
  <c r="Q696" i="7"/>
  <c r="P696" i="7"/>
  <c r="O696" i="7"/>
  <c r="N696" i="7"/>
  <c r="J696" i="7"/>
  <c r="I696" i="7"/>
  <c r="H696" i="7"/>
  <c r="E696" i="7"/>
  <c r="D696" i="7"/>
  <c r="C696" i="7"/>
  <c r="B696" i="7"/>
  <c r="V695" i="7"/>
  <c r="U695" i="7"/>
  <c r="T695" i="7"/>
  <c r="Q695" i="7"/>
  <c r="P695" i="7"/>
  <c r="O695" i="7"/>
  <c r="N695" i="7"/>
  <c r="J695" i="7"/>
  <c r="I695" i="7"/>
  <c r="H695" i="7"/>
  <c r="E695" i="7"/>
  <c r="D695" i="7"/>
  <c r="C695" i="7"/>
  <c r="B695" i="7"/>
  <c r="V694" i="7"/>
  <c r="U694" i="7"/>
  <c r="T694" i="7"/>
  <c r="Q694" i="7"/>
  <c r="P694" i="7"/>
  <c r="O694" i="7"/>
  <c r="N694" i="7"/>
  <c r="J694" i="7"/>
  <c r="I694" i="7"/>
  <c r="H694" i="7"/>
  <c r="E694" i="7"/>
  <c r="D694" i="7"/>
  <c r="C694" i="7"/>
  <c r="B694" i="7"/>
  <c r="V693" i="7"/>
  <c r="U693" i="7"/>
  <c r="T693" i="7"/>
  <c r="Q693" i="7"/>
  <c r="P693" i="7"/>
  <c r="O693" i="7"/>
  <c r="N693" i="7"/>
  <c r="J693" i="7"/>
  <c r="I693" i="7"/>
  <c r="H693" i="7"/>
  <c r="E693" i="7"/>
  <c r="D693" i="7"/>
  <c r="C693" i="7"/>
  <c r="B693" i="7"/>
  <c r="V692" i="7"/>
  <c r="U692" i="7"/>
  <c r="T692" i="7"/>
  <c r="Q692" i="7"/>
  <c r="P692" i="7"/>
  <c r="O692" i="7"/>
  <c r="N692" i="7"/>
  <c r="J692" i="7"/>
  <c r="I692" i="7"/>
  <c r="H692" i="7"/>
  <c r="E692" i="7"/>
  <c r="D692" i="7"/>
  <c r="C692" i="7"/>
  <c r="B692" i="7"/>
  <c r="V691" i="7"/>
  <c r="U691" i="7"/>
  <c r="T691" i="7"/>
  <c r="Q691" i="7"/>
  <c r="P691" i="7"/>
  <c r="O691" i="7"/>
  <c r="N691" i="7"/>
  <c r="J691" i="7"/>
  <c r="I691" i="7"/>
  <c r="H691" i="7"/>
  <c r="E691" i="7"/>
  <c r="D691" i="7"/>
  <c r="C691" i="7"/>
  <c r="B691" i="7"/>
  <c r="V690" i="7"/>
  <c r="U690" i="7"/>
  <c r="T690" i="7"/>
  <c r="Q690" i="7"/>
  <c r="P690" i="7"/>
  <c r="O690" i="7"/>
  <c r="N690" i="7"/>
  <c r="J690" i="7"/>
  <c r="I690" i="7"/>
  <c r="H690" i="7"/>
  <c r="E690" i="7"/>
  <c r="D690" i="7"/>
  <c r="C690" i="7"/>
  <c r="B690" i="7"/>
  <c r="V689" i="7"/>
  <c r="U689" i="7"/>
  <c r="T689" i="7"/>
  <c r="Q689" i="7"/>
  <c r="P689" i="7"/>
  <c r="O689" i="7"/>
  <c r="N689" i="7"/>
  <c r="J689" i="7"/>
  <c r="I689" i="7"/>
  <c r="H689" i="7"/>
  <c r="E689" i="7"/>
  <c r="D689" i="7"/>
  <c r="C689" i="7"/>
  <c r="B689" i="7"/>
  <c r="V688" i="7"/>
  <c r="U688" i="7"/>
  <c r="T688" i="7"/>
  <c r="Q688" i="7"/>
  <c r="P688" i="7"/>
  <c r="O688" i="7"/>
  <c r="N688" i="7"/>
  <c r="J688" i="7"/>
  <c r="I688" i="7"/>
  <c r="H688" i="7"/>
  <c r="E688" i="7"/>
  <c r="D688" i="7"/>
  <c r="C688" i="7"/>
  <c r="B688" i="7"/>
  <c r="V687" i="7"/>
  <c r="U687" i="7"/>
  <c r="T687" i="7"/>
  <c r="Q687" i="7"/>
  <c r="P687" i="7"/>
  <c r="O687" i="7"/>
  <c r="N687" i="7"/>
  <c r="J687" i="7"/>
  <c r="I687" i="7"/>
  <c r="H687" i="7"/>
  <c r="E687" i="7"/>
  <c r="D687" i="7"/>
  <c r="C687" i="7"/>
  <c r="B687" i="7"/>
  <c r="V686" i="7"/>
  <c r="U686" i="7"/>
  <c r="T686" i="7"/>
  <c r="Q686" i="7"/>
  <c r="P686" i="7"/>
  <c r="O686" i="7"/>
  <c r="N686" i="7"/>
  <c r="J686" i="7"/>
  <c r="I686" i="7"/>
  <c r="H686" i="7"/>
  <c r="E686" i="7"/>
  <c r="D686" i="7"/>
  <c r="C686" i="7"/>
  <c r="B686" i="7"/>
  <c r="V685" i="7"/>
  <c r="U685" i="7"/>
  <c r="T685" i="7"/>
  <c r="Q685" i="7"/>
  <c r="P685" i="7"/>
  <c r="O685" i="7"/>
  <c r="N685" i="7"/>
  <c r="J685" i="7"/>
  <c r="I685" i="7"/>
  <c r="H685" i="7"/>
  <c r="E685" i="7"/>
  <c r="D685" i="7"/>
  <c r="C685" i="7"/>
  <c r="B685" i="7"/>
  <c r="V684" i="7"/>
  <c r="U684" i="7"/>
  <c r="T684" i="7"/>
  <c r="Q684" i="7"/>
  <c r="P684" i="7"/>
  <c r="O684" i="7"/>
  <c r="N684" i="7"/>
  <c r="J684" i="7"/>
  <c r="I684" i="7"/>
  <c r="H684" i="7"/>
  <c r="E684" i="7"/>
  <c r="D684" i="7"/>
  <c r="C684" i="7"/>
  <c r="B684" i="7"/>
  <c r="V683" i="7"/>
  <c r="U683" i="7"/>
  <c r="T683" i="7"/>
  <c r="Q683" i="7"/>
  <c r="P683" i="7"/>
  <c r="O683" i="7"/>
  <c r="N683" i="7"/>
  <c r="J683" i="7"/>
  <c r="I683" i="7"/>
  <c r="H683" i="7"/>
  <c r="E683" i="7"/>
  <c r="D683" i="7"/>
  <c r="C683" i="7"/>
  <c r="B683" i="7"/>
  <c r="V682" i="7"/>
  <c r="U682" i="7"/>
  <c r="T682" i="7"/>
  <c r="Q682" i="7"/>
  <c r="P682" i="7"/>
  <c r="O682" i="7"/>
  <c r="N682" i="7"/>
  <c r="J682" i="7"/>
  <c r="I682" i="7"/>
  <c r="H682" i="7"/>
  <c r="E682" i="7"/>
  <c r="D682" i="7"/>
  <c r="C682" i="7"/>
  <c r="B682" i="7"/>
  <c r="V681" i="7"/>
  <c r="U681" i="7"/>
  <c r="T681" i="7"/>
  <c r="Q681" i="7"/>
  <c r="P681" i="7"/>
  <c r="O681" i="7"/>
  <c r="N681" i="7"/>
  <c r="J681" i="7"/>
  <c r="I681" i="7"/>
  <c r="H681" i="7"/>
  <c r="E681" i="7"/>
  <c r="D681" i="7"/>
  <c r="C681" i="7"/>
  <c r="B681" i="7"/>
  <c r="V680" i="7"/>
  <c r="U680" i="7"/>
  <c r="T680" i="7"/>
  <c r="Q680" i="7"/>
  <c r="P680" i="7"/>
  <c r="O680" i="7"/>
  <c r="N680" i="7"/>
  <c r="J680" i="7"/>
  <c r="I680" i="7"/>
  <c r="H680" i="7"/>
  <c r="E680" i="7"/>
  <c r="D680" i="7"/>
  <c r="C680" i="7"/>
  <c r="B680" i="7"/>
  <c r="V679" i="7"/>
  <c r="U679" i="7"/>
  <c r="T679" i="7"/>
  <c r="Q679" i="7"/>
  <c r="P679" i="7"/>
  <c r="O679" i="7"/>
  <c r="N679" i="7"/>
  <c r="J679" i="7"/>
  <c r="I679" i="7"/>
  <c r="H679" i="7"/>
  <c r="E679" i="7"/>
  <c r="D679" i="7"/>
  <c r="C679" i="7"/>
  <c r="B679" i="7"/>
  <c r="V678" i="7"/>
  <c r="U678" i="7"/>
  <c r="T678" i="7"/>
  <c r="Q678" i="7"/>
  <c r="P678" i="7"/>
  <c r="O678" i="7"/>
  <c r="N678" i="7"/>
  <c r="J678" i="7"/>
  <c r="I678" i="7"/>
  <c r="H678" i="7"/>
  <c r="E678" i="7"/>
  <c r="D678" i="7"/>
  <c r="C678" i="7"/>
  <c r="B678" i="7"/>
  <c r="V677" i="7"/>
  <c r="U677" i="7"/>
  <c r="T677" i="7"/>
  <c r="Q677" i="7"/>
  <c r="P677" i="7"/>
  <c r="O677" i="7"/>
  <c r="N677" i="7"/>
  <c r="J677" i="7"/>
  <c r="I677" i="7"/>
  <c r="H677" i="7"/>
  <c r="E677" i="7"/>
  <c r="D677" i="7"/>
  <c r="C677" i="7"/>
  <c r="B677" i="7"/>
  <c r="V676" i="7"/>
  <c r="U676" i="7"/>
  <c r="T676" i="7"/>
  <c r="Q676" i="7"/>
  <c r="P676" i="7"/>
  <c r="O676" i="7"/>
  <c r="N676" i="7"/>
  <c r="J676" i="7"/>
  <c r="I676" i="7"/>
  <c r="H676" i="7"/>
  <c r="E676" i="7"/>
  <c r="D676" i="7"/>
  <c r="C676" i="7"/>
  <c r="B676" i="7"/>
  <c r="V675" i="7"/>
  <c r="U675" i="7"/>
  <c r="T675" i="7"/>
  <c r="Q675" i="7"/>
  <c r="P675" i="7"/>
  <c r="O675" i="7"/>
  <c r="N675" i="7"/>
  <c r="J675" i="7"/>
  <c r="I675" i="7"/>
  <c r="H675" i="7"/>
  <c r="E675" i="7"/>
  <c r="D675" i="7"/>
  <c r="C675" i="7"/>
  <c r="B675" i="7"/>
  <c r="V674" i="7"/>
  <c r="U674" i="7"/>
  <c r="T674" i="7"/>
  <c r="Q674" i="7"/>
  <c r="P674" i="7"/>
  <c r="O674" i="7"/>
  <c r="N674" i="7"/>
  <c r="J674" i="7"/>
  <c r="I674" i="7"/>
  <c r="H674" i="7"/>
  <c r="E674" i="7"/>
  <c r="D674" i="7"/>
  <c r="C674" i="7"/>
  <c r="B674" i="7"/>
  <c r="V673" i="7"/>
  <c r="U673" i="7"/>
  <c r="T673" i="7"/>
  <c r="Q673" i="7"/>
  <c r="P673" i="7"/>
  <c r="O673" i="7"/>
  <c r="N673" i="7"/>
  <c r="J673" i="7"/>
  <c r="I673" i="7"/>
  <c r="H673" i="7"/>
  <c r="E673" i="7"/>
  <c r="D673" i="7"/>
  <c r="C673" i="7"/>
  <c r="B673" i="7"/>
  <c r="V672" i="7"/>
  <c r="U672" i="7"/>
  <c r="T672" i="7"/>
  <c r="Q672" i="7"/>
  <c r="P672" i="7"/>
  <c r="O672" i="7"/>
  <c r="N672" i="7"/>
  <c r="J672" i="7"/>
  <c r="I672" i="7"/>
  <c r="H672" i="7"/>
  <c r="E672" i="7"/>
  <c r="D672" i="7"/>
  <c r="C672" i="7"/>
  <c r="B672" i="7"/>
  <c r="V671" i="7"/>
  <c r="U671" i="7"/>
  <c r="T671" i="7"/>
  <c r="Q671" i="7"/>
  <c r="P671" i="7"/>
  <c r="O671" i="7"/>
  <c r="N671" i="7"/>
  <c r="J671" i="7"/>
  <c r="I671" i="7"/>
  <c r="H671" i="7"/>
  <c r="E671" i="7"/>
  <c r="D671" i="7"/>
  <c r="C671" i="7"/>
  <c r="B671" i="7"/>
  <c r="V670" i="7"/>
  <c r="U670" i="7"/>
  <c r="T670" i="7"/>
  <c r="Q670" i="7"/>
  <c r="P670" i="7"/>
  <c r="O670" i="7"/>
  <c r="N670" i="7"/>
  <c r="J670" i="7"/>
  <c r="I670" i="7"/>
  <c r="H670" i="7"/>
  <c r="E670" i="7"/>
  <c r="D670" i="7"/>
  <c r="C670" i="7"/>
  <c r="B670" i="7"/>
  <c r="V669" i="7"/>
  <c r="U669" i="7"/>
  <c r="T669" i="7"/>
  <c r="Q669" i="7"/>
  <c r="P669" i="7"/>
  <c r="O669" i="7"/>
  <c r="N669" i="7"/>
  <c r="J669" i="7"/>
  <c r="I669" i="7"/>
  <c r="H669" i="7"/>
  <c r="E669" i="7"/>
  <c r="D669" i="7"/>
  <c r="C669" i="7"/>
  <c r="B669" i="7"/>
  <c r="V668" i="7"/>
  <c r="U668" i="7"/>
  <c r="T668" i="7"/>
  <c r="Q668" i="7"/>
  <c r="P668" i="7"/>
  <c r="O668" i="7"/>
  <c r="N668" i="7"/>
  <c r="J668" i="7"/>
  <c r="I668" i="7"/>
  <c r="H668" i="7"/>
  <c r="E668" i="7"/>
  <c r="D668" i="7"/>
  <c r="C668" i="7"/>
  <c r="B668" i="7"/>
  <c r="V667" i="7"/>
  <c r="U667" i="7"/>
  <c r="T667" i="7"/>
  <c r="Q667" i="7"/>
  <c r="P667" i="7"/>
  <c r="O667" i="7"/>
  <c r="N667" i="7"/>
  <c r="J667" i="7"/>
  <c r="I667" i="7"/>
  <c r="H667" i="7"/>
  <c r="E667" i="7"/>
  <c r="D667" i="7"/>
  <c r="C667" i="7"/>
  <c r="B667" i="7"/>
  <c r="V666" i="7"/>
  <c r="U666" i="7"/>
  <c r="T666" i="7"/>
  <c r="Q666" i="7"/>
  <c r="P666" i="7"/>
  <c r="O666" i="7"/>
  <c r="N666" i="7"/>
  <c r="J666" i="7"/>
  <c r="I666" i="7"/>
  <c r="H666" i="7"/>
  <c r="E666" i="7"/>
  <c r="D666" i="7"/>
  <c r="C666" i="7"/>
  <c r="B666" i="7"/>
  <c r="V665" i="7"/>
  <c r="U665" i="7"/>
  <c r="T665" i="7"/>
  <c r="Q665" i="7"/>
  <c r="P665" i="7"/>
  <c r="O665" i="7"/>
  <c r="N665" i="7"/>
  <c r="J665" i="7"/>
  <c r="I665" i="7"/>
  <c r="H665" i="7"/>
  <c r="E665" i="7"/>
  <c r="D665" i="7"/>
  <c r="C665" i="7"/>
  <c r="B665" i="7"/>
  <c r="V664" i="7"/>
  <c r="U664" i="7"/>
  <c r="T664" i="7"/>
  <c r="Q664" i="7"/>
  <c r="P664" i="7"/>
  <c r="O664" i="7"/>
  <c r="N664" i="7"/>
  <c r="J664" i="7"/>
  <c r="I664" i="7"/>
  <c r="H664" i="7"/>
  <c r="E664" i="7"/>
  <c r="D664" i="7"/>
  <c r="C664" i="7"/>
  <c r="B664" i="7"/>
  <c r="V663" i="7"/>
  <c r="U663" i="7"/>
  <c r="T663" i="7"/>
  <c r="Q663" i="7"/>
  <c r="P663" i="7"/>
  <c r="O663" i="7"/>
  <c r="N663" i="7"/>
  <c r="J663" i="7"/>
  <c r="I663" i="7"/>
  <c r="H663" i="7"/>
  <c r="E663" i="7"/>
  <c r="D663" i="7"/>
  <c r="C663" i="7"/>
  <c r="B663" i="7"/>
  <c r="V662" i="7"/>
  <c r="U662" i="7"/>
  <c r="T662" i="7"/>
  <c r="Q662" i="7"/>
  <c r="P662" i="7"/>
  <c r="O662" i="7"/>
  <c r="N662" i="7"/>
  <c r="J662" i="7"/>
  <c r="I662" i="7"/>
  <c r="H662" i="7"/>
  <c r="E662" i="7"/>
  <c r="D662" i="7"/>
  <c r="C662" i="7"/>
  <c r="B662" i="7"/>
  <c r="V661" i="7"/>
  <c r="U661" i="7"/>
  <c r="T661" i="7"/>
  <c r="Q661" i="7"/>
  <c r="P661" i="7"/>
  <c r="O661" i="7"/>
  <c r="N661" i="7"/>
  <c r="J661" i="7"/>
  <c r="I661" i="7"/>
  <c r="H661" i="7"/>
  <c r="E661" i="7"/>
  <c r="D661" i="7"/>
  <c r="C661" i="7"/>
  <c r="B661" i="7"/>
  <c r="V660" i="7"/>
  <c r="U660" i="7"/>
  <c r="T660" i="7"/>
  <c r="Q660" i="7"/>
  <c r="P660" i="7"/>
  <c r="O660" i="7"/>
  <c r="N660" i="7"/>
  <c r="J660" i="7"/>
  <c r="I660" i="7"/>
  <c r="H660" i="7"/>
  <c r="E660" i="7"/>
  <c r="D660" i="7"/>
  <c r="C660" i="7"/>
  <c r="B660" i="7"/>
  <c r="V659" i="7"/>
  <c r="U659" i="7"/>
  <c r="T659" i="7"/>
  <c r="Q659" i="7"/>
  <c r="P659" i="7"/>
  <c r="O659" i="7"/>
  <c r="N659" i="7"/>
  <c r="J659" i="7"/>
  <c r="I659" i="7"/>
  <c r="H659" i="7"/>
  <c r="E659" i="7"/>
  <c r="D659" i="7"/>
  <c r="C659" i="7"/>
  <c r="B659" i="7"/>
  <c r="V658" i="7"/>
  <c r="U658" i="7"/>
  <c r="T658" i="7"/>
  <c r="Q658" i="7"/>
  <c r="P658" i="7"/>
  <c r="O658" i="7"/>
  <c r="N658" i="7"/>
  <c r="J658" i="7"/>
  <c r="I658" i="7"/>
  <c r="H658" i="7"/>
  <c r="E658" i="7"/>
  <c r="D658" i="7"/>
  <c r="C658" i="7"/>
  <c r="B658" i="7"/>
  <c r="V657" i="7"/>
  <c r="U657" i="7"/>
  <c r="T657" i="7"/>
  <c r="Q657" i="7"/>
  <c r="P657" i="7"/>
  <c r="O657" i="7"/>
  <c r="N657" i="7"/>
  <c r="J657" i="7"/>
  <c r="I657" i="7"/>
  <c r="H657" i="7"/>
  <c r="E657" i="7"/>
  <c r="D657" i="7"/>
  <c r="C657" i="7"/>
  <c r="B657" i="7"/>
  <c r="V656" i="7"/>
  <c r="U656" i="7"/>
  <c r="T656" i="7"/>
  <c r="Q656" i="7"/>
  <c r="P656" i="7"/>
  <c r="O656" i="7"/>
  <c r="N656" i="7"/>
  <c r="J656" i="7"/>
  <c r="I656" i="7"/>
  <c r="H656" i="7"/>
  <c r="E656" i="7"/>
  <c r="D656" i="7"/>
  <c r="C656" i="7"/>
  <c r="B656" i="7"/>
  <c r="V655" i="7"/>
  <c r="U655" i="7"/>
  <c r="T655" i="7"/>
  <c r="Q655" i="7"/>
  <c r="P655" i="7"/>
  <c r="O655" i="7"/>
  <c r="N655" i="7"/>
  <c r="J655" i="7"/>
  <c r="I655" i="7"/>
  <c r="H655" i="7"/>
  <c r="E655" i="7"/>
  <c r="D655" i="7"/>
  <c r="C655" i="7"/>
  <c r="B655" i="7"/>
  <c r="V654" i="7"/>
  <c r="U654" i="7"/>
  <c r="T654" i="7"/>
  <c r="Q654" i="7"/>
  <c r="P654" i="7"/>
  <c r="O654" i="7"/>
  <c r="N654" i="7"/>
  <c r="J654" i="7"/>
  <c r="I654" i="7"/>
  <c r="H654" i="7"/>
  <c r="E654" i="7"/>
  <c r="D654" i="7"/>
  <c r="C654" i="7"/>
  <c r="B654" i="7"/>
  <c r="V653" i="7"/>
  <c r="U653" i="7"/>
  <c r="T653" i="7"/>
  <c r="Q653" i="7"/>
  <c r="P653" i="7"/>
  <c r="O653" i="7"/>
  <c r="N653" i="7"/>
  <c r="J653" i="7"/>
  <c r="I653" i="7"/>
  <c r="H653" i="7"/>
  <c r="E653" i="7"/>
  <c r="D653" i="7"/>
  <c r="C653" i="7"/>
  <c r="B653" i="7"/>
  <c r="V652" i="7"/>
  <c r="U652" i="7"/>
  <c r="T652" i="7"/>
  <c r="Q652" i="7"/>
  <c r="P652" i="7"/>
  <c r="O652" i="7"/>
  <c r="N652" i="7"/>
  <c r="J652" i="7"/>
  <c r="I652" i="7"/>
  <c r="H652" i="7"/>
  <c r="E652" i="7"/>
  <c r="D652" i="7"/>
  <c r="C652" i="7"/>
  <c r="B652" i="7"/>
  <c r="V651" i="7"/>
  <c r="U651" i="7"/>
  <c r="T651" i="7"/>
  <c r="Q651" i="7"/>
  <c r="P651" i="7"/>
  <c r="O651" i="7"/>
  <c r="N651" i="7"/>
  <c r="J651" i="7"/>
  <c r="I651" i="7"/>
  <c r="H651" i="7"/>
  <c r="E651" i="7"/>
  <c r="D651" i="7"/>
  <c r="C651" i="7"/>
  <c r="B651" i="7"/>
  <c r="V650" i="7"/>
  <c r="U650" i="7"/>
  <c r="T650" i="7"/>
  <c r="Q650" i="7"/>
  <c r="P650" i="7"/>
  <c r="O650" i="7"/>
  <c r="N650" i="7"/>
  <c r="J650" i="7"/>
  <c r="I650" i="7"/>
  <c r="H650" i="7"/>
  <c r="E650" i="7"/>
  <c r="D650" i="7"/>
  <c r="C650" i="7"/>
  <c r="B650" i="7"/>
  <c r="V649" i="7"/>
  <c r="U649" i="7"/>
  <c r="T649" i="7"/>
  <c r="Q649" i="7"/>
  <c r="P649" i="7"/>
  <c r="O649" i="7"/>
  <c r="N649" i="7"/>
  <c r="J649" i="7"/>
  <c r="I649" i="7"/>
  <c r="H649" i="7"/>
  <c r="E649" i="7"/>
  <c r="D649" i="7"/>
  <c r="C649" i="7"/>
  <c r="B649" i="7"/>
  <c r="V648" i="7"/>
  <c r="U648" i="7"/>
  <c r="T648" i="7"/>
  <c r="Q648" i="7"/>
  <c r="P648" i="7"/>
  <c r="O648" i="7"/>
  <c r="N648" i="7"/>
  <c r="J648" i="7"/>
  <c r="I648" i="7"/>
  <c r="H648" i="7"/>
  <c r="E648" i="7"/>
  <c r="D648" i="7"/>
  <c r="C648" i="7"/>
  <c r="B648" i="7"/>
  <c r="V647" i="7"/>
  <c r="U647" i="7"/>
  <c r="T647" i="7"/>
  <c r="Q647" i="7"/>
  <c r="P647" i="7"/>
  <c r="O647" i="7"/>
  <c r="N647" i="7"/>
  <c r="J647" i="7"/>
  <c r="I647" i="7"/>
  <c r="H647" i="7"/>
  <c r="E647" i="7"/>
  <c r="D647" i="7"/>
  <c r="C647" i="7"/>
  <c r="B647" i="7"/>
  <c r="V646" i="7"/>
  <c r="U646" i="7"/>
  <c r="T646" i="7"/>
  <c r="Q646" i="7"/>
  <c r="P646" i="7"/>
  <c r="O646" i="7"/>
  <c r="N646" i="7"/>
  <c r="J646" i="7"/>
  <c r="I646" i="7"/>
  <c r="H646" i="7"/>
  <c r="E646" i="7"/>
  <c r="D646" i="7"/>
  <c r="C646" i="7"/>
  <c r="B646" i="7"/>
  <c r="V645" i="7"/>
  <c r="U645" i="7"/>
  <c r="T645" i="7"/>
  <c r="Q645" i="7"/>
  <c r="P645" i="7"/>
  <c r="O645" i="7"/>
  <c r="N645" i="7"/>
  <c r="J645" i="7"/>
  <c r="I645" i="7"/>
  <c r="H645" i="7"/>
  <c r="E645" i="7"/>
  <c r="D645" i="7"/>
  <c r="C645" i="7"/>
  <c r="B645" i="7"/>
  <c r="V644" i="7"/>
  <c r="U644" i="7"/>
  <c r="T644" i="7"/>
  <c r="Q644" i="7"/>
  <c r="P644" i="7"/>
  <c r="O644" i="7"/>
  <c r="N644" i="7"/>
  <c r="J644" i="7"/>
  <c r="I644" i="7"/>
  <c r="H644" i="7"/>
  <c r="E644" i="7"/>
  <c r="D644" i="7"/>
  <c r="C644" i="7"/>
  <c r="B644" i="7"/>
  <c r="V643" i="7"/>
  <c r="U643" i="7"/>
  <c r="T643" i="7"/>
  <c r="Q643" i="7"/>
  <c r="P643" i="7"/>
  <c r="O643" i="7"/>
  <c r="N643" i="7"/>
  <c r="J643" i="7"/>
  <c r="I643" i="7"/>
  <c r="H643" i="7"/>
  <c r="E643" i="7"/>
  <c r="D643" i="7"/>
  <c r="C643" i="7"/>
  <c r="B643" i="7"/>
  <c r="V642" i="7"/>
  <c r="U642" i="7"/>
  <c r="T642" i="7"/>
  <c r="Q642" i="7"/>
  <c r="P642" i="7"/>
  <c r="O642" i="7"/>
  <c r="N642" i="7"/>
  <c r="J642" i="7"/>
  <c r="I642" i="7"/>
  <c r="H642" i="7"/>
  <c r="E642" i="7"/>
  <c r="D642" i="7"/>
  <c r="C642" i="7"/>
  <c r="B642" i="7"/>
  <c r="V641" i="7"/>
  <c r="U641" i="7"/>
  <c r="T641" i="7"/>
  <c r="Q641" i="7"/>
  <c r="P641" i="7"/>
  <c r="O641" i="7"/>
  <c r="N641" i="7"/>
  <c r="J641" i="7"/>
  <c r="I641" i="7"/>
  <c r="H641" i="7"/>
  <c r="E641" i="7"/>
  <c r="D641" i="7"/>
  <c r="C641" i="7"/>
  <c r="B641" i="7"/>
  <c r="V640" i="7"/>
  <c r="U640" i="7"/>
  <c r="T640" i="7"/>
  <c r="Q640" i="7"/>
  <c r="P640" i="7"/>
  <c r="O640" i="7"/>
  <c r="N640" i="7"/>
  <c r="J640" i="7"/>
  <c r="I640" i="7"/>
  <c r="H640" i="7"/>
  <c r="E640" i="7"/>
  <c r="D640" i="7"/>
  <c r="C640" i="7"/>
  <c r="B640" i="7"/>
  <c r="V639" i="7"/>
  <c r="U639" i="7"/>
  <c r="T639" i="7"/>
  <c r="Q639" i="7"/>
  <c r="P639" i="7"/>
  <c r="O639" i="7"/>
  <c r="N639" i="7"/>
  <c r="J639" i="7"/>
  <c r="I639" i="7"/>
  <c r="H639" i="7"/>
  <c r="E639" i="7"/>
  <c r="D639" i="7"/>
  <c r="C639" i="7"/>
  <c r="B639" i="7"/>
  <c r="V638" i="7"/>
  <c r="U638" i="7"/>
  <c r="T638" i="7"/>
  <c r="Q638" i="7"/>
  <c r="P638" i="7"/>
  <c r="O638" i="7"/>
  <c r="N638" i="7"/>
  <c r="J638" i="7"/>
  <c r="I638" i="7"/>
  <c r="H638" i="7"/>
  <c r="E638" i="7"/>
  <c r="D638" i="7"/>
  <c r="C638" i="7"/>
  <c r="B638" i="7"/>
  <c r="V637" i="7"/>
  <c r="U637" i="7"/>
  <c r="T637" i="7"/>
  <c r="Q637" i="7"/>
  <c r="P637" i="7"/>
  <c r="O637" i="7"/>
  <c r="N637" i="7"/>
  <c r="J637" i="7"/>
  <c r="I637" i="7"/>
  <c r="H637" i="7"/>
  <c r="E637" i="7"/>
  <c r="D637" i="7"/>
  <c r="C637" i="7"/>
  <c r="B637" i="7"/>
  <c r="V636" i="7"/>
  <c r="U636" i="7"/>
  <c r="T636" i="7"/>
  <c r="Q636" i="7"/>
  <c r="P636" i="7"/>
  <c r="O636" i="7"/>
  <c r="N636" i="7"/>
  <c r="J636" i="7"/>
  <c r="I636" i="7"/>
  <c r="H636" i="7"/>
  <c r="E636" i="7"/>
  <c r="D636" i="7"/>
  <c r="C636" i="7"/>
  <c r="B636" i="7"/>
  <c r="V635" i="7"/>
  <c r="U635" i="7"/>
  <c r="T635" i="7"/>
  <c r="Q635" i="7"/>
  <c r="P635" i="7"/>
  <c r="O635" i="7"/>
  <c r="N635" i="7"/>
  <c r="J635" i="7"/>
  <c r="I635" i="7"/>
  <c r="H635" i="7"/>
  <c r="E635" i="7"/>
  <c r="D635" i="7"/>
  <c r="C635" i="7"/>
  <c r="B635" i="7"/>
  <c r="V634" i="7"/>
  <c r="U634" i="7"/>
  <c r="T634" i="7"/>
  <c r="Q634" i="7"/>
  <c r="P634" i="7"/>
  <c r="O634" i="7"/>
  <c r="N634" i="7"/>
  <c r="J634" i="7"/>
  <c r="I634" i="7"/>
  <c r="H634" i="7"/>
  <c r="E634" i="7"/>
  <c r="D634" i="7"/>
  <c r="C634" i="7"/>
  <c r="B634" i="7"/>
  <c r="V633" i="7"/>
  <c r="U633" i="7"/>
  <c r="T633" i="7"/>
  <c r="Q633" i="7"/>
  <c r="P633" i="7"/>
  <c r="O633" i="7"/>
  <c r="N633" i="7"/>
  <c r="J633" i="7"/>
  <c r="I633" i="7"/>
  <c r="H633" i="7"/>
  <c r="E633" i="7"/>
  <c r="D633" i="7"/>
  <c r="C633" i="7"/>
  <c r="B633" i="7"/>
  <c r="V632" i="7"/>
  <c r="U632" i="7"/>
  <c r="T632" i="7"/>
  <c r="Q632" i="7"/>
  <c r="P632" i="7"/>
  <c r="O632" i="7"/>
  <c r="N632" i="7"/>
  <c r="J632" i="7"/>
  <c r="I632" i="7"/>
  <c r="H632" i="7"/>
  <c r="E632" i="7"/>
  <c r="D632" i="7"/>
  <c r="C632" i="7"/>
  <c r="B632" i="7"/>
  <c r="V631" i="7"/>
  <c r="U631" i="7"/>
  <c r="T631" i="7"/>
  <c r="Q631" i="7"/>
  <c r="P631" i="7"/>
  <c r="O631" i="7"/>
  <c r="N631" i="7"/>
  <c r="J631" i="7"/>
  <c r="I631" i="7"/>
  <c r="H631" i="7"/>
  <c r="E631" i="7"/>
  <c r="D631" i="7"/>
  <c r="C631" i="7"/>
  <c r="B631" i="7"/>
  <c r="V630" i="7"/>
  <c r="U630" i="7"/>
  <c r="T630" i="7"/>
  <c r="Q630" i="7"/>
  <c r="P630" i="7"/>
  <c r="O630" i="7"/>
  <c r="N630" i="7"/>
  <c r="J630" i="7"/>
  <c r="I630" i="7"/>
  <c r="H630" i="7"/>
  <c r="E630" i="7"/>
  <c r="D630" i="7"/>
  <c r="C630" i="7"/>
  <c r="B630" i="7"/>
  <c r="V629" i="7"/>
  <c r="U629" i="7"/>
  <c r="T629" i="7"/>
  <c r="Q629" i="7"/>
  <c r="P629" i="7"/>
  <c r="O629" i="7"/>
  <c r="N629" i="7"/>
  <c r="J629" i="7"/>
  <c r="I629" i="7"/>
  <c r="H629" i="7"/>
  <c r="E629" i="7"/>
  <c r="D629" i="7"/>
  <c r="C629" i="7"/>
  <c r="B629" i="7"/>
  <c r="V628" i="7"/>
  <c r="U628" i="7"/>
  <c r="T628" i="7"/>
  <c r="Q628" i="7"/>
  <c r="P628" i="7"/>
  <c r="O628" i="7"/>
  <c r="N628" i="7"/>
  <c r="J628" i="7"/>
  <c r="I628" i="7"/>
  <c r="H628" i="7"/>
  <c r="E628" i="7"/>
  <c r="D628" i="7"/>
  <c r="C628" i="7"/>
  <c r="B628" i="7"/>
  <c r="V627" i="7"/>
  <c r="U627" i="7"/>
  <c r="T627" i="7"/>
  <c r="Q627" i="7"/>
  <c r="P627" i="7"/>
  <c r="O627" i="7"/>
  <c r="N627" i="7"/>
  <c r="J627" i="7"/>
  <c r="I627" i="7"/>
  <c r="H627" i="7"/>
  <c r="E627" i="7"/>
  <c r="D627" i="7"/>
  <c r="C627" i="7"/>
  <c r="B627" i="7"/>
  <c r="V626" i="7"/>
  <c r="U626" i="7"/>
  <c r="T626" i="7"/>
  <c r="Q626" i="7"/>
  <c r="P626" i="7"/>
  <c r="O626" i="7"/>
  <c r="N626" i="7"/>
  <c r="J626" i="7"/>
  <c r="I626" i="7"/>
  <c r="H626" i="7"/>
  <c r="E626" i="7"/>
  <c r="D626" i="7"/>
  <c r="C626" i="7"/>
  <c r="B626" i="7"/>
  <c r="V625" i="7"/>
  <c r="U625" i="7"/>
  <c r="T625" i="7"/>
  <c r="Q625" i="7"/>
  <c r="P625" i="7"/>
  <c r="O625" i="7"/>
  <c r="N625" i="7"/>
  <c r="J625" i="7"/>
  <c r="I625" i="7"/>
  <c r="H625" i="7"/>
  <c r="E625" i="7"/>
  <c r="D625" i="7"/>
  <c r="C625" i="7"/>
  <c r="B625" i="7"/>
  <c r="V624" i="7"/>
  <c r="U624" i="7"/>
  <c r="T624" i="7"/>
  <c r="Q624" i="7"/>
  <c r="P624" i="7"/>
  <c r="O624" i="7"/>
  <c r="N624" i="7"/>
  <c r="J624" i="7"/>
  <c r="I624" i="7"/>
  <c r="H624" i="7"/>
  <c r="E624" i="7"/>
  <c r="D624" i="7"/>
  <c r="C624" i="7"/>
  <c r="B624" i="7"/>
  <c r="V623" i="7"/>
  <c r="U623" i="7"/>
  <c r="T623" i="7"/>
  <c r="Q623" i="7"/>
  <c r="P623" i="7"/>
  <c r="O623" i="7"/>
  <c r="N623" i="7"/>
  <c r="J623" i="7"/>
  <c r="I623" i="7"/>
  <c r="H623" i="7"/>
  <c r="E623" i="7"/>
  <c r="D623" i="7"/>
  <c r="C623" i="7"/>
  <c r="B623" i="7"/>
  <c r="V622" i="7"/>
  <c r="U622" i="7"/>
  <c r="T622" i="7"/>
  <c r="Q622" i="7"/>
  <c r="P622" i="7"/>
  <c r="O622" i="7"/>
  <c r="N622" i="7"/>
  <c r="J622" i="7"/>
  <c r="I622" i="7"/>
  <c r="H622" i="7"/>
  <c r="E622" i="7"/>
  <c r="D622" i="7"/>
  <c r="C622" i="7"/>
  <c r="B622" i="7"/>
  <c r="V621" i="7"/>
  <c r="U621" i="7"/>
  <c r="T621" i="7"/>
  <c r="Q621" i="7"/>
  <c r="P621" i="7"/>
  <c r="O621" i="7"/>
  <c r="N621" i="7"/>
  <c r="J621" i="7"/>
  <c r="I621" i="7"/>
  <c r="H621" i="7"/>
  <c r="E621" i="7"/>
  <c r="D621" i="7"/>
  <c r="C621" i="7"/>
  <c r="B621" i="7"/>
  <c r="V620" i="7"/>
  <c r="U620" i="7"/>
  <c r="T620" i="7"/>
  <c r="Q620" i="7"/>
  <c r="P620" i="7"/>
  <c r="O620" i="7"/>
  <c r="N620" i="7"/>
  <c r="J620" i="7"/>
  <c r="I620" i="7"/>
  <c r="H620" i="7"/>
  <c r="E620" i="7"/>
  <c r="D620" i="7"/>
  <c r="C620" i="7"/>
  <c r="B620" i="7"/>
  <c r="V619" i="7"/>
  <c r="U619" i="7"/>
  <c r="T619" i="7"/>
  <c r="Q619" i="7"/>
  <c r="P619" i="7"/>
  <c r="O619" i="7"/>
  <c r="N619" i="7"/>
  <c r="J619" i="7"/>
  <c r="I619" i="7"/>
  <c r="H619" i="7"/>
  <c r="E619" i="7"/>
  <c r="D619" i="7"/>
  <c r="C619" i="7"/>
  <c r="B619" i="7"/>
  <c r="V618" i="7"/>
  <c r="U618" i="7"/>
  <c r="T618" i="7"/>
  <c r="Q618" i="7"/>
  <c r="P618" i="7"/>
  <c r="O618" i="7"/>
  <c r="N618" i="7"/>
  <c r="J618" i="7"/>
  <c r="I618" i="7"/>
  <c r="H618" i="7"/>
  <c r="E618" i="7"/>
  <c r="D618" i="7"/>
  <c r="C618" i="7"/>
  <c r="B618" i="7"/>
  <c r="V617" i="7"/>
  <c r="U617" i="7"/>
  <c r="T617" i="7"/>
  <c r="Q617" i="7"/>
  <c r="P617" i="7"/>
  <c r="O617" i="7"/>
  <c r="N617" i="7"/>
  <c r="J617" i="7"/>
  <c r="I617" i="7"/>
  <c r="H617" i="7"/>
  <c r="E617" i="7"/>
  <c r="D617" i="7"/>
  <c r="C617" i="7"/>
  <c r="B617" i="7"/>
  <c r="V616" i="7"/>
  <c r="U616" i="7"/>
  <c r="T616" i="7"/>
  <c r="Q616" i="7"/>
  <c r="P616" i="7"/>
  <c r="O616" i="7"/>
  <c r="N616" i="7"/>
  <c r="J616" i="7"/>
  <c r="I616" i="7"/>
  <c r="H616" i="7"/>
  <c r="E616" i="7"/>
  <c r="D616" i="7"/>
  <c r="C616" i="7"/>
  <c r="B616" i="7"/>
  <c r="V615" i="7"/>
  <c r="U615" i="7"/>
  <c r="T615" i="7"/>
  <c r="Q615" i="7"/>
  <c r="P615" i="7"/>
  <c r="O615" i="7"/>
  <c r="N615" i="7"/>
  <c r="J615" i="7"/>
  <c r="I615" i="7"/>
  <c r="H615" i="7"/>
  <c r="E615" i="7"/>
  <c r="D615" i="7"/>
  <c r="C615" i="7"/>
  <c r="B615" i="7"/>
  <c r="V614" i="7"/>
  <c r="U614" i="7"/>
  <c r="T614" i="7"/>
  <c r="Q614" i="7"/>
  <c r="P614" i="7"/>
  <c r="O614" i="7"/>
  <c r="N614" i="7"/>
  <c r="J614" i="7"/>
  <c r="I614" i="7"/>
  <c r="H614" i="7"/>
  <c r="E614" i="7"/>
  <c r="D614" i="7"/>
  <c r="C614" i="7"/>
  <c r="B614" i="7"/>
  <c r="V613" i="7"/>
  <c r="U613" i="7"/>
  <c r="T613" i="7"/>
  <c r="Q613" i="7"/>
  <c r="P613" i="7"/>
  <c r="O613" i="7"/>
  <c r="N613" i="7"/>
  <c r="J613" i="7"/>
  <c r="I613" i="7"/>
  <c r="H613" i="7"/>
  <c r="E613" i="7"/>
  <c r="D613" i="7"/>
  <c r="C613" i="7"/>
  <c r="B613" i="7"/>
  <c r="V612" i="7"/>
  <c r="U612" i="7"/>
  <c r="T612" i="7"/>
  <c r="Q612" i="7"/>
  <c r="P612" i="7"/>
  <c r="O612" i="7"/>
  <c r="N612" i="7"/>
  <c r="J612" i="7"/>
  <c r="I612" i="7"/>
  <c r="H612" i="7"/>
  <c r="E612" i="7"/>
  <c r="D612" i="7"/>
  <c r="C612" i="7"/>
  <c r="B612" i="7"/>
  <c r="V611" i="7"/>
  <c r="U611" i="7"/>
  <c r="T611" i="7"/>
  <c r="Q611" i="7"/>
  <c r="P611" i="7"/>
  <c r="O611" i="7"/>
  <c r="N611" i="7"/>
  <c r="J611" i="7"/>
  <c r="I611" i="7"/>
  <c r="H611" i="7"/>
  <c r="E611" i="7"/>
  <c r="D611" i="7"/>
  <c r="C611" i="7"/>
  <c r="B611" i="7"/>
  <c r="V610" i="7"/>
  <c r="U610" i="7"/>
  <c r="T610" i="7"/>
  <c r="Q610" i="7"/>
  <c r="P610" i="7"/>
  <c r="O610" i="7"/>
  <c r="N610" i="7"/>
  <c r="J610" i="7"/>
  <c r="I610" i="7"/>
  <c r="H610" i="7"/>
  <c r="E610" i="7"/>
  <c r="D610" i="7"/>
  <c r="C610" i="7"/>
  <c r="B610" i="7"/>
  <c r="V609" i="7"/>
  <c r="U609" i="7"/>
  <c r="T609" i="7"/>
  <c r="Q609" i="7"/>
  <c r="P609" i="7"/>
  <c r="O609" i="7"/>
  <c r="N609" i="7"/>
  <c r="J609" i="7"/>
  <c r="I609" i="7"/>
  <c r="H609" i="7"/>
  <c r="E609" i="7"/>
  <c r="D609" i="7"/>
  <c r="C609" i="7"/>
  <c r="B609" i="7"/>
  <c r="V608" i="7"/>
  <c r="U608" i="7"/>
  <c r="T608" i="7"/>
  <c r="Q608" i="7"/>
  <c r="P608" i="7"/>
  <c r="O608" i="7"/>
  <c r="N608" i="7"/>
  <c r="J608" i="7"/>
  <c r="I608" i="7"/>
  <c r="H608" i="7"/>
  <c r="E608" i="7"/>
  <c r="D608" i="7"/>
  <c r="C608" i="7"/>
  <c r="B608" i="7"/>
  <c r="V607" i="7"/>
  <c r="U607" i="7"/>
  <c r="T607" i="7"/>
  <c r="Q607" i="7"/>
  <c r="P607" i="7"/>
  <c r="O607" i="7"/>
  <c r="N607" i="7"/>
  <c r="J607" i="7"/>
  <c r="I607" i="7"/>
  <c r="H607" i="7"/>
  <c r="E607" i="7"/>
  <c r="D607" i="7"/>
  <c r="C607" i="7"/>
  <c r="B607" i="7"/>
  <c r="V606" i="7"/>
  <c r="U606" i="7"/>
  <c r="T606" i="7"/>
  <c r="Q606" i="7"/>
  <c r="P606" i="7"/>
  <c r="O606" i="7"/>
  <c r="N606" i="7"/>
  <c r="J606" i="7"/>
  <c r="I606" i="7"/>
  <c r="H606" i="7"/>
  <c r="E606" i="7"/>
  <c r="D606" i="7"/>
  <c r="C606" i="7"/>
  <c r="B606" i="7"/>
  <c r="V605" i="7"/>
  <c r="U605" i="7"/>
  <c r="T605" i="7"/>
  <c r="Q605" i="7"/>
  <c r="P605" i="7"/>
  <c r="O605" i="7"/>
  <c r="N605" i="7"/>
  <c r="J605" i="7"/>
  <c r="I605" i="7"/>
  <c r="H605" i="7"/>
  <c r="E605" i="7"/>
  <c r="D605" i="7"/>
  <c r="C605" i="7"/>
  <c r="B605" i="7"/>
  <c r="V604" i="7"/>
  <c r="U604" i="7"/>
  <c r="T604" i="7"/>
  <c r="Q604" i="7"/>
  <c r="P604" i="7"/>
  <c r="O604" i="7"/>
  <c r="N604" i="7"/>
  <c r="J604" i="7"/>
  <c r="I604" i="7"/>
  <c r="H604" i="7"/>
  <c r="E604" i="7"/>
  <c r="D604" i="7"/>
  <c r="C604" i="7"/>
  <c r="B604" i="7"/>
  <c r="V603" i="7"/>
  <c r="U603" i="7"/>
  <c r="T603" i="7"/>
  <c r="Q603" i="7"/>
  <c r="P603" i="7"/>
  <c r="O603" i="7"/>
  <c r="N603" i="7"/>
  <c r="J603" i="7"/>
  <c r="I603" i="7"/>
  <c r="H603" i="7"/>
  <c r="E603" i="7"/>
  <c r="D603" i="7"/>
  <c r="C603" i="7"/>
  <c r="B603" i="7"/>
  <c r="V602" i="7"/>
  <c r="U602" i="7"/>
  <c r="T602" i="7"/>
  <c r="Q602" i="7"/>
  <c r="P602" i="7"/>
  <c r="O602" i="7"/>
  <c r="N602" i="7"/>
  <c r="J602" i="7"/>
  <c r="I602" i="7"/>
  <c r="H602" i="7"/>
  <c r="E602" i="7"/>
  <c r="D602" i="7"/>
  <c r="C602" i="7"/>
  <c r="B602" i="7"/>
  <c r="V601" i="7"/>
  <c r="U601" i="7"/>
  <c r="T601" i="7"/>
  <c r="Q601" i="7"/>
  <c r="P601" i="7"/>
  <c r="O601" i="7"/>
  <c r="N601" i="7"/>
  <c r="J601" i="7"/>
  <c r="I601" i="7"/>
  <c r="H601" i="7"/>
  <c r="E601" i="7"/>
  <c r="D601" i="7"/>
  <c r="C601" i="7"/>
  <c r="B601" i="7"/>
  <c r="V600" i="7"/>
  <c r="U600" i="7"/>
  <c r="T600" i="7"/>
  <c r="Q600" i="7"/>
  <c r="P600" i="7"/>
  <c r="O600" i="7"/>
  <c r="N600" i="7"/>
  <c r="J600" i="7"/>
  <c r="I600" i="7"/>
  <c r="H600" i="7"/>
  <c r="E600" i="7"/>
  <c r="D600" i="7"/>
  <c r="C600" i="7"/>
  <c r="B600" i="7"/>
  <c r="V599" i="7"/>
  <c r="U599" i="7"/>
  <c r="T599" i="7"/>
  <c r="Q599" i="7"/>
  <c r="P599" i="7"/>
  <c r="O599" i="7"/>
  <c r="N599" i="7"/>
  <c r="J599" i="7"/>
  <c r="I599" i="7"/>
  <c r="H599" i="7"/>
  <c r="E599" i="7"/>
  <c r="D599" i="7"/>
  <c r="C599" i="7"/>
  <c r="B599" i="7"/>
  <c r="V598" i="7"/>
  <c r="U598" i="7"/>
  <c r="T598" i="7"/>
  <c r="Q598" i="7"/>
  <c r="P598" i="7"/>
  <c r="O598" i="7"/>
  <c r="N598" i="7"/>
  <c r="J598" i="7"/>
  <c r="I598" i="7"/>
  <c r="H598" i="7"/>
  <c r="E598" i="7"/>
  <c r="D598" i="7"/>
  <c r="C598" i="7"/>
  <c r="B598" i="7"/>
  <c r="V597" i="7"/>
  <c r="U597" i="7"/>
  <c r="T597" i="7"/>
  <c r="Q597" i="7"/>
  <c r="P597" i="7"/>
  <c r="O597" i="7"/>
  <c r="N597" i="7"/>
  <c r="J597" i="7"/>
  <c r="I597" i="7"/>
  <c r="H597" i="7"/>
  <c r="E597" i="7"/>
  <c r="D597" i="7"/>
  <c r="C597" i="7"/>
  <c r="B597" i="7"/>
  <c r="V596" i="7"/>
  <c r="U596" i="7"/>
  <c r="T596" i="7"/>
  <c r="Q596" i="7"/>
  <c r="P596" i="7"/>
  <c r="O596" i="7"/>
  <c r="N596" i="7"/>
  <c r="J596" i="7"/>
  <c r="I596" i="7"/>
  <c r="H596" i="7"/>
  <c r="E596" i="7"/>
  <c r="D596" i="7"/>
  <c r="C596" i="7"/>
  <c r="B596" i="7"/>
  <c r="V595" i="7"/>
  <c r="U595" i="7"/>
  <c r="T595" i="7"/>
  <c r="Q595" i="7"/>
  <c r="P595" i="7"/>
  <c r="O595" i="7"/>
  <c r="N595" i="7"/>
  <c r="J595" i="7"/>
  <c r="I595" i="7"/>
  <c r="H595" i="7"/>
  <c r="E595" i="7"/>
  <c r="D595" i="7"/>
  <c r="C595" i="7"/>
  <c r="B595" i="7"/>
  <c r="V594" i="7"/>
  <c r="U594" i="7"/>
  <c r="T594" i="7"/>
  <c r="Q594" i="7"/>
  <c r="P594" i="7"/>
  <c r="O594" i="7"/>
  <c r="N594" i="7"/>
  <c r="J594" i="7"/>
  <c r="I594" i="7"/>
  <c r="H594" i="7"/>
  <c r="E594" i="7"/>
  <c r="D594" i="7"/>
  <c r="C594" i="7"/>
  <c r="B594" i="7"/>
  <c r="V593" i="7"/>
  <c r="U593" i="7"/>
  <c r="T593" i="7"/>
  <c r="Q593" i="7"/>
  <c r="P593" i="7"/>
  <c r="O593" i="7"/>
  <c r="N593" i="7"/>
  <c r="J593" i="7"/>
  <c r="I593" i="7"/>
  <c r="H593" i="7"/>
  <c r="E593" i="7"/>
  <c r="D593" i="7"/>
  <c r="C593" i="7"/>
  <c r="B593" i="7"/>
  <c r="V592" i="7"/>
  <c r="U592" i="7"/>
  <c r="T592" i="7"/>
  <c r="Q592" i="7"/>
  <c r="P592" i="7"/>
  <c r="O592" i="7"/>
  <c r="N592" i="7"/>
  <c r="J592" i="7"/>
  <c r="I592" i="7"/>
  <c r="H592" i="7"/>
  <c r="E592" i="7"/>
  <c r="D592" i="7"/>
  <c r="C592" i="7"/>
  <c r="B592" i="7"/>
  <c r="V591" i="7"/>
  <c r="U591" i="7"/>
  <c r="T591" i="7"/>
  <c r="Q591" i="7"/>
  <c r="P591" i="7"/>
  <c r="O591" i="7"/>
  <c r="N591" i="7"/>
  <c r="J591" i="7"/>
  <c r="I591" i="7"/>
  <c r="H591" i="7"/>
  <c r="E591" i="7"/>
  <c r="D591" i="7"/>
  <c r="C591" i="7"/>
  <c r="B591" i="7"/>
  <c r="V590" i="7"/>
  <c r="U590" i="7"/>
  <c r="T590" i="7"/>
  <c r="Q590" i="7"/>
  <c r="P590" i="7"/>
  <c r="O590" i="7"/>
  <c r="N590" i="7"/>
  <c r="J590" i="7"/>
  <c r="I590" i="7"/>
  <c r="H590" i="7"/>
  <c r="E590" i="7"/>
  <c r="D590" i="7"/>
  <c r="C590" i="7"/>
  <c r="B590" i="7"/>
  <c r="V589" i="7"/>
  <c r="U589" i="7"/>
  <c r="T589" i="7"/>
  <c r="Q589" i="7"/>
  <c r="P589" i="7"/>
  <c r="O589" i="7"/>
  <c r="N589" i="7"/>
  <c r="J589" i="7"/>
  <c r="I589" i="7"/>
  <c r="H589" i="7"/>
  <c r="E589" i="7"/>
  <c r="D589" i="7"/>
  <c r="C589" i="7"/>
  <c r="B589" i="7"/>
  <c r="V588" i="7"/>
  <c r="U588" i="7"/>
  <c r="T588" i="7"/>
  <c r="Q588" i="7"/>
  <c r="P588" i="7"/>
  <c r="O588" i="7"/>
  <c r="N588" i="7"/>
  <c r="J588" i="7"/>
  <c r="I588" i="7"/>
  <c r="H588" i="7"/>
  <c r="E588" i="7"/>
  <c r="D588" i="7"/>
  <c r="C588" i="7"/>
  <c r="B588" i="7"/>
  <c r="V587" i="7"/>
  <c r="U587" i="7"/>
  <c r="T587" i="7"/>
  <c r="Q587" i="7"/>
  <c r="P587" i="7"/>
  <c r="O587" i="7"/>
  <c r="N587" i="7"/>
  <c r="J587" i="7"/>
  <c r="I587" i="7"/>
  <c r="H587" i="7"/>
  <c r="E587" i="7"/>
  <c r="D587" i="7"/>
  <c r="C587" i="7"/>
  <c r="B587" i="7"/>
  <c r="V586" i="7"/>
  <c r="U586" i="7"/>
  <c r="T586" i="7"/>
  <c r="Q586" i="7"/>
  <c r="P586" i="7"/>
  <c r="O586" i="7"/>
  <c r="N586" i="7"/>
  <c r="J586" i="7"/>
  <c r="I586" i="7"/>
  <c r="H586" i="7"/>
  <c r="E586" i="7"/>
  <c r="D586" i="7"/>
  <c r="C586" i="7"/>
  <c r="B586" i="7"/>
  <c r="V585" i="7"/>
  <c r="U585" i="7"/>
  <c r="T585" i="7"/>
  <c r="Q585" i="7"/>
  <c r="P585" i="7"/>
  <c r="O585" i="7"/>
  <c r="N585" i="7"/>
  <c r="J585" i="7"/>
  <c r="I585" i="7"/>
  <c r="H585" i="7"/>
  <c r="E585" i="7"/>
  <c r="D585" i="7"/>
  <c r="C585" i="7"/>
  <c r="B585" i="7"/>
  <c r="V584" i="7"/>
  <c r="U584" i="7"/>
  <c r="T584" i="7"/>
  <c r="Q584" i="7"/>
  <c r="P584" i="7"/>
  <c r="O584" i="7"/>
  <c r="N584" i="7"/>
  <c r="J584" i="7"/>
  <c r="I584" i="7"/>
  <c r="H584" i="7"/>
  <c r="E584" i="7"/>
  <c r="D584" i="7"/>
  <c r="C584" i="7"/>
  <c r="B584" i="7"/>
  <c r="V583" i="7"/>
  <c r="U583" i="7"/>
  <c r="T583" i="7"/>
  <c r="Q583" i="7"/>
  <c r="P583" i="7"/>
  <c r="O583" i="7"/>
  <c r="N583" i="7"/>
  <c r="J583" i="7"/>
  <c r="I583" i="7"/>
  <c r="H583" i="7"/>
  <c r="E583" i="7"/>
  <c r="D583" i="7"/>
  <c r="C583" i="7"/>
  <c r="B583" i="7"/>
  <c r="V582" i="7"/>
  <c r="U582" i="7"/>
  <c r="T582" i="7"/>
  <c r="Q582" i="7"/>
  <c r="P582" i="7"/>
  <c r="O582" i="7"/>
  <c r="N582" i="7"/>
  <c r="J582" i="7"/>
  <c r="I582" i="7"/>
  <c r="H582" i="7"/>
  <c r="E582" i="7"/>
  <c r="D582" i="7"/>
  <c r="C582" i="7"/>
  <c r="B582" i="7"/>
  <c r="V581" i="7"/>
  <c r="U581" i="7"/>
  <c r="T581" i="7"/>
  <c r="Q581" i="7"/>
  <c r="P581" i="7"/>
  <c r="O581" i="7"/>
  <c r="N581" i="7"/>
  <c r="J581" i="7"/>
  <c r="I581" i="7"/>
  <c r="H581" i="7"/>
  <c r="E581" i="7"/>
  <c r="D581" i="7"/>
  <c r="C581" i="7"/>
  <c r="B581" i="7"/>
  <c r="V580" i="7"/>
  <c r="U580" i="7"/>
  <c r="T580" i="7"/>
  <c r="Q580" i="7"/>
  <c r="P580" i="7"/>
  <c r="O580" i="7"/>
  <c r="N580" i="7"/>
  <c r="J580" i="7"/>
  <c r="I580" i="7"/>
  <c r="H580" i="7"/>
  <c r="E580" i="7"/>
  <c r="D580" i="7"/>
  <c r="C580" i="7"/>
  <c r="B580" i="7"/>
  <c r="V579" i="7"/>
  <c r="U579" i="7"/>
  <c r="T579" i="7"/>
  <c r="Q579" i="7"/>
  <c r="P579" i="7"/>
  <c r="O579" i="7"/>
  <c r="N579" i="7"/>
  <c r="J579" i="7"/>
  <c r="I579" i="7"/>
  <c r="H579" i="7"/>
  <c r="E579" i="7"/>
  <c r="D579" i="7"/>
  <c r="C579" i="7"/>
  <c r="B579" i="7"/>
  <c r="V578" i="7"/>
  <c r="U578" i="7"/>
  <c r="T578" i="7"/>
  <c r="Q578" i="7"/>
  <c r="P578" i="7"/>
  <c r="O578" i="7"/>
  <c r="N578" i="7"/>
  <c r="J578" i="7"/>
  <c r="I578" i="7"/>
  <c r="H578" i="7"/>
  <c r="E578" i="7"/>
  <c r="D578" i="7"/>
  <c r="C578" i="7"/>
  <c r="B578" i="7"/>
  <c r="V577" i="7"/>
  <c r="U577" i="7"/>
  <c r="T577" i="7"/>
  <c r="Q577" i="7"/>
  <c r="P577" i="7"/>
  <c r="O577" i="7"/>
  <c r="N577" i="7"/>
  <c r="J577" i="7"/>
  <c r="I577" i="7"/>
  <c r="H577" i="7"/>
  <c r="E577" i="7"/>
  <c r="D577" i="7"/>
  <c r="C577" i="7"/>
  <c r="B577" i="7"/>
  <c r="V576" i="7"/>
  <c r="U576" i="7"/>
  <c r="T576" i="7"/>
  <c r="Q576" i="7"/>
  <c r="P576" i="7"/>
  <c r="O576" i="7"/>
  <c r="N576" i="7"/>
  <c r="J576" i="7"/>
  <c r="I576" i="7"/>
  <c r="H576" i="7"/>
  <c r="E576" i="7"/>
  <c r="D576" i="7"/>
  <c r="C576" i="7"/>
  <c r="B576" i="7"/>
  <c r="V575" i="7"/>
  <c r="U575" i="7"/>
  <c r="T575" i="7"/>
  <c r="Q575" i="7"/>
  <c r="P575" i="7"/>
  <c r="O575" i="7"/>
  <c r="N575" i="7"/>
  <c r="J575" i="7"/>
  <c r="I575" i="7"/>
  <c r="H575" i="7"/>
  <c r="E575" i="7"/>
  <c r="D575" i="7"/>
  <c r="C575" i="7"/>
  <c r="B575" i="7"/>
  <c r="V574" i="7"/>
  <c r="U574" i="7"/>
  <c r="T574" i="7"/>
  <c r="Q574" i="7"/>
  <c r="P574" i="7"/>
  <c r="O574" i="7"/>
  <c r="N574" i="7"/>
  <c r="J574" i="7"/>
  <c r="I574" i="7"/>
  <c r="H574" i="7"/>
  <c r="E574" i="7"/>
  <c r="D574" i="7"/>
  <c r="C574" i="7"/>
  <c r="B574" i="7"/>
  <c r="V573" i="7"/>
  <c r="U573" i="7"/>
  <c r="T573" i="7"/>
  <c r="Q573" i="7"/>
  <c r="P573" i="7"/>
  <c r="O573" i="7"/>
  <c r="N573" i="7"/>
  <c r="J573" i="7"/>
  <c r="I573" i="7"/>
  <c r="H573" i="7"/>
  <c r="E573" i="7"/>
  <c r="D573" i="7"/>
  <c r="C573" i="7"/>
  <c r="B573" i="7"/>
  <c r="V572" i="7"/>
  <c r="U572" i="7"/>
  <c r="T572" i="7"/>
  <c r="Q572" i="7"/>
  <c r="P572" i="7"/>
  <c r="O572" i="7"/>
  <c r="N572" i="7"/>
  <c r="J572" i="7"/>
  <c r="I572" i="7"/>
  <c r="H572" i="7"/>
  <c r="E572" i="7"/>
  <c r="D572" i="7"/>
  <c r="C572" i="7"/>
  <c r="B572" i="7"/>
  <c r="V571" i="7"/>
  <c r="U571" i="7"/>
  <c r="T571" i="7"/>
  <c r="Q571" i="7"/>
  <c r="P571" i="7"/>
  <c r="O571" i="7"/>
  <c r="N571" i="7"/>
  <c r="J571" i="7"/>
  <c r="I571" i="7"/>
  <c r="H571" i="7"/>
  <c r="E571" i="7"/>
  <c r="D571" i="7"/>
  <c r="C571" i="7"/>
  <c r="B571" i="7"/>
  <c r="V570" i="7"/>
  <c r="U570" i="7"/>
  <c r="T570" i="7"/>
  <c r="Q570" i="7"/>
  <c r="P570" i="7"/>
  <c r="O570" i="7"/>
  <c r="N570" i="7"/>
  <c r="J570" i="7"/>
  <c r="I570" i="7"/>
  <c r="H570" i="7"/>
  <c r="E570" i="7"/>
  <c r="D570" i="7"/>
  <c r="C570" i="7"/>
  <c r="B570" i="7"/>
  <c r="V569" i="7"/>
  <c r="U569" i="7"/>
  <c r="T569" i="7"/>
  <c r="Q569" i="7"/>
  <c r="P569" i="7"/>
  <c r="O569" i="7"/>
  <c r="N569" i="7"/>
  <c r="J569" i="7"/>
  <c r="I569" i="7"/>
  <c r="H569" i="7"/>
  <c r="E569" i="7"/>
  <c r="D569" i="7"/>
  <c r="C569" i="7"/>
  <c r="B569" i="7"/>
  <c r="V568" i="7"/>
  <c r="U568" i="7"/>
  <c r="T568" i="7"/>
  <c r="Q568" i="7"/>
  <c r="P568" i="7"/>
  <c r="O568" i="7"/>
  <c r="N568" i="7"/>
  <c r="J568" i="7"/>
  <c r="I568" i="7"/>
  <c r="H568" i="7"/>
  <c r="E568" i="7"/>
  <c r="D568" i="7"/>
  <c r="C568" i="7"/>
  <c r="B568" i="7"/>
  <c r="V567" i="7"/>
  <c r="U567" i="7"/>
  <c r="T567" i="7"/>
  <c r="Q567" i="7"/>
  <c r="P567" i="7"/>
  <c r="O567" i="7"/>
  <c r="N567" i="7"/>
  <c r="J567" i="7"/>
  <c r="I567" i="7"/>
  <c r="H567" i="7"/>
  <c r="E567" i="7"/>
  <c r="D567" i="7"/>
  <c r="C567" i="7"/>
  <c r="B567" i="7"/>
  <c r="V566" i="7"/>
  <c r="U566" i="7"/>
  <c r="T566" i="7"/>
  <c r="Q566" i="7"/>
  <c r="P566" i="7"/>
  <c r="O566" i="7"/>
  <c r="N566" i="7"/>
  <c r="J566" i="7"/>
  <c r="I566" i="7"/>
  <c r="H566" i="7"/>
  <c r="E566" i="7"/>
  <c r="D566" i="7"/>
  <c r="C566" i="7"/>
  <c r="B566" i="7"/>
  <c r="V565" i="7"/>
  <c r="U565" i="7"/>
  <c r="T565" i="7"/>
  <c r="Q565" i="7"/>
  <c r="P565" i="7"/>
  <c r="O565" i="7"/>
  <c r="N565" i="7"/>
  <c r="J565" i="7"/>
  <c r="I565" i="7"/>
  <c r="H565" i="7"/>
  <c r="E565" i="7"/>
  <c r="D565" i="7"/>
  <c r="C565" i="7"/>
  <c r="B565" i="7"/>
  <c r="V564" i="7"/>
  <c r="U564" i="7"/>
  <c r="T564" i="7"/>
  <c r="Q564" i="7"/>
  <c r="P564" i="7"/>
  <c r="O564" i="7"/>
  <c r="N564" i="7"/>
  <c r="J564" i="7"/>
  <c r="I564" i="7"/>
  <c r="H564" i="7"/>
  <c r="E564" i="7"/>
  <c r="D564" i="7"/>
  <c r="C564" i="7"/>
  <c r="B564" i="7"/>
  <c r="V563" i="7"/>
  <c r="U563" i="7"/>
  <c r="T563" i="7"/>
  <c r="Q563" i="7"/>
  <c r="P563" i="7"/>
  <c r="O563" i="7"/>
  <c r="N563" i="7"/>
  <c r="J563" i="7"/>
  <c r="I563" i="7"/>
  <c r="H563" i="7"/>
  <c r="E563" i="7"/>
  <c r="D563" i="7"/>
  <c r="C563" i="7"/>
  <c r="B563" i="7"/>
  <c r="V562" i="7"/>
  <c r="U562" i="7"/>
  <c r="T562" i="7"/>
  <c r="Q562" i="7"/>
  <c r="P562" i="7"/>
  <c r="O562" i="7"/>
  <c r="N562" i="7"/>
  <c r="J562" i="7"/>
  <c r="I562" i="7"/>
  <c r="H562" i="7"/>
  <c r="E562" i="7"/>
  <c r="D562" i="7"/>
  <c r="C562" i="7"/>
  <c r="B562" i="7"/>
  <c r="V561" i="7"/>
  <c r="U561" i="7"/>
  <c r="T561" i="7"/>
  <c r="Q561" i="7"/>
  <c r="P561" i="7"/>
  <c r="O561" i="7"/>
  <c r="N561" i="7"/>
  <c r="J561" i="7"/>
  <c r="I561" i="7"/>
  <c r="H561" i="7"/>
  <c r="E561" i="7"/>
  <c r="D561" i="7"/>
  <c r="C561" i="7"/>
  <c r="B561" i="7"/>
  <c r="V560" i="7"/>
  <c r="U560" i="7"/>
  <c r="T560" i="7"/>
  <c r="Q560" i="7"/>
  <c r="P560" i="7"/>
  <c r="O560" i="7"/>
  <c r="N560" i="7"/>
  <c r="J560" i="7"/>
  <c r="I560" i="7"/>
  <c r="H560" i="7"/>
  <c r="E560" i="7"/>
  <c r="D560" i="7"/>
  <c r="C560" i="7"/>
  <c r="B560" i="7"/>
  <c r="V559" i="7"/>
  <c r="U559" i="7"/>
  <c r="T559" i="7"/>
  <c r="Q559" i="7"/>
  <c r="P559" i="7"/>
  <c r="O559" i="7"/>
  <c r="N559" i="7"/>
  <c r="J559" i="7"/>
  <c r="I559" i="7"/>
  <c r="H559" i="7"/>
  <c r="E559" i="7"/>
  <c r="D559" i="7"/>
  <c r="C559" i="7"/>
  <c r="B559" i="7"/>
  <c r="V558" i="7"/>
  <c r="U558" i="7"/>
  <c r="T558" i="7"/>
  <c r="Q558" i="7"/>
  <c r="P558" i="7"/>
  <c r="O558" i="7"/>
  <c r="N558" i="7"/>
  <c r="J558" i="7"/>
  <c r="I558" i="7"/>
  <c r="H558" i="7"/>
  <c r="E558" i="7"/>
  <c r="D558" i="7"/>
  <c r="C558" i="7"/>
  <c r="B558" i="7"/>
  <c r="V557" i="7"/>
  <c r="U557" i="7"/>
  <c r="T557" i="7"/>
  <c r="Q557" i="7"/>
  <c r="P557" i="7"/>
  <c r="O557" i="7"/>
  <c r="N557" i="7"/>
  <c r="J557" i="7"/>
  <c r="I557" i="7"/>
  <c r="H557" i="7"/>
  <c r="E557" i="7"/>
  <c r="D557" i="7"/>
  <c r="C557" i="7"/>
  <c r="B557" i="7"/>
  <c r="V556" i="7"/>
  <c r="U556" i="7"/>
  <c r="T556" i="7"/>
  <c r="Q556" i="7"/>
  <c r="P556" i="7"/>
  <c r="O556" i="7"/>
  <c r="N556" i="7"/>
  <c r="J556" i="7"/>
  <c r="I556" i="7"/>
  <c r="H556" i="7"/>
  <c r="E556" i="7"/>
  <c r="D556" i="7"/>
  <c r="C556" i="7"/>
  <c r="B556" i="7"/>
  <c r="V555" i="7"/>
  <c r="U555" i="7"/>
  <c r="T555" i="7"/>
  <c r="Q555" i="7"/>
  <c r="P555" i="7"/>
  <c r="O555" i="7"/>
  <c r="N555" i="7"/>
  <c r="J555" i="7"/>
  <c r="I555" i="7"/>
  <c r="H555" i="7"/>
  <c r="E555" i="7"/>
  <c r="D555" i="7"/>
  <c r="C555" i="7"/>
  <c r="B555" i="7"/>
  <c r="V554" i="7"/>
  <c r="U554" i="7"/>
  <c r="T554" i="7"/>
  <c r="Q554" i="7"/>
  <c r="P554" i="7"/>
  <c r="O554" i="7"/>
  <c r="N554" i="7"/>
  <c r="J554" i="7"/>
  <c r="I554" i="7"/>
  <c r="H554" i="7"/>
  <c r="E554" i="7"/>
  <c r="D554" i="7"/>
  <c r="C554" i="7"/>
  <c r="B554" i="7"/>
  <c r="V553" i="7"/>
  <c r="U553" i="7"/>
  <c r="T553" i="7"/>
  <c r="Q553" i="7"/>
  <c r="P553" i="7"/>
  <c r="O553" i="7"/>
  <c r="N553" i="7"/>
  <c r="J553" i="7"/>
  <c r="I553" i="7"/>
  <c r="H553" i="7"/>
  <c r="E553" i="7"/>
  <c r="D553" i="7"/>
  <c r="C553" i="7"/>
  <c r="B553" i="7"/>
  <c r="V552" i="7"/>
  <c r="U552" i="7"/>
  <c r="T552" i="7"/>
  <c r="Q552" i="7"/>
  <c r="P552" i="7"/>
  <c r="O552" i="7"/>
  <c r="N552" i="7"/>
  <c r="J552" i="7"/>
  <c r="I552" i="7"/>
  <c r="H552" i="7"/>
  <c r="E552" i="7"/>
  <c r="D552" i="7"/>
  <c r="C552" i="7"/>
  <c r="B552" i="7"/>
  <c r="V551" i="7"/>
  <c r="U551" i="7"/>
  <c r="T551" i="7"/>
  <c r="Q551" i="7"/>
  <c r="P551" i="7"/>
  <c r="O551" i="7"/>
  <c r="N551" i="7"/>
  <c r="J551" i="7"/>
  <c r="I551" i="7"/>
  <c r="H551" i="7"/>
  <c r="E551" i="7"/>
  <c r="D551" i="7"/>
  <c r="C551" i="7"/>
  <c r="B551" i="7"/>
  <c r="V550" i="7"/>
  <c r="U550" i="7"/>
  <c r="T550" i="7"/>
  <c r="Q550" i="7"/>
  <c r="P550" i="7"/>
  <c r="O550" i="7"/>
  <c r="N550" i="7"/>
  <c r="J550" i="7"/>
  <c r="I550" i="7"/>
  <c r="H550" i="7"/>
  <c r="E550" i="7"/>
  <c r="D550" i="7"/>
  <c r="C550" i="7"/>
  <c r="B550" i="7"/>
  <c r="V549" i="7"/>
  <c r="U549" i="7"/>
  <c r="T549" i="7"/>
  <c r="Q549" i="7"/>
  <c r="P549" i="7"/>
  <c r="O549" i="7"/>
  <c r="N549" i="7"/>
  <c r="J549" i="7"/>
  <c r="I549" i="7"/>
  <c r="H549" i="7"/>
  <c r="E549" i="7"/>
  <c r="D549" i="7"/>
  <c r="C549" i="7"/>
  <c r="B549" i="7"/>
  <c r="V548" i="7"/>
  <c r="U548" i="7"/>
  <c r="T548" i="7"/>
  <c r="Q548" i="7"/>
  <c r="P548" i="7"/>
  <c r="O548" i="7"/>
  <c r="N548" i="7"/>
  <c r="J548" i="7"/>
  <c r="I548" i="7"/>
  <c r="H548" i="7"/>
  <c r="E548" i="7"/>
  <c r="D548" i="7"/>
  <c r="C548" i="7"/>
  <c r="B548" i="7"/>
  <c r="V547" i="7"/>
  <c r="U547" i="7"/>
  <c r="T547" i="7"/>
  <c r="Q547" i="7"/>
  <c r="P547" i="7"/>
  <c r="O547" i="7"/>
  <c r="N547" i="7"/>
  <c r="J547" i="7"/>
  <c r="I547" i="7"/>
  <c r="H547" i="7"/>
  <c r="E547" i="7"/>
  <c r="D547" i="7"/>
  <c r="C547" i="7"/>
  <c r="B547" i="7"/>
  <c r="V546" i="7"/>
  <c r="U546" i="7"/>
  <c r="T546" i="7"/>
  <c r="Q546" i="7"/>
  <c r="P546" i="7"/>
  <c r="O546" i="7"/>
  <c r="N546" i="7"/>
  <c r="J546" i="7"/>
  <c r="I546" i="7"/>
  <c r="H546" i="7"/>
  <c r="E546" i="7"/>
  <c r="D546" i="7"/>
  <c r="C546" i="7"/>
  <c r="B546" i="7"/>
  <c r="V545" i="7"/>
  <c r="U545" i="7"/>
  <c r="T545" i="7"/>
  <c r="Q545" i="7"/>
  <c r="P545" i="7"/>
  <c r="O545" i="7"/>
  <c r="N545" i="7"/>
  <c r="J545" i="7"/>
  <c r="I545" i="7"/>
  <c r="H545" i="7"/>
  <c r="E545" i="7"/>
  <c r="D545" i="7"/>
  <c r="C545" i="7"/>
  <c r="B545" i="7"/>
  <c r="V544" i="7"/>
  <c r="U544" i="7"/>
  <c r="T544" i="7"/>
  <c r="Q544" i="7"/>
  <c r="P544" i="7"/>
  <c r="O544" i="7"/>
  <c r="N544" i="7"/>
  <c r="J544" i="7"/>
  <c r="I544" i="7"/>
  <c r="H544" i="7"/>
  <c r="E544" i="7"/>
  <c r="D544" i="7"/>
  <c r="C544" i="7"/>
  <c r="B544" i="7"/>
  <c r="V543" i="7"/>
  <c r="U543" i="7"/>
  <c r="T543" i="7"/>
  <c r="Q543" i="7"/>
  <c r="P543" i="7"/>
  <c r="O543" i="7"/>
  <c r="N543" i="7"/>
  <c r="J543" i="7"/>
  <c r="I543" i="7"/>
  <c r="H543" i="7"/>
  <c r="E543" i="7"/>
  <c r="D543" i="7"/>
  <c r="C543" i="7"/>
  <c r="B543" i="7"/>
  <c r="V542" i="7"/>
  <c r="U542" i="7"/>
  <c r="T542" i="7"/>
  <c r="Q542" i="7"/>
  <c r="P542" i="7"/>
  <c r="O542" i="7"/>
  <c r="N542" i="7"/>
  <c r="J542" i="7"/>
  <c r="I542" i="7"/>
  <c r="H542" i="7"/>
  <c r="E542" i="7"/>
  <c r="D542" i="7"/>
  <c r="C542" i="7"/>
  <c r="B542" i="7"/>
  <c r="V541" i="7"/>
  <c r="U541" i="7"/>
  <c r="T541" i="7"/>
  <c r="Q541" i="7"/>
  <c r="P541" i="7"/>
  <c r="O541" i="7"/>
  <c r="N541" i="7"/>
  <c r="J541" i="7"/>
  <c r="I541" i="7"/>
  <c r="H541" i="7"/>
  <c r="E541" i="7"/>
  <c r="D541" i="7"/>
  <c r="C541" i="7"/>
  <c r="B541" i="7"/>
  <c r="V540" i="7"/>
  <c r="U540" i="7"/>
  <c r="T540" i="7"/>
  <c r="Q540" i="7"/>
  <c r="P540" i="7"/>
  <c r="O540" i="7"/>
  <c r="N540" i="7"/>
  <c r="J540" i="7"/>
  <c r="I540" i="7"/>
  <c r="H540" i="7"/>
  <c r="E540" i="7"/>
  <c r="D540" i="7"/>
  <c r="C540" i="7"/>
  <c r="B540" i="7"/>
  <c r="V539" i="7"/>
  <c r="U539" i="7"/>
  <c r="T539" i="7"/>
  <c r="Q539" i="7"/>
  <c r="P539" i="7"/>
  <c r="O539" i="7"/>
  <c r="N539" i="7"/>
  <c r="J539" i="7"/>
  <c r="I539" i="7"/>
  <c r="H539" i="7"/>
  <c r="E539" i="7"/>
  <c r="D539" i="7"/>
  <c r="C539" i="7"/>
  <c r="B539" i="7"/>
  <c r="V538" i="7"/>
  <c r="U538" i="7"/>
  <c r="T538" i="7"/>
  <c r="Q538" i="7"/>
  <c r="P538" i="7"/>
  <c r="O538" i="7"/>
  <c r="N538" i="7"/>
  <c r="J538" i="7"/>
  <c r="I538" i="7"/>
  <c r="H538" i="7"/>
  <c r="E538" i="7"/>
  <c r="D538" i="7"/>
  <c r="C538" i="7"/>
  <c r="B538" i="7"/>
  <c r="V537" i="7"/>
  <c r="U537" i="7"/>
  <c r="T537" i="7"/>
  <c r="Q537" i="7"/>
  <c r="P537" i="7"/>
  <c r="O537" i="7"/>
  <c r="N537" i="7"/>
  <c r="J537" i="7"/>
  <c r="I537" i="7"/>
  <c r="H537" i="7"/>
  <c r="E537" i="7"/>
  <c r="D537" i="7"/>
  <c r="C537" i="7"/>
  <c r="B537" i="7"/>
  <c r="V536" i="7"/>
  <c r="U536" i="7"/>
  <c r="T536" i="7"/>
  <c r="Q536" i="7"/>
  <c r="P536" i="7"/>
  <c r="O536" i="7"/>
  <c r="N536" i="7"/>
  <c r="J536" i="7"/>
  <c r="I536" i="7"/>
  <c r="H536" i="7"/>
  <c r="E536" i="7"/>
  <c r="D536" i="7"/>
  <c r="C536" i="7"/>
  <c r="B536" i="7"/>
  <c r="V535" i="7"/>
  <c r="U535" i="7"/>
  <c r="T535" i="7"/>
  <c r="Q535" i="7"/>
  <c r="P535" i="7"/>
  <c r="O535" i="7"/>
  <c r="N535" i="7"/>
  <c r="J535" i="7"/>
  <c r="I535" i="7"/>
  <c r="H535" i="7"/>
  <c r="E535" i="7"/>
  <c r="D535" i="7"/>
  <c r="C535" i="7"/>
  <c r="B535" i="7"/>
  <c r="V534" i="7"/>
  <c r="U534" i="7"/>
  <c r="T534" i="7"/>
  <c r="Q534" i="7"/>
  <c r="P534" i="7"/>
  <c r="O534" i="7"/>
  <c r="N534" i="7"/>
  <c r="J534" i="7"/>
  <c r="I534" i="7"/>
  <c r="H534" i="7"/>
  <c r="E534" i="7"/>
  <c r="D534" i="7"/>
  <c r="C534" i="7"/>
  <c r="B534" i="7"/>
  <c r="V533" i="7"/>
  <c r="U533" i="7"/>
  <c r="T533" i="7"/>
  <c r="Q533" i="7"/>
  <c r="P533" i="7"/>
  <c r="O533" i="7"/>
  <c r="N533" i="7"/>
  <c r="J533" i="7"/>
  <c r="I533" i="7"/>
  <c r="H533" i="7"/>
  <c r="E533" i="7"/>
  <c r="D533" i="7"/>
  <c r="C533" i="7"/>
  <c r="B533" i="7"/>
  <c r="V532" i="7"/>
  <c r="U532" i="7"/>
  <c r="T532" i="7"/>
  <c r="Q532" i="7"/>
  <c r="P532" i="7"/>
  <c r="O532" i="7"/>
  <c r="N532" i="7"/>
  <c r="J532" i="7"/>
  <c r="I532" i="7"/>
  <c r="H532" i="7"/>
  <c r="E532" i="7"/>
  <c r="D532" i="7"/>
  <c r="C532" i="7"/>
  <c r="B532" i="7"/>
  <c r="V531" i="7"/>
  <c r="U531" i="7"/>
  <c r="T531" i="7"/>
  <c r="Q531" i="7"/>
  <c r="P531" i="7"/>
  <c r="O531" i="7"/>
  <c r="N531" i="7"/>
  <c r="J531" i="7"/>
  <c r="I531" i="7"/>
  <c r="H531" i="7"/>
  <c r="E531" i="7"/>
  <c r="D531" i="7"/>
  <c r="C531" i="7"/>
  <c r="B531" i="7"/>
  <c r="V530" i="7"/>
  <c r="U530" i="7"/>
  <c r="T530" i="7"/>
  <c r="Q530" i="7"/>
  <c r="P530" i="7"/>
  <c r="O530" i="7"/>
  <c r="N530" i="7"/>
  <c r="J530" i="7"/>
  <c r="I530" i="7"/>
  <c r="H530" i="7"/>
  <c r="E530" i="7"/>
  <c r="D530" i="7"/>
  <c r="C530" i="7"/>
  <c r="B530" i="7"/>
  <c r="V529" i="7"/>
  <c r="U529" i="7"/>
  <c r="T529" i="7"/>
  <c r="Q529" i="7"/>
  <c r="P529" i="7"/>
  <c r="O529" i="7"/>
  <c r="N529" i="7"/>
  <c r="J529" i="7"/>
  <c r="I529" i="7"/>
  <c r="H529" i="7"/>
  <c r="E529" i="7"/>
  <c r="D529" i="7"/>
  <c r="C529" i="7"/>
  <c r="B529" i="7"/>
  <c r="V528" i="7"/>
  <c r="U528" i="7"/>
  <c r="T528" i="7"/>
  <c r="Q528" i="7"/>
  <c r="P528" i="7"/>
  <c r="O528" i="7"/>
  <c r="N528" i="7"/>
  <c r="J528" i="7"/>
  <c r="I528" i="7"/>
  <c r="H528" i="7"/>
  <c r="E528" i="7"/>
  <c r="D528" i="7"/>
  <c r="C528" i="7"/>
  <c r="B528" i="7"/>
  <c r="V527" i="7"/>
  <c r="U527" i="7"/>
  <c r="T527" i="7"/>
  <c r="Q527" i="7"/>
  <c r="P527" i="7"/>
  <c r="O527" i="7"/>
  <c r="N527" i="7"/>
  <c r="J527" i="7"/>
  <c r="I527" i="7"/>
  <c r="H527" i="7"/>
  <c r="E527" i="7"/>
  <c r="D527" i="7"/>
  <c r="C527" i="7"/>
  <c r="B527" i="7"/>
  <c r="V526" i="7"/>
  <c r="U526" i="7"/>
  <c r="T526" i="7"/>
  <c r="Q526" i="7"/>
  <c r="P526" i="7"/>
  <c r="O526" i="7"/>
  <c r="N526" i="7"/>
  <c r="J526" i="7"/>
  <c r="I526" i="7"/>
  <c r="H526" i="7"/>
  <c r="E526" i="7"/>
  <c r="D526" i="7"/>
  <c r="C526" i="7"/>
  <c r="B526" i="7"/>
  <c r="V525" i="7"/>
  <c r="U525" i="7"/>
  <c r="T525" i="7"/>
  <c r="Q525" i="7"/>
  <c r="P525" i="7"/>
  <c r="O525" i="7"/>
  <c r="N525" i="7"/>
  <c r="J525" i="7"/>
  <c r="I525" i="7"/>
  <c r="H525" i="7"/>
  <c r="E525" i="7"/>
  <c r="D525" i="7"/>
  <c r="C525" i="7"/>
  <c r="B525" i="7"/>
  <c r="V524" i="7"/>
  <c r="U524" i="7"/>
  <c r="T524" i="7"/>
  <c r="Q524" i="7"/>
  <c r="P524" i="7"/>
  <c r="O524" i="7"/>
  <c r="N524" i="7"/>
  <c r="J524" i="7"/>
  <c r="I524" i="7"/>
  <c r="H524" i="7"/>
  <c r="E524" i="7"/>
  <c r="D524" i="7"/>
  <c r="C524" i="7"/>
  <c r="B524" i="7"/>
  <c r="V523" i="7"/>
  <c r="U523" i="7"/>
  <c r="T523" i="7"/>
  <c r="Q523" i="7"/>
  <c r="P523" i="7"/>
  <c r="O523" i="7"/>
  <c r="N523" i="7"/>
  <c r="J523" i="7"/>
  <c r="I523" i="7"/>
  <c r="H523" i="7"/>
  <c r="E523" i="7"/>
  <c r="D523" i="7"/>
  <c r="C523" i="7"/>
  <c r="B523" i="7"/>
  <c r="V522" i="7"/>
  <c r="U522" i="7"/>
  <c r="T522" i="7"/>
  <c r="Q522" i="7"/>
  <c r="P522" i="7"/>
  <c r="O522" i="7"/>
  <c r="N522" i="7"/>
  <c r="J522" i="7"/>
  <c r="I522" i="7"/>
  <c r="H522" i="7"/>
  <c r="E522" i="7"/>
  <c r="D522" i="7"/>
  <c r="C522" i="7"/>
  <c r="B522" i="7"/>
  <c r="V521" i="7"/>
  <c r="U521" i="7"/>
  <c r="T521" i="7"/>
  <c r="Q521" i="7"/>
  <c r="P521" i="7"/>
  <c r="O521" i="7"/>
  <c r="N521" i="7"/>
  <c r="J521" i="7"/>
  <c r="I521" i="7"/>
  <c r="H521" i="7"/>
  <c r="E521" i="7"/>
  <c r="D521" i="7"/>
  <c r="C521" i="7"/>
  <c r="B521" i="7"/>
  <c r="V520" i="7"/>
  <c r="U520" i="7"/>
  <c r="T520" i="7"/>
  <c r="Q520" i="7"/>
  <c r="P520" i="7"/>
  <c r="O520" i="7"/>
  <c r="N520" i="7"/>
  <c r="J520" i="7"/>
  <c r="I520" i="7"/>
  <c r="H520" i="7"/>
  <c r="E520" i="7"/>
  <c r="D520" i="7"/>
  <c r="C520" i="7"/>
  <c r="B520" i="7"/>
  <c r="V519" i="7"/>
  <c r="U519" i="7"/>
  <c r="T519" i="7"/>
  <c r="Q519" i="7"/>
  <c r="P519" i="7"/>
  <c r="O519" i="7"/>
  <c r="N519" i="7"/>
  <c r="J519" i="7"/>
  <c r="I519" i="7"/>
  <c r="H519" i="7"/>
  <c r="E519" i="7"/>
  <c r="D519" i="7"/>
  <c r="C519" i="7"/>
  <c r="B519" i="7"/>
  <c r="V518" i="7"/>
  <c r="U518" i="7"/>
  <c r="T518" i="7"/>
  <c r="Q518" i="7"/>
  <c r="P518" i="7"/>
  <c r="O518" i="7"/>
  <c r="N518" i="7"/>
  <c r="J518" i="7"/>
  <c r="I518" i="7"/>
  <c r="H518" i="7"/>
  <c r="E518" i="7"/>
  <c r="D518" i="7"/>
  <c r="C518" i="7"/>
  <c r="B518" i="7"/>
  <c r="V517" i="7"/>
  <c r="U517" i="7"/>
  <c r="T517" i="7"/>
  <c r="Q517" i="7"/>
  <c r="P517" i="7"/>
  <c r="O517" i="7"/>
  <c r="N517" i="7"/>
  <c r="J517" i="7"/>
  <c r="I517" i="7"/>
  <c r="H517" i="7"/>
  <c r="E517" i="7"/>
  <c r="D517" i="7"/>
  <c r="C517" i="7"/>
  <c r="B517" i="7"/>
  <c r="V516" i="7"/>
  <c r="U516" i="7"/>
  <c r="T516" i="7"/>
  <c r="Q516" i="7"/>
  <c r="P516" i="7"/>
  <c r="O516" i="7"/>
  <c r="N516" i="7"/>
  <c r="J516" i="7"/>
  <c r="I516" i="7"/>
  <c r="H516" i="7"/>
  <c r="E516" i="7"/>
  <c r="D516" i="7"/>
  <c r="C516" i="7"/>
  <c r="B516" i="7"/>
  <c r="V515" i="7"/>
  <c r="U515" i="7"/>
  <c r="T515" i="7"/>
  <c r="Q515" i="7"/>
  <c r="P515" i="7"/>
  <c r="O515" i="7"/>
  <c r="N515" i="7"/>
  <c r="J515" i="7"/>
  <c r="I515" i="7"/>
  <c r="H515" i="7"/>
  <c r="E515" i="7"/>
  <c r="D515" i="7"/>
  <c r="C515" i="7"/>
  <c r="B515" i="7"/>
  <c r="V514" i="7"/>
  <c r="U514" i="7"/>
  <c r="T514" i="7"/>
  <c r="Q514" i="7"/>
  <c r="P514" i="7"/>
  <c r="O514" i="7"/>
  <c r="N514" i="7"/>
  <c r="J514" i="7"/>
  <c r="I514" i="7"/>
  <c r="H514" i="7"/>
  <c r="E514" i="7"/>
  <c r="D514" i="7"/>
  <c r="C514" i="7"/>
  <c r="B514" i="7"/>
  <c r="V513" i="7"/>
  <c r="U513" i="7"/>
  <c r="T513" i="7"/>
  <c r="Q513" i="7"/>
  <c r="P513" i="7"/>
  <c r="O513" i="7"/>
  <c r="N513" i="7"/>
  <c r="J513" i="7"/>
  <c r="I513" i="7"/>
  <c r="H513" i="7"/>
  <c r="E513" i="7"/>
  <c r="D513" i="7"/>
  <c r="C513" i="7"/>
  <c r="B513" i="7"/>
  <c r="V512" i="7"/>
  <c r="U512" i="7"/>
  <c r="T512" i="7"/>
  <c r="Q512" i="7"/>
  <c r="P512" i="7"/>
  <c r="O512" i="7"/>
  <c r="N512" i="7"/>
  <c r="J512" i="7"/>
  <c r="I512" i="7"/>
  <c r="H512" i="7"/>
  <c r="E512" i="7"/>
  <c r="D512" i="7"/>
  <c r="C512" i="7"/>
  <c r="B512" i="7"/>
  <c r="V511" i="7"/>
  <c r="U511" i="7"/>
  <c r="T511" i="7"/>
  <c r="Q511" i="7"/>
  <c r="P511" i="7"/>
  <c r="O511" i="7"/>
  <c r="N511" i="7"/>
  <c r="J511" i="7"/>
  <c r="I511" i="7"/>
  <c r="H511" i="7"/>
  <c r="E511" i="7"/>
  <c r="D511" i="7"/>
  <c r="C511" i="7"/>
  <c r="B511" i="7"/>
  <c r="V510" i="7"/>
  <c r="U510" i="7"/>
  <c r="T510" i="7"/>
  <c r="Q510" i="7"/>
  <c r="P510" i="7"/>
  <c r="O510" i="7"/>
  <c r="N510" i="7"/>
  <c r="J510" i="7"/>
  <c r="I510" i="7"/>
  <c r="H510" i="7"/>
  <c r="E510" i="7"/>
  <c r="D510" i="7"/>
  <c r="C510" i="7"/>
  <c r="B510" i="7"/>
  <c r="V509" i="7"/>
  <c r="U509" i="7"/>
  <c r="T509" i="7"/>
  <c r="Q509" i="7"/>
  <c r="P509" i="7"/>
  <c r="O509" i="7"/>
  <c r="N509" i="7"/>
  <c r="J509" i="7"/>
  <c r="I509" i="7"/>
  <c r="H509" i="7"/>
  <c r="E509" i="7"/>
  <c r="D509" i="7"/>
  <c r="C509" i="7"/>
  <c r="B509" i="7"/>
  <c r="V508" i="7"/>
  <c r="U508" i="7"/>
  <c r="T508" i="7"/>
  <c r="Q508" i="7"/>
  <c r="P508" i="7"/>
  <c r="O508" i="7"/>
  <c r="N508" i="7"/>
  <c r="J508" i="7"/>
  <c r="I508" i="7"/>
  <c r="H508" i="7"/>
  <c r="E508" i="7"/>
  <c r="D508" i="7"/>
  <c r="C508" i="7"/>
  <c r="B508" i="7"/>
  <c r="V507" i="7"/>
  <c r="U507" i="7"/>
  <c r="T507" i="7"/>
  <c r="Q507" i="7"/>
  <c r="P507" i="7"/>
  <c r="O507" i="7"/>
  <c r="N507" i="7"/>
  <c r="J507" i="7"/>
  <c r="I507" i="7"/>
  <c r="H507" i="7"/>
  <c r="E507" i="7"/>
  <c r="D507" i="7"/>
  <c r="C507" i="7"/>
  <c r="B507" i="7"/>
  <c r="V506" i="7"/>
  <c r="U506" i="7"/>
  <c r="T506" i="7"/>
  <c r="Q506" i="7"/>
  <c r="P506" i="7"/>
  <c r="O506" i="7"/>
  <c r="N506" i="7"/>
  <c r="J506" i="7"/>
  <c r="I506" i="7"/>
  <c r="H506" i="7"/>
  <c r="E506" i="7"/>
  <c r="D506" i="7"/>
  <c r="C506" i="7"/>
  <c r="B506" i="7"/>
  <c r="V505" i="7"/>
  <c r="U505" i="7"/>
  <c r="T505" i="7"/>
  <c r="Q505" i="7"/>
  <c r="P505" i="7"/>
  <c r="O505" i="7"/>
  <c r="N505" i="7"/>
  <c r="J505" i="7"/>
  <c r="I505" i="7"/>
  <c r="H505" i="7"/>
  <c r="E505" i="7"/>
  <c r="D505" i="7"/>
  <c r="C505" i="7"/>
  <c r="B505" i="7"/>
  <c r="V504" i="7"/>
  <c r="U504" i="7"/>
  <c r="T504" i="7"/>
  <c r="Q504" i="7"/>
  <c r="P504" i="7"/>
  <c r="O504" i="7"/>
  <c r="N504" i="7"/>
  <c r="J504" i="7"/>
  <c r="I504" i="7"/>
  <c r="H504" i="7"/>
  <c r="E504" i="7"/>
  <c r="D504" i="7"/>
  <c r="C504" i="7"/>
  <c r="B504" i="7"/>
  <c r="V503" i="7"/>
  <c r="U503" i="7"/>
  <c r="T503" i="7"/>
  <c r="Q503" i="7"/>
  <c r="P503" i="7"/>
  <c r="O503" i="7"/>
  <c r="N503" i="7"/>
  <c r="J503" i="7"/>
  <c r="I503" i="7"/>
  <c r="H503" i="7"/>
  <c r="E503" i="7"/>
  <c r="D503" i="7"/>
  <c r="C503" i="7"/>
  <c r="B503" i="7"/>
  <c r="V502" i="7"/>
  <c r="U502" i="7"/>
  <c r="T502" i="7"/>
  <c r="Q502" i="7"/>
  <c r="P502" i="7"/>
  <c r="O502" i="7"/>
  <c r="N502" i="7"/>
  <c r="J502" i="7"/>
  <c r="I502" i="7"/>
  <c r="H502" i="7"/>
  <c r="E502" i="7"/>
  <c r="D502" i="7"/>
  <c r="C502" i="7"/>
  <c r="B502" i="7"/>
  <c r="V501" i="7"/>
  <c r="U501" i="7"/>
  <c r="T501" i="7"/>
  <c r="Q501" i="7"/>
  <c r="P501" i="7"/>
  <c r="O501" i="7"/>
  <c r="N501" i="7"/>
  <c r="J501" i="7"/>
  <c r="I501" i="7"/>
  <c r="H501" i="7"/>
  <c r="E501" i="7"/>
  <c r="D501" i="7"/>
  <c r="C501" i="7"/>
  <c r="B501" i="7"/>
  <c r="V500" i="7"/>
  <c r="U500" i="7"/>
  <c r="T500" i="7"/>
  <c r="Q500" i="7"/>
  <c r="P500" i="7"/>
  <c r="O500" i="7"/>
  <c r="N500" i="7"/>
  <c r="J500" i="7"/>
  <c r="I500" i="7"/>
  <c r="H500" i="7"/>
  <c r="E500" i="7"/>
  <c r="D500" i="7"/>
  <c r="C500" i="7"/>
  <c r="B500" i="7"/>
  <c r="V499" i="7"/>
  <c r="U499" i="7"/>
  <c r="T499" i="7"/>
  <c r="Q499" i="7"/>
  <c r="P499" i="7"/>
  <c r="O499" i="7"/>
  <c r="N499" i="7"/>
  <c r="J499" i="7"/>
  <c r="I499" i="7"/>
  <c r="H499" i="7"/>
  <c r="E499" i="7"/>
  <c r="D499" i="7"/>
  <c r="C499" i="7"/>
  <c r="B499" i="7"/>
  <c r="V498" i="7"/>
  <c r="U498" i="7"/>
  <c r="T498" i="7"/>
  <c r="Q498" i="7"/>
  <c r="P498" i="7"/>
  <c r="O498" i="7"/>
  <c r="N498" i="7"/>
  <c r="J498" i="7"/>
  <c r="I498" i="7"/>
  <c r="H498" i="7"/>
  <c r="E498" i="7"/>
  <c r="D498" i="7"/>
  <c r="C498" i="7"/>
  <c r="B498" i="7"/>
  <c r="V497" i="7"/>
  <c r="U497" i="7"/>
  <c r="T497" i="7"/>
  <c r="Q497" i="7"/>
  <c r="P497" i="7"/>
  <c r="O497" i="7"/>
  <c r="N497" i="7"/>
  <c r="J497" i="7"/>
  <c r="I497" i="7"/>
  <c r="H497" i="7"/>
  <c r="E497" i="7"/>
  <c r="D497" i="7"/>
  <c r="C497" i="7"/>
  <c r="B497" i="7"/>
  <c r="V496" i="7"/>
  <c r="U496" i="7"/>
  <c r="T496" i="7"/>
  <c r="Q496" i="7"/>
  <c r="P496" i="7"/>
  <c r="O496" i="7"/>
  <c r="N496" i="7"/>
  <c r="J496" i="7"/>
  <c r="I496" i="7"/>
  <c r="H496" i="7"/>
  <c r="E496" i="7"/>
  <c r="D496" i="7"/>
  <c r="C496" i="7"/>
  <c r="B496" i="7"/>
  <c r="V495" i="7"/>
  <c r="U495" i="7"/>
  <c r="T495" i="7"/>
  <c r="Q495" i="7"/>
  <c r="P495" i="7"/>
  <c r="O495" i="7"/>
  <c r="N495" i="7"/>
  <c r="J495" i="7"/>
  <c r="I495" i="7"/>
  <c r="H495" i="7"/>
  <c r="E495" i="7"/>
  <c r="D495" i="7"/>
  <c r="C495" i="7"/>
  <c r="B495" i="7"/>
  <c r="V494" i="7"/>
  <c r="U494" i="7"/>
  <c r="T494" i="7"/>
  <c r="Q494" i="7"/>
  <c r="P494" i="7"/>
  <c r="O494" i="7"/>
  <c r="N494" i="7"/>
  <c r="J494" i="7"/>
  <c r="I494" i="7"/>
  <c r="H494" i="7"/>
  <c r="E494" i="7"/>
  <c r="D494" i="7"/>
  <c r="C494" i="7"/>
  <c r="B494" i="7"/>
  <c r="V493" i="7"/>
  <c r="U493" i="7"/>
  <c r="T493" i="7"/>
  <c r="Q493" i="7"/>
  <c r="P493" i="7"/>
  <c r="O493" i="7"/>
  <c r="N493" i="7"/>
  <c r="J493" i="7"/>
  <c r="I493" i="7"/>
  <c r="H493" i="7"/>
  <c r="E493" i="7"/>
  <c r="D493" i="7"/>
  <c r="C493" i="7"/>
  <c r="B493" i="7"/>
  <c r="V492" i="7"/>
  <c r="U492" i="7"/>
  <c r="T492" i="7"/>
  <c r="Q492" i="7"/>
  <c r="P492" i="7"/>
  <c r="O492" i="7"/>
  <c r="N492" i="7"/>
  <c r="J492" i="7"/>
  <c r="I492" i="7"/>
  <c r="H492" i="7"/>
  <c r="E492" i="7"/>
  <c r="D492" i="7"/>
  <c r="C492" i="7"/>
  <c r="B492" i="7"/>
  <c r="V491" i="7"/>
  <c r="U491" i="7"/>
  <c r="T491" i="7"/>
  <c r="Q491" i="7"/>
  <c r="P491" i="7"/>
  <c r="O491" i="7"/>
  <c r="N491" i="7"/>
  <c r="J491" i="7"/>
  <c r="I491" i="7"/>
  <c r="H491" i="7"/>
  <c r="E491" i="7"/>
  <c r="D491" i="7"/>
  <c r="C491" i="7"/>
  <c r="B491" i="7"/>
  <c r="V490" i="7"/>
  <c r="U490" i="7"/>
  <c r="T490" i="7"/>
  <c r="Q490" i="7"/>
  <c r="P490" i="7"/>
  <c r="O490" i="7"/>
  <c r="N490" i="7"/>
  <c r="J490" i="7"/>
  <c r="I490" i="7"/>
  <c r="H490" i="7"/>
  <c r="E490" i="7"/>
  <c r="D490" i="7"/>
  <c r="C490" i="7"/>
  <c r="B490" i="7"/>
  <c r="V489" i="7"/>
  <c r="U489" i="7"/>
  <c r="T489" i="7"/>
  <c r="Q489" i="7"/>
  <c r="P489" i="7"/>
  <c r="O489" i="7"/>
  <c r="N489" i="7"/>
  <c r="J489" i="7"/>
  <c r="I489" i="7"/>
  <c r="H489" i="7"/>
  <c r="E489" i="7"/>
  <c r="D489" i="7"/>
  <c r="C489" i="7"/>
  <c r="B489" i="7"/>
  <c r="V488" i="7"/>
  <c r="U488" i="7"/>
  <c r="T488" i="7"/>
  <c r="Q488" i="7"/>
  <c r="P488" i="7"/>
  <c r="O488" i="7"/>
  <c r="N488" i="7"/>
  <c r="J488" i="7"/>
  <c r="I488" i="7"/>
  <c r="H488" i="7"/>
  <c r="E488" i="7"/>
  <c r="D488" i="7"/>
  <c r="C488" i="7"/>
  <c r="B488" i="7"/>
  <c r="V487" i="7"/>
  <c r="U487" i="7"/>
  <c r="T487" i="7"/>
  <c r="Q487" i="7"/>
  <c r="P487" i="7"/>
  <c r="O487" i="7"/>
  <c r="N487" i="7"/>
  <c r="J487" i="7"/>
  <c r="I487" i="7"/>
  <c r="H487" i="7"/>
  <c r="E487" i="7"/>
  <c r="D487" i="7"/>
  <c r="C487" i="7"/>
  <c r="B487" i="7"/>
  <c r="V486" i="7"/>
  <c r="U486" i="7"/>
  <c r="T486" i="7"/>
  <c r="Q486" i="7"/>
  <c r="P486" i="7"/>
  <c r="O486" i="7"/>
  <c r="N486" i="7"/>
  <c r="J486" i="7"/>
  <c r="I486" i="7"/>
  <c r="H486" i="7"/>
  <c r="E486" i="7"/>
  <c r="D486" i="7"/>
  <c r="C486" i="7"/>
  <c r="B486" i="7"/>
  <c r="V485" i="7"/>
  <c r="U485" i="7"/>
  <c r="T485" i="7"/>
  <c r="Q485" i="7"/>
  <c r="P485" i="7"/>
  <c r="O485" i="7"/>
  <c r="N485" i="7"/>
  <c r="J485" i="7"/>
  <c r="I485" i="7"/>
  <c r="H485" i="7"/>
  <c r="E485" i="7"/>
  <c r="D485" i="7"/>
  <c r="C485" i="7"/>
  <c r="B485" i="7"/>
  <c r="V484" i="7"/>
  <c r="U484" i="7"/>
  <c r="T484" i="7"/>
  <c r="Q484" i="7"/>
  <c r="P484" i="7"/>
  <c r="O484" i="7"/>
  <c r="N484" i="7"/>
  <c r="J484" i="7"/>
  <c r="I484" i="7"/>
  <c r="H484" i="7"/>
  <c r="E484" i="7"/>
  <c r="D484" i="7"/>
  <c r="C484" i="7"/>
  <c r="B484" i="7"/>
  <c r="V483" i="7"/>
  <c r="U483" i="7"/>
  <c r="T483" i="7"/>
  <c r="Q483" i="7"/>
  <c r="P483" i="7"/>
  <c r="O483" i="7"/>
  <c r="N483" i="7"/>
  <c r="J483" i="7"/>
  <c r="I483" i="7"/>
  <c r="H483" i="7"/>
  <c r="E483" i="7"/>
  <c r="D483" i="7"/>
  <c r="C483" i="7"/>
  <c r="B483" i="7"/>
  <c r="V482" i="7"/>
  <c r="U482" i="7"/>
  <c r="T482" i="7"/>
  <c r="Q482" i="7"/>
  <c r="P482" i="7"/>
  <c r="O482" i="7"/>
  <c r="N482" i="7"/>
  <c r="J482" i="7"/>
  <c r="I482" i="7"/>
  <c r="H482" i="7"/>
  <c r="E482" i="7"/>
  <c r="D482" i="7"/>
  <c r="C482" i="7"/>
  <c r="B482" i="7"/>
  <c r="V481" i="7"/>
  <c r="U481" i="7"/>
  <c r="T481" i="7"/>
  <c r="Q481" i="7"/>
  <c r="P481" i="7"/>
  <c r="O481" i="7"/>
  <c r="N481" i="7"/>
  <c r="J481" i="7"/>
  <c r="I481" i="7"/>
  <c r="H481" i="7"/>
  <c r="E481" i="7"/>
  <c r="D481" i="7"/>
  <c r="C481" i="7"/>
  <c r="B481" i="7"/>
  <c r="V480" i="7"/>
  <c r="U480" i="7"/>
  <c r="T480" i="7"/>
  <c r="Q480" i="7"/>
  <c r="P480" i="7"/>
  <c r="O480" i="7"/>
  <c r="N480" i="7"/>
  <c r="J480" i="7"/>
  <c r="I480" i="7"/>
  <c r="H480" i="7"/>
  <c r="E480" i="7"/>
  <c r="D480" i="7"/>
  <c r="C480" i="7"/>
  <c r="B480" i="7"/>
  <c r="V479" i="7"/>
  <c r="U479" i="7"/>
  <c r="T479" i="7"/>
  <c r="Q479" i="7"/>
  <c r="P479" i="7"/>
  <c r="O479" i="7"/>
  <c r="N479" i="7"/>
  <c r="J479" i="7"/>
  <c r="I479" i="7"/>
  <c r="H479" i="7"/>
  <c r="E479" i="7"/>
  <c r="D479" i="7"/>
  <c r="C479" i="7"/>
  <c r="B479" i="7"/>
  <c r="V478" i="7"/>
  <c r="U478" i="7"/>
  <c r="T478" i="7"/>
  <c r="Q478" i="7"/>
  <c r="P478" i="7"/>
  <c r="O478" i="7"/>
  <c r="N478" i="7"/>
  <c r="J478" i="7"/>
  <c r="I478" i="7"/>
  <c r="H478" i="7"/>
  <c r="E478" i="7"/>
  <c r="D478" i="7"/>
  <c r="C478" i="7"/>
  <c r="B478" i="7"/>
  <c r="V477" i="7"/>
  <c r="U477" i="7"/>
  <c r="T477" i="7"/>
  <c r="Q477" i="7"/>
  <c r="P477" i="7"/>
  <c r="O477" i="7"/>
  <c r="N477" i="7"/>
  <c r="J477" i="7"/>
  <c r="I477" i="7"/>
  <c r="H477" i="7"/>
  <c r="E477" i="7"/>
  <c r="D477" i="7"/>
  <c r="C477" i="7"/>
  <c r="B477" i="7"/>
  <c r="V476" i="7"/>
  <c r="U476" i="7"/>
  <c r="T476" i="7"/>
  <c r="Q476" i="7"/>
  <c r="P476" i="7"/>
  <c r="O476" i="7"/>
  <c r="N476" i="7"/>
  <c r="J476" i="7"/>
  <c r="I476" i="7"/>
  <c r="H476" i="7"/>
  <c r="E476" i="7"/>
  <c r="D476" i="7"/>
  <c r="C476" i="7"/>
  <c r="B476" i="7"/>
  <c r="V475" i="7"/>
  <c r="U475" i="7"/>
  <c r="T475" i="7"/>
  <c r="Q475" i="7"/>
  <c r="P475" i="7"/>
  <c r="O475" i="7"/>
  <c r="N475" i="7"/>
  <c r="J475" i="7"/>
  <c r="I475" i="7"/>
  <c r="H475" i="7"/>
  <c r="E475" i="7"/>
  <c r="D475" i="7"/>
  <c r="C475" i="7"/>
  <c r="B475" i="7"/>
  <c r="V474" i="7"/>
  <c r="U474" i="7"/>
  <c r="T474" i="7"/>
  <c r="Q474" i="7"/>
  <c r="P474" i="7"/>
  <c r="O474" i="7"/>
  <c r="N474" i="7"/>
  <c r="J474" i="7"/>
  <c r="I474" i="7"/>
  <c r="H474" i="7"/>
  <c r="E474" i="7"/>
  <c r="D474" i="7"/>
  <c r="C474" i="7"/>
  <c r="B474" i="7"/>
  <c r="V473" i="7"/>
  <c r="U473" i="7"/>
  <c r="T473" i="7"/>
  <c r="Q473" i="7"/>
  <c r="P473" i="7"/>
  <c r="O473" i="7"/>
  <c r="N473" i="7"/>
  <c r="J473" i="7"/>
  <c r="I473" i="7"/>
  <c r="H473" i="7"/>
  <c r="E473" i="7"/>
  <c r="D473" i="7"/>
  <c r="C473" i="7"/>
  <c r="B473" i="7"/>
  <c r="V472" i="7"/>
  <c r="U472" i="7"/>
  <c r="T472" i="7"/>
  <c r="Q472" i="7"/>
  <c r="P472" i="7"/>
  <c r="O472" i="7"/>
  <c r="N472" i="7"/>
  <c r="J472" i="7"/>
  <c r="I472" i="7"/>
  <c r="H472" i="7"/>
  <c r="E472" i="7"/>
  <c r="D472" i="7"/>
  <c r="C472" i="7"/>
  <c r="B472" i="7"/>
  <c r="V471" i="7"/>
  <c r="U471" i="7"/>
  <c r="T471" i="7"/>
  <c r="Q471" i="7"/>
  <c r="P471" i="7"/>
  <c r="O471" i="7"/>
  <c r="N471" i="7"/>
  <c r="J471" i="7"/>
  <c r="I471" i="7"/>
  <c r="H471" i="7"/>
  <c r="E471" i="7"/>
  <c r="D471" i="7"/>
  <c r="C471" i="7"/>
  <c r="B471" i="7"/>
  <c r="V470" i="7"/>
  <c r="U470" i="7"/>
  <c r="T470" i="7"/>
  <c r="Q470" i="7"/>
  <c r="P470" i="7"/>
  <c r="O470" i="7"/>
  <c r="N470" i="7"/>
  <c r="J470" i="7"/>
  <c r="I470" i="7"/>
  <c r="H470" i="7"/>
  <c r="E470" i="7"/>
  <c r="D470" i="7"/>
  <c r="C470" i="7"/>
  <c r="B470" i="7"/>
  <c r="V469" i="7"/>
  <c r="U469" i="7"/>
  <c r="T469" i="7"/>
  <c r="Q469" i="7"/>
  <c r="P469" i="7"/>
  <c r="O469" i="7"/>
  <c r="N469" i="7"/>
  <c r="J469" i="7"/>
  <c r="I469" i="7"/>
  <c r="H469" i="7"/>
  <c r="E469" i="7"/>
  <c r="D469" i="7"/>
  <c r="C469" i="7"/>
  <c r="B469" i="7"/>
  <c r="V468" i="7"/>
  <c r="U468" i="7"/>
  <c r="T468" i="7"/>
  <c r="Q468" i="7"/>
  <c r="P468" i="7"/>
  <c r="O468" i="7"/>
  <c r="N468" i="7"/>
  <c r="J468" i="7"/>
  <c r="I468" i="7"/>
  <c r="H468" i="7"/>
  <c r="E468" i="7"/>
  <c r="D468" i="7"/>
  <c r="C468" i="7"/>
  <c r="B468" i="7"/>
  <c r="V467" i="7"/>
  <c r="U467" i="7"/>
  <c r="T467" i="7"/>
  <c r="Q467" i="7"/>
  <c r="P467" i="7"/>
  <c r="O467" i="7"/>
  <c r="N467" i="7"/>
  <c r="J467" i="7"/>
  <c r="I467" i="7"/>
  <c r="H467" i="7"/>
  <c r="E467" i="7"/>
  <c r="D467" i="7"/>
  <c r="C467" i="7"/>
  <c r="B467" i="7"/>
  <c r="V466" i="7"/>
  <c r="U466" i="7"/>
  <c r="T466" i="7"/>
  <c r="Q466" i="7"/>
  <c r="P466" i="7"/>
  <c r="O466" i="7"/>
  <c r="N466" i="7"/>
  <c r="J466" i="7"/>
  <c r="I466" i="7"/>
  <c r="H466" i="7"/>
  <c r="E466" i="7"/>
  <c r="D466" i="7"/>
  <c r="C466" i="7"/>
  <c r="B466" i="7"/>
  <c r="V465" i="7"/>
  <c r="U465" i="7"/>
  <c r="T465" i="7"/>
  <c r="Q465" i="7"/>
  <c r="P465" i="7"/>
  <c r="O465" i="7"/>
  <c r="N465" i="7"/>
  <c r="J465" i="7"/>
  <c r="I465" i="7"/>
  <c r="H465" i="7"/>
  <c r="E465" i="7"/>
  <c r="D465" i="7"/>
  <c r="C465" i="7"/>
  <c r="B465" i="7"/>
  <c r="V464" i="7"/>
  <c r="U464" i="7"/>
  <c r="T464" i="7"/>
  <c r="Q464" i="7"/>
  <c r="P464" i="7"/>
  <c r="O464" i="7"/>
  <c r="N464" i="7"/>
  <c r="J464" i="7"/>
  <c r="I464" i="7"/>
  <c r="H464" i="7"/>
  <c r="E464" i="7"/>
  <c r="D464" i="7"/>
  <c r="C464" i="7"/>
  <c r="B464" i="7"/>
  <c r="V463" i="7"/>
  <c r="U463" i="7"/>
  <c r="T463" i="7"/>
  <c r="Q463" i="7"/>
  <c r="P463" i="7"/>
  <c r="O463" i="7"/>
  <c r="N463" i="7"/>
  <c r="J463" i="7"/>
  <c r="I463" i="7"/>
  <c r="H463" i="7"/>
  <c r="E463" i="7"/>
  <c r="D463" i="7"/>
  <c r="C463" i="7"/>
  <c r="B463" i="7"/>
  <c r="V462" i="7"/>
  <c r="U462" i="7"/>
  <c r="T462" i="7"/>
  <c r="Q462" i="7"/>
  <c r="P462" i="7"/>
  <c r="O462" i="7"/>
  <c r="N462" i="7"/>
  <c r="J462" i="7"/>
  <c r="I462" i="7"/>
  <c r="H462" i="7"/>
  <c r="E462" i="7"/>
  <c r="D462" i="7"/>
  <c r="C462" i="7"/>
  <c r="B462" i="7"/>
  <c r="V461" i="7"/>
  <c r="U461" i="7"/>
  <c r="T461" i="7"/>
  <c r="Q461" i="7"/>
  <c r="P461" i="7"/>
  <c r="O461" i="7"/>
  <c r="N461" i="7"/>
  <c r="J461" i="7"/>
  <c r="I461" i="7"/>
  <c r="H461" i="7"/>
  <c r="E461" i="7"/>
  <c r="D461" i="7"/>
  <c r="C461" i="7"/>
  <c r="B461" i="7"/>
  <c r="V460" i="7"/>
  <c r="U460" i="7"/>
  <c r="T460" i="7"/>
  <c r="Q460" i="7"/>
  <c r="P460" i="7"/>
  <c r="O460" i="7"/>
  <c r="N460" i="7"/>
  <c r="J460" i="7"/>
  <c r="I460" i="7"/>
  <c r="H460" i="7"/>
  <c r="E460" i="7"/>
  <c r="D460" i="7"/>
  <c r="C460" i="7"/>
  <c r="B460" i="7"/>
  <c r="V459" i="7"/>
  <c r="U459" i="7"/>
  <c r="T459" i="7"/>
  <c r="Q459" i="7"/>
  <c r="P459" i="7"/>
  <c r="O459" i="7"/>
  <c r="N459" i="7"/>
  <c r="J459" i="7"/>
  <c r="I459" i="7"/>
  <c r="H459" i="7"/>
  <c r="E459" i="7"/>
  <c r="D459" i="7"/>
  <c r="C459" i="7"/>
  <c r="B459" i="7"/>
  <c r="V458" i="7"/>
  <c r="U458" i="7"/>
  <c r="T458" i="7"/>
  <c r="Q458" i="7"/>
  <c r="P458" i="7"/>
  <c r="O458" i="7"/>
  <c r="N458" i="7"/>
  <c r="J458" i="7"/>
  <c r="I458" i="7"/>
  <c r="H458" i="7"/>
  <c r="E458" i="7"/>
  <c r="D458" i="7"/>
  <c r="C458" i="7"/>
  <c r="B458" i="7"/>
  <c r="V457" i="7"/>
  <c r="U457" i="7"/>
  <c r="T457" i="7"/>
  <c r="Q457" i="7"/>
  <c r="P457" i="7"/>
  <c r="O457" i="7"/>
  <c r="N457" i="7"/>
  <c r="J457" i="7"/>
  <c r="I457" i="7"/>
  <c r="H457" i="7"/>
  <c r="E457" i="7"/>
  <c r="D457" i="7"/>
  <c r="C457" i="7"/>
  <c r="B457" i="7"/>
  <c r="V456" i="7"/>
  <c r="U456" i="7"/>
  <c r="T456" i="7"/>
  <c r="Q456" i="7"/>
  <c r="P456" i="7"/>
  <c r="O456" i="7"/>
  <c r="N456" i="7"/>
  <c r="J456" i="7"/>
  <c r="I456" i="7"/>
  <c r="H456" i="7"/>
  <c r="E456" i="7"/>
  <c r="D456" i="7"/>
  <c r="C456" i="7"/>
  <c r="B456" i="7"/>
  <c r="V455" i="7"/>
  <c r="U455" i="7"/>
  <c r="T455" i="7"/>
  <c r="Q455" i="7"/>
  <c r="P455" i="7"/>
  <c r="O455" i="7"/>
  <c r="N455" i="7"/>
  <c r="J455" i="7"/>
  <c r="I455" i="7"/>
  <c r="H455" i="7"/>
  <c r="E455" i="7"/>
  <c r="D455" i="7"/>
  <c r="C455" i="7"/>
  <c r="B455" i="7"/>
  <c r="V454" i="7"/>
  <c r="U454" i="7"/>
  <c r="T454" i="7"/>
  <c r="Q454" i="7"/>
  <c r="P454" i="7"/>
  <c r="O454" i="7"/>
  <c r="N454" i="7"/>
  <c r="J454" i="7"/>
  <c r="I454" i="7"/>
  <c r="H454" i="7"/>
  <c r="E454" i="7"/>
  <c r="D454" i="7"/>
  <c r="C454" i="7"/>
  <c r="B454" i="7"/>
  <c r="V453" i="7"/>
  <c r="U453" i="7"/>
  <c r="T453" i="7"/>
  <c r="Q453" i="7"/>
  <c r="P453" i="7"/>
  <c r="O453" i="7"/>
  <c r="N453" i="7"/>
  <c r="J453" i="7"/>
  <c r="I453" i="7"/>
  <c r="H453" i="7"/>
  <c r="E453" i="7"/>
  <c r="D453" i="7"/>
  <c r="C453" i="7"/>
  <c r="B453" i="7"/>
  <c r="V452" i="7"/>
  <c r="U452" i="7"/>
  <c r="T452" i="7"/>
  <c r="Q452" i="7"/>
  <c r="P452" i="7"/>
  <c r="O452" i="7"/>
  <c r="N452" i="7"/>
  <c r="J452" i="7"/>
  <c r="I452" i="7"/>
  <c r="H452" i="7"/>
  <c r="E452" i="7"/>
  <c r="D452" i="7"/>
  <c r="C452" i="7"/>
  <c r="B452" i="7"/>
  <c r="V451" i="7"/>
  <c r="U451" i="7"/>
  <c r="T451" i="7"/>
  <c r="Q451" i="7"/>
  <c r="P451" i="7"/>
  <c r="O451" i="7"/>
  <c r="N451" i="7"/>
  <c r="J451" i="7"/>
  <c r="I451" i="7"/>
  <c r="H451" i="7"/>
  <c r="E451" i="7"/>
  <c r="D451" i="7"/>
  <c r="C451" i="7"/>
  <c r="B451" i="7"/>
  <c r="V450" i="7"/>
  <c r="U450" i="7"/>
  <c r="T450" i="7"/>
  <c r="Q450" i="7"/>
  <c r="P450" i="7"/>
  <c r="O450" i="7"/>
  <c r="N450" i="7"/>
  <c r="J450" i="7"/>
  <c r="I450" i="7"/>
  <c r="H450" i="7"/>
  <c r="E450" i="7"/>
  <c r="D450" i="7"/>
  <c r="C450" i="7"/>
  <c r="B450" i="7"/>
  <c r="V449" i="7"/>
  <c r="U449" i="7"/>
  <c r="T449" i="7"/>
  <c r="Q449" i="7"/>
  <c r="P449" i="7"/>
  <c r="O449" i="7"/>
  <c r="N449" i="7"/>
  <c r="J449" i="7"/>
  <c r="I449" i="7"/>
  <c r="H449" i="7"/>
  <c r="E449" i="7"/>
  <c r="D449" i="7"/>
  <c r="C449" i="7"/>
  <c r="B449" i="7"/>
  <c r="V448" i="7"/>
  <c r="U448" i="7"/>
  <c r="T448" i="7"/>
  <c r="Q448" i="7"/>
  <c r="P448" i="7"/>
  <c r="O448" i="7"/>
  <c r="N448" i="7"/>
  <c r="J448" i="7"/>
  <c r="I448" i="7"/>
  <c r="H448" i="7"/>
  <c r="E448" i="7"/>
  <c r="D448" i="7"/>
  <c r="C448" i="7"/>
  <c r="B448" i="7"/>
  <c r="V447" i="7"/>
  <c r="U447" i="7"/>
  <c r="T447" i="7"/>
  <c r="Q447" i="7"/>
  <c r="P447" i="7"/>
  <c r="O447" i="7"/>
  <c r="N447" i="7"/>
  <c r="J447" i="7"/>
  <c r="I447" i="7"/>
  <c r="H447" i="7"/>
  <c r="E447" i="7"/>
  <c r="D447" i="7"/>
  <c r="C447" i="7"/>
  <c r="B447" i="7"/>
  <c r="V446" i="7"/>
  <c r="U446" i="7"/>
  <c r="T446" i="7"/>
  <c r="Q446" i="7"/>
  <c r="P446" i="7"/>
  <c r="O446" i="7"/>
  <c r="N446" i="7"/>
  <c r="J446" i="7"/>
  <c r="I446" i="7"/>
  <c r="H446" i="7"/>
  <c r="E446" i="7"/>
  <c r="D446" i="7"/>
  <c r="C446" i="7"/>
  <c r="B446" i="7"/>
  <c r="V445" i="7"/>
  <c r="U445" i="7"/>
  <c r="T445" i="7"/>
  <c r="Q445" i="7"/>
  <c r="P445" i="7"/>
  <c r="O445" i="7"/>
  <c r="N445" i="7"/>
  <c r="J445" i="7"/>
  <c r="I445" i="7"/>
  <c r="H445" i="7"/>
  <c r="E445" i="7"/>
  <c r="D445" i="7"/>
  <c r="C445" i="7"/>
  <c r="B445" i="7"/>
  <c r="V444" i="7"/>
  <c r="U444" i="7"/>
  <c r="T444" i="7"/>
  <c r="Q444" i="7"/>
  <c r="P444" i="7"/>
  <c r="O444" i="7"/>
  <c r="N444" i="7"/>
  <c r="J444" i="7"/>
  <c r="I444" i="7"/>
  <c r="H444" i="7"/>
  <c r="E444" i="7"/>
  <c r="D444" i="7"/>
  <c r="C444" i="7"/>
  <c r="B444" i="7"/>
  <c r="V443" i="7"/>
  <c r="U443" i="7"/>
  <c r="T443" i="7"/>
  <c r="Q443" i="7"/>
  <c r="P443" i="7"/>
  <c r="O443" i="7"/>
  <c r="N443" i="7"/>
  <c r="J443" i="7"/>
  <c r="I443" i="7"/>
  <c r="H443" i="7"/>
  <c r="E443" i="7"/>
  <c r="D443" i="7"/>
  <c r="C443" i="7"/>
  <c r="B443" i="7"/>
  <c r="V442" i="7"/>
  <c r="U442" i="7"/>
  <c r="T442" i="7"/>
  <c r="Q442" i="7"/>
  <c r="P442" i="7"/>
  <c r="O442" i="7"/>
  <c r="N442" i="7"/>
  <c r="J442" i="7"/>
  <c r="I442" i="7"/>
  <c r="H442" i="7"/>
  <c r="E442" i="7"/>
  <c r="D442" i="7"/>
  <c r="C442" i="7"/>
  <c r="B442" i="7"/>
  <c r="V441" i="7"/>
  <c r="U441" i="7"/>
  <c r="T441" i="7"/>
  <c r="Q441" i="7"/>
  <c r="P441" i="7"/>
  <c r="O441" i="7"/>
  <c r="N441" i="7"/>
  <c r="J441" i="7"/>
  <c r="I441" i="7"/>
  <c r="H441" i="7"/>
  <c r="E441" i="7"/>
  <c r="D441" i="7"/>
  <c r="C441" i="7"/>
  <c r="B441" i="7"/>
  <c r="V440" i="7"/>
  <c r="U440" i="7"/>
  <c r="T440" i="7"/>
  <c r="Q440" i="7"/>
  <c r="P440" i="7"/>
  <c r="O440" i="7"/>
  <c r="N440" i="7"/>
  <c r="J440" i="7"/>
  <c r="I440" i="7"/>
  <c r="H440" i="7"/>
  <c r="E440" i="7"/>
  <c r="D440" i="7"/>
  <c r="C440" i="7"/>
  <c r="B440" i="7"/>
  <c r="V439" i="7"/>
  <c r="U439" i="7"/>
  <c r="T439" i="7"/>
  <c r="Q439" i="7"/>
  <c r="P439" i="7"/>
  <c r="O439" i="7"/>
  <c r="N439" i="7"/>
  <c r="J439" i="7"/>
  <c r="I439" i="7"/>
  <c r="H439" i="7"/>
  <c r="E439" i="7"/>
  <c r="D439" i="7"/>
  <c r="C439" i="7"/>
  <c r="B439" i="7"/>
  <c r="V438" i="7"/>
  <c r="U438" i="7"/>
  <c r="T438" i="7"/>
  <c r="Q438" i="7"/>
  <c r="P438" i="7"/>
  <c r="O438" i="7"/>
  <c r="N438" i="7"/>
  <c r="J438" i="7"/>
  <c r="I438" i="7"/>
  <c r="H438" i="7"/>
  <c r="E438" i="7"/>
  <c r="D438" i="7"/>
  <c r="C438" i="7"/>
  <c r="B438" i="7"/>
  <c r="V437" i="7"/>
  <c r="U437" i="7"/>
  <c r="T437" i="7"/>
  <c r="Q437" i="7"/>
  <c r="P437" i="7"/>
  <c r="O437" i="7"/>
  <c r="N437" i="7"/>
  <c r="J437" i="7"/>
  <c r="I437" i="7"/>
  <c r="H437" i="7"/>
  <c r="E437" i="7"/>
  <c r="D437" i="7"/>
  <c r="C437" i="7"/>
  <c r="B437" i="7"/>
  <c r="V436" i="7"/>
  <c r="U436" i="7"/>
  <c r="T436" i="7"/>
  <c r="Q436" i="7"/>
  <c r="P436" i="7"/>
  <c r="O436" i="7"/>
  <c r="N436" i="7"/>
  <c r="J436" i="7"/>
  <c r="I436" i="7"/>
  <c r="H436" i="7"/>
  <c r="E436" i="7"/>
  <c r="D436" i="7"/>
  <c r="C436" i="7"/>
  <c r="B436" i="7"/>
  <c r="V435" i="7"/>
  <c r="U435" i="7"/>
  <c r="T435" i="7"/>
  <c r="Q435" i="7"/>
  <c r="P435" i="7"/>
  <c r="O435" i="7"/>
  <c r="N435" i="7"/>
  <c r="J435" i="7"/>
  <c r="I435" i="7"/>
  <c r="H435" i="7"/>
  <c r="E435" i="7"/>
  <c r="D435" i="7"/>
  <c r="C435" i="7"/>
  <c r="B435" i="7"/>
  <c r="V434" i="7"/>
  <c r="U434" i="7"/>
  <c r="T434" i="7"/>
  <c r="Q434" i="7"/>
  <c r="P434" i="7"/>
  <c r="O434" i="7"/>
  <c r="N434" i="7"/>
  <c r="J434" i="7"/>
  <c r="I434" i="7"/>
  <c r="H434" i="7"/>
  <c r="E434" i="7"/>
  <c r="D434" i="7"/>
  <c r="C434" i="7"/>
  <c r="B434" i="7"/>
  <c r="V433" i="7"/>
  <c r="U433" i="7"/>
  <c r="T433" i="7"/>
  <c r="Q433" i="7"/>
  <c r="P433" i="7"/>
  <c r="O433" i="7"/>
  <c r="N433" i="7"/>
  <c r="J433" i="7"/>
  <c r="I433" i="7"/>
  <c r="H433" i="7"/>
  <c r="E433" i="7"/>
  <c r="D433" i="7"/>
  <c r="C433" i="7"/>
  <c r="B433" i="7"/>
  <c r="V432" i="7"/>
  <c r="U432" i="7"/>
  <c r="T432" i="7"/>
  <c r="Q432" i="7"/>
  <c r="P432" i="7"/>
  <c r="O432" i="7"/>
  <c r="N432" i="7"/>
  <c r="J432" i="7"/>
  <c r="I432" i="7"/>
  <c r="H432" i="7"/>
  <c r="E432" i="7"/>
  <c r="D432" i="7"/>
  <c r="C432" i="7"/>
  <c r="B432" i="7"/>
  <c r="V431" i="7"/>
  <c r="U431" i="7"/>
  <c r="T431" i="7"/>
  <c r="Q431" i="7"/>
  <c r="P431" i="7"/>
  <c r="O431" i="7"/>
  <c r="N431" i="7"/>
  <c r="J431" i="7"/>
  <c r="I431" i="7"/>
  <c r="H431" i="7"/>
  <c r="E431" i="7"/>
  <c r="D431" i="7"/>
  <c r="C431" i="7"/>
  <c r="B431" i="7"/>
  <c r="V430" i="7"/>
  <c r="U430" i="7"/>
  <c r="T430" i="7"/>
  <c r="Q430" i="7"/>
  <c r="P430" i="7"/>
  <c r="O430" i="7"/>
  <c r="N430" i="7"/>
  <c r="J430" i="7"/>
  <c r="I430" i="7"/>
  <c r="H430" i="7"/>
  <c r="E430" i="7"/>
  <c r="D430" i="7"/>
  <c r="C430" i="7"/>
  <c r="B430" i="7"/>
  <c r="V429" i="7"/>
  <c r="U429" i="7"/>
  <c r="T429" i="7"/>
  <c r="Q429" i="7"/>
  <c r="P429" i="7"/>
  <c r="O429" i="7"/>
  <c r="N429" i="7"/>
  <c r="J429" i="7"/>
  <c r="I429" i="7"/>
  <c r="H429" i="7"/>
  <c r="E429" i="7"/>
  <c r="D429" i="7"/>
  <c r="C429" i="7"/>
  <c r="B429" i="7"/>
  <c r="V428" i="7"/>
  <c r="U428" i="7"/>
  <c r="T428" i="7"/>
  <c r="Q428" i="7"/>
  <c r="P428" i="7"/>
  <c r="O428" i="7"/>
  <c r="N428" i="7"/>
  <c r="J428" i="7"/>
  <c r="I428" i="7"/>
  <c r="H428" i="7"/>
  <c r="E428" i="7"/>
  <c r="D428" i="7"/>
  <c r="C428" i="7"/>
  <c r="B428" i="7"/>
  <c r="V427" i="7"/>
  <c r="U427" i="7"/>
  <c r="T427" i="7"/>
  <c r="Q427" i="7"/>
  <c r="P427" i="7"/>
  <c r="O427" i="7"/>
  <c r="N427" i="7"/>
  <c r="J427" i="7"/>
  <c r="I427" i="7"/>
  <c r="H427" i="7"/>
  <c r="E427" i="7"/>
  <c r="D427" i="7"/>
  <c r="C427" i="7"/>
  <c r="B427" i="7"/>
  <c r="V426" i="7"/>
  <c r="U426" i="7"/>
  <c r="T426" i="7"/>
  <c r="Q426" i="7"/>
  <c r="P426" i="7"/>
  <c r="O426" i="7"/>
  <c r="N426" i="7"/>
  <c r="J426" i="7"/>
  <c r="I426" i="7"/>
  <c r="H426" i="7"/>
  <c r="E426" i="7"/>
  <c r="D426" i="7"/>
  <c r="C426" i="7"/>
  <c r="B426" i="7"/>
  <c r="V425" i="7"/>
  <c r="U425" i="7"/>
  <c r="T425" i="7"/>
  <c r="Q425" i="7"/>
  <c r="P425" i="7"/>
  <c r="O425" i="7"/>
  <c r="N425" i="7"/>
  <c r="J425" i="7"/>
  <c r="I425" i="7"/>
  <c r="H425" i="7"/>
  <c r="E425" i="7"/>
  <c r="D425" i="7"/>
  <c r="C425" i="7"/>
  <c r="B425" i="7"/>
  <c r="V424" i="7"/>
  <c r="U424" i="7"/>
  <c r="T424" i="7"/>
  <c r="Q424" i="7"/>
  <c r="P424" i="7"/>
  <c r="O424" i="7"/>
  <c r="N424" i="7"/>
  <c r="J424" i="7"/>
  <c r="I424" i="7"/>
  <c r="H424" i="7"/>
  <c r="E424" i="7"/>
  <c r="D424" i="7"/>
  <c r="C424" i="7"/>
  <c r="B424" i="7"/>
  <c r="V423" i="7"/>
  <c r="U423" i="7"/>
  <c r="T423" i="7"/>
  <c r="Q423" i="7"/>
  <c r="P423" i="7"/>
  <c r="O423" i="7"/>
  <c r="N423" i="7"/>
  <c r="J423" i="7"/>
  <c r="I423" i="7"/>
  <c r="H423" i="7"/>
  <c r="E423" i="7"/>
  <c r="D423" i="7"/>
  <c r="C423" i="7"/>
  <c r="B423" i="7"/>
  <c r="V422" i="7"/>
  <c r="U422" i="7"/>
  <c r="T422" i="7"/>
  <c r="Q422" i="7"/>
  <c r="P422" i="7"/>
  <c r="O422" i="7"/>
  <c r="N422" i="7"/>
  <c r="J422" i="7"/>
  <c r="I422" i="7"/>
  <c r="H422" i="7"/>
  <c r="E422" i="7"/>
  <c r="D422" i="7"/>
  <c r="C422" i="7"/>
  <c r="B422" i="7"/>
  <c r="V421" i="7"/>
  <c r="U421" i="7"/>
  <c r="T421" i="7"/>
  <c r="Q421" i="7"/>
  <c r="P421" i="7"/>
  <c r="O421" i="7"/>
  <c r="N421" i="7"/>
  <c r="J421" i="7"/>
  <c r="I421" i="7"/>
  <c r="H421" i="7"/>
  <c r="E421" i="7"/>
  <c r="D421" i="7"/>
  <c r="C421" i="7"/>
  <c r="B421" i="7"/>
  <c r="V420" i="7"/>
  <c r="U420" i="7"/>
  <c r="T420" i="7"/>
  <c r="Q420" i="7"/>
  <c r="P420" i="7"/>
  <c r="O420" i="7"/>
  <c r="N420" i="7"/>
  <c r="J420" i="7"/>
  <c r="I420" i="7"/>
  <c r="H420" i="7"/>
  <c r="E420" i="7"/>
  <c r="D420" i="7"/>
  <c r="C420" i="7"/>
  <c r="B420" i="7"/>
  <c r="V419" i="7"/>
  <c r="U419" i="7"/>
  <c r="T419" i="7"/>
  <c r="Q419" i="7"/>
  <c r="P419" i="7"/>
  <c r="O419" i="7"/>
  <c r="N419" i="7"/>
  <c r="J419" i="7"/>
  <c r="I419" i="7"/>
  <c r="H419" i="7"/>
  <c r="E419" i="7"/>
  <c r="D419" i="7"/>
  <c r="C419" i="7"/>
  <c r="B419" i="7"/>
  <c r="V418" i="7"/>
  <c r="U418" i="7"/>
  <c r="T418" i="7"/>
  <c r="Q418" i="7"/>
  <c r="P418" i="7"/>
  <c r="O418" i="7"/>
  <c r="N418" i="7"/>
  <c r="J418" i="7"/>
  <c r="I418" i="7"/>
  <c r="H418" i="7"/>
  <c r="E418" i="7"/>
  <c r="D418" i="7"/>
  <c r="C418" i="7"/>
  <c r="B418" i="7"/>
  <c r="V417" i="7"/>
  <c r="U417" i="7"/>
  <c r="T417" i="7"/>
  <c r="Q417" i="7"/>
  <c r="P417" i="7"/>
  <c r="O417" i="7"/>
  <c r="N417" i="7"/>
  <c r="J417" i="7"/>
  <c r="I417" i="7"/>
  <c r="H417" i="7"/>
  <c r="E417" i="7"/>
  <c r="D417" i="7"/>
  <c r="C417" i="7"/>
  <c r="B417" i="7"/>
  <c r="V416" i="7"/>
  <c r="U416" i="7"/>
  <c r="T416" i="7"/>
  <c r="Q416" i="7"/>
  <c r="P416" i="7"/>
  <c r="O416" i="7"/>
  <c r="N416" i="7"/>
  <c r="J416" i="7"/>
  <c r="I416" i="7"/>
  <c r="H416" i="7"/>
  <c r="E416" i="7"/>
  <c r="D416" i="7"/>
  <c r="C416" i="7"/>
  <c r="B416" i="7"/>
  <c r="V415" i="7"/>
  <c r="U415" i="7"/>
  <c r="T415" i="7"/>
  <c r="Q415" i="7"/>
  <c r="P415" i="7"/>
  <c r="O415" i="7"/>
  <c r="N415" i="7"/>
  <c r="J415" i="7"/>
  <c r="I415" i="7"/>
  <c r="H415" i="7"/>
  <c r="E415" i="7"/>
  <c r="D415" i="7"/>
  <c r="C415" i="7"/>
  <c r="B415" i="7"/>
  <c r="V414" i="7"/>
  <c r="U414" i="7"/>
  <c r="T414" i="7"/>
  <c r="Q414" i="7"/>
  <c r="P414" i="7"/>
  <c r="O414" i="7"/>
  <c r="N414" i="7"/>
  <c r="J414" i="7"/>
  <c r="I414" i="7"/>
  <c r="H414" i="7"/>
  <c r="E414" i="7"/>
  <c r="D414" i="7"/>
  <c r="C414" i="7"/>
  <c r="B414" i="7"/>
  <c r="V413" i="7"/>
  <c r="U413" i="7"/>
  <c r="T413" i="7"/>
  <c r="Q413" i="7"/>
  <c r="P413" i="7"/>
  <c r="O413" i="7"/>
  <c r="N413" i="7"/>
  <c r="J413" i="7"/>
  <c r="I413" i="7"/>
  <c r="H413" i="7"/>
  <c r="E413" i="7"/>
  <c r="D413" i="7"/>
  <c r="C413" i="7"/>
  <c r="B413" i="7"/>
  <c r="V412" i="7"/>
  <c r="U412" i="7"/>
  <c r="T412" i="7"/>
  <c r="Q412" i="7"/>
  <c r="P412" i="7"/>
  <c r="O412" i="7"/>
  <c r="N412" i="7"/>
  <c r="J412" i="7"/>
  <c r="I412" i="7"/>
  <c r="H412" i="7"/>
  <c r="E412" i="7"/>
  <c r="D412" i="7"/>
  <c r="C412" i="7"/>
  <c r="B412" i="7"/>
  <c r="V411" i="7"/>
  <c r="U411" i="7"/>
  <c r="T411" i="7"/>
  <c r="Q411" i="7"/>
  <c r="P411" i="7"/>
  <c r="O411" i="7"/>
  <c r="N411" i="7"/>
  <c r="J411" i="7"/>
  <c r="I411" i="7"/>
  <c r="H411" i="7"/>
  <c r="E411" i="7"/>
  <c r="D411" i="7"/>
  <c r="C411" i="7"/>
  <c r="B411" i="7"/>
  <c r="V410" i="7"/>
  <c r="U410" i="7"/>
  <c r="T410" i="7"/>
  <c r="Q410" i="7"/>
  <c r="P410" i="7"/>
  <c r="O410" i="7"/>
  <c r="N410" i="7"/>
  <c r="J410" i="7"/>
  <c r="I410" i="7"/>
  <c r="H410" i="7"/>
  <c r="E410" i="7"/>
  <c r="D410" i="7"/>
  <c r="C410" i="7"/>
  <c r="B410" i="7"/>
  <c r="V409" i="7"/>
  <c r="U409" i="7"/>
  <c r="T409" i="7"/>
  <c r="Q409" i="7"/>
  <c r="P409" i="7"/>
  <c r="O409" i="7"/>
  <c r="N409" i="7"/>
  <c r="J409" i="7"/>
  <c r="I409" i="7"/>
  <c r="H409" i="7"/>
  <c r="E409" i="7"/>
  <c r="D409" i="7"/>
  <c r="C409" i="7"/>
  <c r="B409" i="7"/>
  <c r="V408" i="7"/>
  <c r="U408" i="7"/>
  <c r="T408" i="7"/>
  <c r="Q408" i="7"/>
  <c r="P408" i="7"/>
  <c r="O408" i="7"/>
  <c r="N408" i="7"/>
  <c r="J408" i="7"/>
  <c r="I408" i="7"/>
  <c r="H408" i="7"/>
  <c r="E408" i="7"/>
  <c r="D408" i="7"/>
  <c r="C408" i="7"/>
  <c r="B408" i="7"/>
  <c r="V407" i="7"/>
  <c r="U407" i="7"/>
  <c r="T407" i="7"/>
  <c r="Q407" i="7"/>
  <c r="P407" i="7"/>
  <c r="O407" i="7"/>
  <c r="N407" i="7"/>
  <c r="J407" i="7"/>
  <c r="I407" i="7"/>
  <c r="H407" i="7"/>
  <c r="E407" i="7"/>
  <c r="D407" i="7"/>
  <c r="C407" i="7"/>
  <c r="B407" i="7"/>
  <c r="V406" i="7"/>
  <c r="U406" i="7"/>
  <c r="T406" i="7"/>
  <c r="Q406" i="7"/>
  <c r="P406" i="7"/>
  <c r="O406" i="7"/>
  <c r="N406" i="7"/>
  <c r="J406" i="7"/>
  <c r="I406" i="7"/>
  <c r="H406" i="7"/>
  <c r="E406" i="7"/>
  <c r="D406" i="7"/>
  <c r="C406" i="7"/>
  <c r="B406" i="7"/>
  <c r="V405" i="7"/>
  <c r="U405" i="7"/>
  <c r="T405" i="7"/>
  <c r="Q405" i="7"/>
  <c r="P405" i="7"/>
  <c r="O405" i="7"/>
  <c r="N405" i="7"/>
  <c r="J405" i="7"/>
  <c r="I405" i="7"/>
  <c r="H405" i="7"/>
  <c r="E405" i="7"/>
  <c r="D405" i="7"/>
  <c r="C405" i="7"/>
  <c r="B405" i="7"/>
  <c r="V404" i="7"/>
  <c r="U404" i="7"/>
  <c r="T404" i="7"/>
  <c r="Q404" i="7"/>
  <c r="P404" i="7"/>
  <c r="O404" i="7"/>
  <c r="N404" i="7"/>
  <c r="J404" i="7"/>
  <c r="I404" i="7"/>
  <c r="H404" i="7"/>
  <c r="E404" i="7"/>
  <c r="D404" i="7"/>
  <c r="C404" i="7"/>
  <c r="B404" i="7"/>
  <c r="V403" i="7"/>
  <c r="U403" i="7"/>
  <c r="T403" i="7"/>
  <c r="Q403" i="7"/>
  <c r="P403" i="7"/>
  <c r="O403" i="7"/>
  <c r="N403" i="7"/>
  <c r="J403" i="7"/>
  <c r="I403" i="7"/>
  <c r="H403" i="7"/>
  <c r="E403" i="7"/>
  <c r="D403" i="7"/>
  <c r="C403" i="7"/>
  <c r="B403" i="7"/>
  <c r="V402" i="7"/>
  <c r="U402" i="7"/>
  <c r="T402" i="7"/>
  <c r="Q402" i="7"/>
  <c r="P402" i="7"/>
  <c r="O402" i="7"/>
  <c r="N402" i="7"/>
  <c r="J402" i="7"/>
  <c r="I402" i="7"/>
  <c r="H402" i="7"/>
  <c r="E402" i="7"/>
  <c r="D402" i="7"/>
  <c r="C402" i="7"/>
  <c r="B402" i="7"/>
  <c r="V401" i="7"/>
  <c r="U401" i="7"/>
  <c r="T401" i="7"/>
  <c r="Q401" i="7"/>
  <c r="P401" i="7"/>
  <c r="O401" i="7"/>
  <c r="N401" i="7"/>
  <c r="J401" i="7"/>
  <c r="I401" i="7"/>
  <c r="H401" i="7"/>
  <c r="E401" i="7"/>
  <c r="D401" i="7"/>
  <c r="C401" i="7"/>
  <c r="B401" i="7"/>
  <c r="V400" i="7"/>
  <c r="U400" i="7"/>
  <c r="T400" i="7"/>
  <c r="Q400" i="7"/>
  <c r="P400" i="7"/>
  <c r="O400" i="7"/>
  <c r="N400" i="7"/>
  <c r="J400" i="7"/>
  <c r="I400" i="7"/>
  <c r="H400" i="7"/>
  <c r="E400" i="7"/>
  <c r="D400" i="7"/>
  <c r="C400" i="7"/>
  <c r="B400" i="7"/>
  <c r="V399" i="7"/>
  <c r="U399" i="7"/>
  <c r="T399" i="7"/>
  <c r="Q399" i="7"/>
  <c r="P399" i="7"/>
  <c r="O399" i="7"/>
  <c r="N399" i="7"/>
  <c r="J399" i="7"/>
  <c r="I399" i="7"/>
  <c r="H399" i="7"/>
  <c r="E399" i="7"/>
  <c r="D399" i="7"/>
  <c r="C399" i="7"/>
  <c r="B399" i="7"/>
  <c r="V398" i="7"/>
  <c r="U398" i="7"/>
  <c r="T398" i="7"/>
  <c r="Q398" i="7"/>
  <c r="P398" i="7"/>
  <c r="O398" i="7"/>
  <c r="N398" i="7"/>
  <c r="J398" i="7"/>
  <c r="I398" i="7"/>
  <c r="H398" i="7"/>
  <c r="E398" i="7"/>
  <c r="D398" i="7"/>
  <c r="C398" i="7"/>
  <c r="B398" i="7"/>
  <c r="V397" i="7"/>
  <c r="U397" i="7"/>
  <c r="T397" i="7"/>
  <c r="Q397" i="7"/>
  <c r="P397" i="7"/>
  <c r="O397" i="7"/>
  <c r="N397" i="7"/>
  <c r="J397" i="7"/>
  <c r="I397" i="7"/>
  <c r="H397" i="7"/>
  <c r="E397" i="7"/>
  <c r="D397" i="7"/>
  <c r="C397" i="7"/>
  <c r="B397" i="7"/>
  <c r="V396" i="7"/>
  <c r="U396" i="7"/>
  <c r="T396" i="7"/>
  <c r="Q396" i="7"/>
  <c r="P396" i="7"/>
  <c r="O396" i="7"/>
  <c r="N396" i="7"/>
  <c r="J396" i="7"/>
  <c r="I396" i="7"/>
  <c r="H396" i="7"/>
  <c r="E396" i="7"/>
  <c r="D396" i="7"/>
  <c r="C396" i="7"/>
  <c r="B396" i="7"/>
  <c r="V395" i="7"/>
  <c r="U395" i="7"/>
  <c r="T395" i="7"/>
  <c r="Q395" i="7"/>
  <c r="P395" i="7"/>
  <c r="O395" i="7"/>
  <c r="N395" i="7"/>
  <c r="J395" i="7"/>
  <c r="I395" i="7"/>
  <c r="H395" i="7"/>
  <c r="E395" i="7"/>
  <c r="D395" i="7"/>
  <c r="C395" i="7"/>
  <c r="B395" i="7"/>
  <c r="V394" i="7"/>
  <c r="U394" i="7"/>
  <c r="T394" i="7"/>
  <c r="Q394" i="7"/>
  <c r="P394" i="7"/>
  <c r="O394" i="7"/>
  <c r="N394" i="7"/>
  <c r="J394" i="7"/>
  <c r="I394" i="7"/>
  <c r="H394" i="7"/>
  <c r="E394" i="7"/>
  <c r="D394" i="7"/>
  <c r="C394" i="7"/>
  <c r="B394" i="7"/>
  <c r="V393" i="7"/>
  <c r="U393" i="7"/>
  <c r="T393" i="7"/>
  <c r="Q393" i="7"/>
  <c r="P393" i="7"/>
  <c r="O393" i="7"/>
  <c r="N393" i="7"/>
  <c r="J393" i="7"/>
  <c r="I393" i="7"/>
  <c r="H393" i="7"/>
  <c r="E393" i="7"/>
  <c r="D393" i="7"/>
  <c r="C393" i="7"/>
  <c r="B393" i="7"/>
  <c r="V392" i="7"/>
  <c r="U392" i="7"/>
  <c r="T392" i="7"/>
  <c r="Q392" i="7"/>
  <c r="P392" i="7"/>
  <c r="O392" i="7"/>
  <c r="N392" i="7"/>
  <c r="J392" i="7"/>
  <c r="I392" i="7"/>
  <c r="H392" i="7"/>
  <c r="E392" i="7"/>
  <c r="D392" i="7"/>
  <c r="C392" i="7"/>
  <c r="B392" i="7"/>
  <c r="V391" i="7"/>
  <c r="U391" i="7"/>
  <c r="T391" i="7"/>
  <c r="Q391" i="7"/>
  <c r="P391" i="7"/>
  <c r="O391" i="7"/>
  <c r="N391" i="7"/>
  <c r="J391" i="7"/>
  <c r="I391" i="7"/>
  <c r="H391" i="7"/>
  <c r="E391" i="7"/>
  <c r="D391" i="7"/>
  <c r="C391" i="7"/>
  <c r="B391" i="7"/>
  <c r="V390" i="7"/>
  <c r="U390" i="7"/>
  <c r="T390" i="7"/>
  <c r="Q390" i="7"/>
  <c r="P390" i="7"/>
  <c r="O390" i="7"/>
  <c r="N390" i="7"/>
  <c r="J390" i="7"/>
  <c r="I390" i="7"/>
  <c r="H390" i="7"/>
  <c r="E390" i="7"/>
  <c r="D390" i="7"/>
  <c r="C390" i="7"/>
  <c r="B390" i="7"/>
  <c r="V389" i="7"/>
  <c r="U389" i="7"/>
  <c r="T389" i="7"/>
  <c r="Q389" i="7"/>
  <c r="P389" i="7"/>
  <c r="O389" i="7"/>
  <c r="N389" i="7"/>
  <c r="J389" i="7"/>
  <c r="I389" i="7"/>
  <c r="H389" i="7"/>
  <c r="E389" i="7"/>
  <c r="D389" i="7"/>
  <c r="C389" i="7"/>
  <c r="B389" i="7"/>
  <c r="V388" i="7"/>
  <c r="U388" i="7"/>
  <c r="T388" i="7"/>
  <c r="Q388" i="7"/>
  <c r="P388" i="7"/>
  <c r="O388" i="7"/>
  <c r="N388" i="7"/>
  <c r="J388" i="7"/>
  <c r="I388" i="7"/>
  <c r="H388" i="7"/>
  <c r="E388" i="7"/>
  <c r="D388" i="7"/>
  <c r="C388" i="7"/>
  <c r="B388" i="7"/>
  <c r="V387" i="7"/>
  <c r="U387" i="7"/>
  <c r="T387" i="7"/>
  <c r="Q387" i="7"/>
  <c r="P387" i="7"/>
  <c r="O387" i="7"/>
  <c r="N387" i="7"/>
  <c r="J387" i="7"/>
  <c r="I387" i="7"/>
  <c r="H387" i="7"/>
  <c r="E387" i="7"/>
  <c r="D387" i="7"/>
  <c r="C387" i="7"/>
  <c r="B387" i="7"/>
  <c r="V386" i="7"/>
  <c r="U386" i="7"/>
  <c r="T386" i="7"/>
  <c r="Q386" i="7"/>
  <c r="P386" i="7"/>
  <c r="O386" i="7"/>
  <c r="N386" i="7"/>
  <c r="J386" i="7"/>
  <c r="I386" i="7"/>
  <c r="H386" i="7"/>
  <c r="E386" i="7"/>
  <c r="D386" i="7"/>
  <c r="C386" i="7"/>
  <c r="B386" i="7"/>
  <c r="V385" i="7"/>
  <c r="U385" i="7"/>
  <c r="T385" i="7"/>
  <c r="Q385" i="7"/>
  <c r="P385" i="7"/>
  <c r="O385" i="7"/>
  <c r="N385" i="7"/>
  <c r="J385" i="7"/>
  <c r="I385" i="7"/>
  <c r="H385" i="7"/>
  <c r="E385" i="7"/>
  <c r="D385" i="7"/>
  <c r="C385" i="7"/>
  <c r="B385" i="7"/>
  <c r="V384" i="7"/>
  <c r="U384" i="7"/>
  <c r="T384" i="7"/>
  <c r="Q384" i="7"/>
  <c r="P384" i="7"/>
  <c r="O384" i="7"/>
  <c r="N384" i="7"/>
  <c r="J384" i="7"/>
  <c r="I384" i="7"/>
  <c r="H384" i="7"/>
  <c r="E384" i="7"/>
  <c r="D384" i="7"/>
  <c r="C384" i="7"/>
  <c r="B384" i="7"/>
  <c r="V383" i="7"/>
  <c r="U383" i="7"/>
  <c r="T383" i="7"/>
  <c r="Q383" i="7"/>
  <c r="P383" i="7"/>
  <c r="O383" i="7"/>
  <c r="N383" i="7"/>
  <c r="J383" i="7"/>
  <c r="I383" i="7"/>
  <c r="H383" i="7"/>
  <c r="E383" i="7"/>
  <c r="D383" i="7"/>
  <c r="C383" i="7"/>
  <c r="B383" i="7"/>
  <c r="V382" i="7"/>
  <c r="U382" i="7"/>
  <c r="T382" i="7"/>
  <c r="Q382" i="7"/>
  <c r="P382" i="7"/>
  <c r="O382" i="7"/>
  <c r="N382" i="7"/>
  <c r="J382" i="7"/>
  <c r="I382" i="7"/>
  <c r="H382" i="7"/>
  <c r="E382" i="7"/>
  <c r="D382" i="7"/>
  <c r="C382" i="7"/>
  <c r="B382" i="7"/>
  <c r="V381" i="7"/>
  <c r="U381" i="7"/>
  <c r="T381" i="7"/>
  <c r="Q381" i="7"/>
  <c r="P381" i="7"/>
  <c r="O381" i="7"/>
  <c r="N381" i="7"/>
  <c r="J381" i="7"/>
  <c r="I381" i="7"/>
  <c r="H381" i="7"/>
  <c r="E381" i="7"/>
  <c r="D381" i="7"/>
  <c r="C381" i="7"/>
  <c r="B381" i="7"/>
  <c r="V380" i="7"/>
  <c r="U380" i="7"/>
  <c r="T380" i="7"/>
  <c r="Q380" i="7"/>
  <c r="P380" i="7"/>
  <c r="O380" i="7"/>
  <c r="N380" i="7"/>
  <c r="J380" i="7"/>
  <c r="I380" i="7"/>
  <c r="H380" i="7"/>
  <c r="E380" i="7"/>
  <c r="D380" i="7"/>
  <c r="C380" i="7"/>
  <c r="B380" i="7"/>
  <c r="V379" i="7"/>
  <c r="U379" i="7"/>
  <c r="T379" i="7"/>
  <c r="Q379" i="7"/>
  <c r="P379" i="7"/>
  <c r="O379" i="7"/>
  <c r="N379" i="7"/>
  <c r="J379" i="7"/>
  <c r="I379" i="7"/>
  <c r="H379" i="7"/>
  <c r="E379" i="7"/>
  <c r="D379" i="7"/>
  <c r="C379" i="7"/>
  <c r="B379" i="7"/>
  <c r="V378" i="7"/>
  <c r="U378" i="7"/>
  <c r="T378" i="7"/>
  <c r="Q378" i="7"/>
  <c r="P378" i="7"/>
  <c r="O378" i="7"/>
  <c r="N378" i="7"/>
  <c r="J378" i="7"/>
  <c r="I378" i="7"/>
  <c r="H378" i="7"/>
  <c r="E378" i="7"/>
  <c r="D378" i="7"/>
  <c r="C378" i="7"/>
  <c r="B378" i="7"/>
  <c r="V377" i="7"/>
  <c r="U377" i="7"/>
  <c r="T377" i="7"/>
  <c r="Q377" i="7"/>
  <c r="P377" i="7"/>
  <c r="O377" i="7"/>
  <c r="N377" i="7"/>
  <c r="J377" i="7"/>
  <c r="I377" i="7"/>
  <c r="H377" i="7"/>
  <c r="E377" i="7"/>
  <c r="D377" i="7"/>
  <c r="C377" i="7"/>
  <c r="B377" i="7"/>
  <c r="V376" i="7"/>
  <c r="U376" i="7"/>
  <c r="T376" i="7"/>
  <c r="Q376" i="7"/>
  <c r="P376" i="7"/>
  <c r="O376" i="7"/>
  <c r="N376" i="7"/>
  <c r="J376" i="7"/>
  <c r="I376" i="7"/>
  <c r="H376" i="7"/>
  <c r="E376" i="7"/>
  <c r="D376" i="7"/>
  <c r="C376" i="7"/>
  <c r="B376" i="7"/>
  <c r="V375" i="7"/>
  <c r="U375" i="7"/>
  <c r="T375" i="7"/>
  <c r="Q375" i="7"/>
  <c r="P375" i="7"/>
  <c r="O375" i="7"/>
  <c r="N375" i="7"/>
  <c r="J375" i="7"/>
  <c r="I375" i="7"/>
  <c r="H375" i="7"/>
  <c r="E375" i="7"/>
  <c r="D375" i="7"/>
  <c r="C375" i="7"/>
  <c r="B375" i="7"/>
  <c r="V374" i="7"/>
  <c r="U374" i="7"/>
  <c r="T374" i="7"/>
  <c r="Q374" i="7"/>
  <c r="P374" i="7"/>
  <c r="O374" i="7"/>
  <c r="N374" i="7"/>
  <c r="J374" i="7"/>
  <c r="I374" i="7"/>
  <c r="H374" i="7"/>
  <c r="E374" i="7"/>
  <c r="D374" i="7"/>
  <c r="C374" i="7"/>
  <c r="B374" i="7"/>
  <c r="V373" i="7"/>
  <c r="U373" i="7"/>
  <c r="T373" i="7"/>
  <c r="Q373" i="7"/>
  <c r="P373" i="7"/>
  <c r="O373" i="7"/>
  <c r="N373" i="7"/>
  <c r="J373" i="7"/>
  <c r="I373" i="7"/>
  <c r="H373" i="7"/>
  <c r="E373" i="7"/>
  <c r="D373" i="7"/>
  <c r="C373" i="7"/>
  <c r="B373" i="7"/>
  <c r="V372" i="7"/>
  <c r="U372" i="7"/>
  <c r="T372" i="7"/>
  <c r="Q372" i="7"/>
  <c r="P372" i="7"/>
  <c r="O372" i="7"/>
  <c r="N372" i="7"/>
  <c r="J372" i="7"/>
  <c r="I372" i="7"/>
  <c r="H372" i="7"/>
  <c r="E372" i="7"/>
  <c r="D372" i="7"/>
  <c r="C372" i="7"/>
  <c r="B372" i="7"/>
  <c r="V371" i="7"/>
  <c r="U371" i="7"/>
  <c r="T371" i="7"/>
  <c r="Q371" i="7"/>
  <c r="P371" i="7"/>
  <c r="O371" i="7"/>
  <c r="N371" i="7"/>
  <c r="J371" i="7"/>
  <c r="I371" i="7"/>
  <c r="H371" i="7"/>
  <c r="E371" i="7"/>
  <c r="D371" i="7"/>
  <c r="C371" i="7"/>
  <c r="B371" i="7"/>
  <c r="V370" i="7"/>
  <c r="U370" i="7"/>
  <c r="T370" i="7"/>
  <c r="Q370" i="7"/>
  <c r="P370" i="7"/>
  <c r="O370" i="7"/>
  <c r="N370" i="7"/>
  <c r="J370" i="7"/>
  <c r="I370" i="7"/>
  <c r="H370" i="7"/>
  <c r="E370" i="7"/>
  <c r="D370" i="7"/>
  <c r="C370" i="7"/>
  <c r="B370" i="7"/>
  <c r="V369" i="7"/>
  <c r="U369" i="7"/>
  <c r="T369" i="7"/>
  <c r="Q369" i="7"/>
  <c r="P369" i="7"/>
  <c r="O369" i="7"/>
  <c r="N369" i="7"/>
  <c r="J369" i="7"/>
  <c r="I369" i="7"/>
  <c r="H369" i="7"/>
  <c r="E369" i="7"/>
  <c r="D369" i="7"/>
  <c r="C369" i="7"/>
  <c r="B369" i="7"/>
  <c r="V368" i="7"/>
  <c r="U368" i="7"/>
  <c r="T368" i="7"/>
  <c r="Q368" i="7"/>
  <c r="P368" i="7"/>
  <c r="O368" i="7"/>
  <c r="N368" i="7"/>
  <c r="J368" i="7"/>
  <c r="I368" i="7"/>
  <c r="H368" i="7"/>
  <c r="E368" i="7"/>
  <c r="D368" i="7"/>
  <c r="C368" i="7"/>
  <c r="B368" i="7"/>
  <c r="V367" i="7"/>
  <c r="U367" i="7"/>
  <c r="T367" i="7"/>
  <c r="Q367" i="7"/>
  <c r="P367" i="7"/>
  <c r="O367" i="7"/>
  <c r="N367" i="7"/>
  <c r="J367" i="7"/>
  <c r="I367" i="7"/>
  <c r="H367" i="7"/>
  <c r="E367" i="7"/>
  <c r="D367" i="7"/>
  <c r="C367" i="7"/>
  <c r="B367" i="7"/>
  <c r="V366" i="7"/>
  <c r="U366" i="7"/>
  <c r="T366" i="7"/>
  <c r="Q366" i="7"/>
  <c r="P366" i="7"/>
  <c r="O366" i="7"/>
  <c r="N366" i="7"/>
  <c r="J366" i="7"/>
  <c r="I366" i="7"/>
  <c r="H366" i="7"/>
  <c r="E366" i="7"/>
  <c r="D366" i="7"/>
  <c r="C366" i="7"/>
  <c r="B366" i="7"/>
  <c r="V365" i="7"/>
  <c r="U365" i="7"/>
  <c r="T365" i="7"/>
  <c r="Q365" i="7"/>
  <c r="P365" i="7"/>
  <c r="O365" i="7"/>
  <c r="N365" i="7"/>
  <c r="J365" i="7"/>
  <c r="I365" i="7"/>
  <c r="H365" i="7"/>
  <c r="E365" i="7"/>
  <c r="D365" i="7"/>
  <c r="C365" i="7"/>
  <c r="B365" i="7"/>
  <c r="V364" i="7"/>
  <c r="U364" i="7"/>
  <c r="T364" i="7"/>
  <c r="Q364" i="7"/>
  <c r="P364" i="7"/>
  <c r="O364" i="7"/>
  <c r="N364" i="7"/>
  <c r="J364" i="7"/>
  <c r="I364" i="7"/>
  <c r="H364" i="7"/>
  <c r="E364" i="7"/>
  <c r="D364" i="7"/>
  <c r="C364" i="7"/>
  <c r="B364" i="7"/>
  <c r="V363" i="7"/>
  <c r="U363" i="7"/>
  <c r="T363" i="7"/>
  <c r="Q363" i="7"/>
  <c r="P363" i="7"/>
  <c r="O363" i="7"/>
  <c r="N363" i="7"/>
  <c r="J363" i="7"/>
  <c r="I363" i="7"/>
  <c r="H363" i="7"/>
  <c r="E363" i="7"/>
  <c r="D363" i="7"/>
  <c r="C363" i="7"/>
  <c r="B363" i="7"/>
  <c r="V362" i="7"/>
  <c r="U362" i="7"/>
  <c r="T362" i="7"/>
  <c r="Q362" i="7"/>
  <c r="P362" i="7"/>
  <c r="O362" i="7"/>
  <c r="N362" i="7"/>
  <c r="J362" i="7"/>
  <c r="I362" i="7"/>
  <c r="H362" i="7"/>
  <c r="E362" i="7"/>
  <c r="D362" i="7"/>
  <c r="C362" i="7"/>
  <c r="B362" i="7"/>
  <c r="V361" i="7"/>
  <c r="U361" i="7"/>
  <c r="T361" i="7"/>
  <c r="Q361" i="7"/>
  <c r="P361" i="7"/>
  <c r="O361" i="7"/>
  <c r="N361" i="7"/>
  <c r="J361" i="7"/>
  <c r="I361" i="7"/>
  <c r="H361" i="7"/>
  <c r="E361" i="7"/>
  <c r="D361" i="7"/>
  <c r="C361" i="7"/>
  <c r="B361" i="7"/>
  <c r="V360" i="7"/>
  <c r="U360" i="7"/>
  <c r="T360" i="7"/>
  <c r="Q360" i="7"/>
  <c r="P360" i="7"/>
  <c r="O360" i="7"/>
  <c r="N360" i="7"/>
  <c r="J360" i="7"/>
  <c r="I360" i="7"/>
  <c r="H360" i="7"/>
  <c r="E360" i="7"/>
  <c r="D360" i="7"/>
  <c r="C360" i="7"/>
  <c r="B360" i="7"/>
  <c r="V359" i="7"/>
  <c r="U359" i="7"/>
  <c r="T359" i="7"/>
  <c r="Q359" i="7"/>
  <c r="P359" i="7"/>
  <c r="O359" i="7"/>
  <c r="N359" i="7"/>
  <c r="J359" i="7"/>
  <c r="I359" i="7"/>
  <c r="H359" i="7"/>
  <c r="E359" i="7"/>
  <c r="D359" i="7"/>
  <c r="C359" i="7"/>
  <c r="B359" i="7"/>
  <c r="V358" i="7"/>
  <c r="U358" i="7"/>
  <c r="T358" i="7"/>
  <c r="Q358" i="7"/>
  <c r="P358" i="7"/>
  <c r="O358" i="7"/>
  <c r="N358" i="7"/>
  <c r="J358" i="7"/>
  <c r="I358" i="7"/>
  <c r="H358" i="7"/>
  <c r="E358" i="7"/>
  <c r="D358" i="7"/>
  <c r="C358" i="7"/>
  <c r="B358" i="7"/>
  <c r="V357" i="7"/>
  <c r="U357" i="7"/>
  <c r="T357" i="7"/>
  <c r="Q357" i="7"/>
  <c r="P357" i="7"/>
  <c r="O357" i="7"/>
  <c r="N357" i="7"/>
  <c r="J357" i="7"/>
  <c r="I357" i="7"/>
  <c r="H357" i="7"/>
  <c r="E357" i="7"/>
  <c r="D357" i="7"/>
  <c r="C357" i="7"/>
  <c r="B357" i="7"/>
  <c r="V356" i="7"/>
  <c r="U356" i="7"/>
  <c r="T356" i="7"/>
  <c r="Q356" i="7"/>
  <c r="P356" i="7"/>
  <c r="O356" i="7"/>
  <c r="N356" i="7"/>
  <c r="J356" i="7"/>
  <c r="I356" i="7"/>
  <c r="H356" i="7"/>
  <c r="E356" i="7"/>
  <c r="D356" i="7"/>
  <c r="C356" i="7"/>
  <c r="B356" i="7"/>
  <c r="V355" i="7"/>
  <c r="U355" i="7"/>
  <c r="T355" i="7"/>
  <c r="Q355" i="7"/>
  <c r="P355" i="7"/>
  <c r="O355" i="7"/>
  <c r="N355" i="7"/>
  <c r="J355" i="7"/>
  <c r="I355" i="7"/>
  <c r="H355" i="7"/>
  <c r="E355" i="7"/>
  <c r="D355" i="7"/>
  <c r="C355" i="7"/>
  <c r="B355" i="7"/>
  <c r="V354" i="7"/>
  <c r="U354" i="7"/>
  <c r="T354" i="7"/>
  <c r="Q354" i="7"/>
  <c r="P354" i="7"/>
  <c r="O354" i="7"/>
  <c r="N354" i="7"/>
  <c r="J354" i="7"/>
  <c r="I354" i="7"/>
  <c r="H354" i="7"/>
  <c r="E354" i="7"/>
  <c r="D354" i="7"/>
  <c r="C354" i="7"/>
  <c r="B354" i="7"/>
  <c r="V353" i="7"/>
  <c r="U353" i="7"/>
  <c r="T353" i="7"/>
  <c r="Q353" i="7"/>
  <c r="P353" i="7"/>
  <c r="O353" i="7"/>
  <c r="N353" i="7"/>
  <c r="J353" i="7"/>
  <c r="I353" i="7"/>
  <c r="H353" i="7"/>
  <c r="E353" i="7"/>
  <c r="D353" i="7"/>
  <c r="C353" i="7"/>
  <c r="B353" i="7"/>
  <c r="V352" i="7"/>
  <c r="U352" i="7"/>
  <c r="T352" i="7"/>
  <c r="Q352" i="7"/>
  <c r="P352" i="7"/>
  <c r="O352" i="7"/>
  <c r="N352" i="7"/>
  <c r="J352" i="7"/>
  <c r="I352" i="7"/>
  <c r="H352" i="7"/>
  <c r="E352" i="7"/>
  <c r="D352" i="7"/>
  <c r="C352" i="7"/>
  <c r="B352" i="7"/>
  <c r="V351" i="7"/>
  <c r="U351" i="7"/>
  <c r="T351" i="7"/>
  <c r="Q351" i="7"/>
  <c r="P351" i="7"/>
  <c r="O351" i="7"/>
  <c r="N351" i="7"/>
  <c r="J351" i="7"/>
  <c r="I351" i="7"/>
  <c r="H351" i="7"/>
  <c r="E351" i="7"/>
  <c r="D351" i="7"/>
  <c r="C351" i="7"/>
  <c r="B351" i="7"/>
  <c r="V350" i="7"/>
  <c r="U350" i="7"/>
  <c r="T350" i="7"/>
  <c r="Q350" i="7"/>
  <c r="P350" i="7"/>
  <c r="O350" i="7"/>
  <c r="N350" i="7"/>
  <c r="J350" i="7"/>
  <c r="I350" i="7"/>
  <c r="H350" i="7"/>
  <c r="E350" i="7"/>
  <c r="D350" i="7"/>
  <c r="C350" i="7"/>
  <c r="B350" i="7"/>
  <c r="V349" i="7"/>
  <c r="U349" i="7"/>
  <c r="T349" i="7"/>
  <c r="Q349" i="7"/>
  <c r="P349" i="7"/>
  <c r="O349" i="7"/>
  <c r="N349" i="7"/>
  <c r="J349" i="7"/>
  <c r="I349" i="7"/>
  <c r="H349" i="7"/>
  <c r="E349" i="7"/>
  <c r="D349" i="7"/>
  <c r="C349" i="7"/>
  <c r="B349" i="7"/>
  <c r="V348" i="7"/>
  <c r="U348" i="7"/>
  <c r="T348" i="7"/>
  <c r="Q348" i="7"/>
  <c r="P348" i="7"/>
  <c r="O348" i="7"/>
  <c r="N348" i="7"/>
  <c r="J348" i="7"/>
  <c r="I348" i="7"/>
  <c r="H348" i="7"/>
  <c r="E348" i="7"/>
  <c r="D348" i="7"/>
  <c r="C348" i="7"/>
  <c r="B348" i="7"/>
  <c r="V347" i="7"/>
  <c r="U347" i="7"/>
  <c r="T347" i="7"/>
  <c r="Q347" i="7"/>
  <c r="P347" i="7"/>
  <c r="O347" i="7"/>
  <c r="N347" i="7"/>
  <c r="J347" i="7"/>
  <c r="I347" i="7"/>
  <c r="H347" i="7"/>
  <c r="E347" i="7"/>
  <c r="D347" i="7"/>
  <c r="C347" i="7"/>
  <c r="B347" i="7"/>
  <c r="V346" i="7"/>
  <c r="U346" i="7"/>
  <c r="T346" i="7"/>
  <c r="Q346" i="7"/>
  <c r="P346" i="7"/>
  <c r="O346" i="7"/>
  <c r="N346" i="7"/>
  <c r="J346" i="7"/>
  <c r="I346" i="7"/>
  <c r="H346" i="7"/>
  <c r="E346" i="7"/>
  <c r="D346" i="7"/>
  <c r="C346" i="7"/>
  <c r="B346" i="7"/>
  <c r="V345" i="7"/>
  <c r="U345" i="7"/>
  <c r="T345" i="7"/>
  <c r="Q345" i="7"/>
  <c r="P345" i="7"/>
  <c r="O345" i="7"/>
  <c r="N345" i="7"/>
  <c r="J345" i="7"/>
  <c r="I345" i="7"/>
  <c r="H345" i="7"/>
  <c r="E345" i="7"/>
  <c r="D345" i="7"/>
  <c r="C345" i="7"/>
  <c r="B345" i="7"/>
  <c r="V344" i="7"/>
  <c r="U344" i="7"/>
  <c r="T344" i="7"/>
  <c r="Q344" i="7"/>
  <c r="P344" i="7"/>
  <c r="O344" i="7"/>
  <c r="N344" i="7"/>
  <c r="J344" i="7"/>
  <c r="I344" i="7"/>
  <c r="H344" i="7"/>
  <c r="E344" i="7"/>
  <c r="D344" i="7"/>
  <c r="C344" i="7"/>
  <c r="B344" i="7"/>
  <c r="V343" i="7"/>
  <c r="U343" i="7"/>
  <c r="T343" i="7"/>
  <c r="Q343" i="7"/>
  <c r="P343" i="7"/>
  <c r="O343" i="7"/>
  <c r="N343" i="7"/>
  <c r="J343" i="7"/>
  <c r="I343" i="7"/>
  <c r="H343" i="7"/>
  <c r="E343" i="7"/>
  <c r="D343" i="7"/>
  <c r="C343" i="7"/>
  <c r="B343" i="7"/>
  <c r="V342" i="7"/>
  <c r="U342" i="7"/>
  <c r="T342" i="7"/>
  <c r="Q342" i="7"/>
  <c r="P342" i="7"/>
  <c r="O342" i="7"/>
  <c r="N342" i="7"/>
  <c r="J342" i="7"/>
  <c r="I342" i="7"/>
  <c r="H342" i="7"/>
  <c r="E342" i="7"/>
  <c r="D342" i="7"/>
  <c r="C342" i="7"/>
  <c r="B342" i="7"/>
  <c r="V341" i="7"/>
  <c r="U341" i="7"/>
  <c r="T341" i="7"/>
  <c r="Q341" i="7"/>
  <c r="P341" i="7"/>
  <c r="O341" i="7"/>
  <c r="N341" i="7"/>
  <c r="J341" i="7"/>
  <c r="I341" i="7"/>
  <c r="H341" i="7"/>
  <c r="E341" i="7"/>
  <c r="D341" i="7"/>
  <c r="C341" i="7"/>
  <c r="B341" i="7"/>
  <c r="V340" i="7"/>
  <c r="U340" i="7"/>
  <c r="T340" i="7"/>
  <c r="Q340" i="7"/>
  <c r="P340" i="7"/>
  <c r="O340" i="7"/>
  <c r="N340" i="7"/>
  <c r="J340" i="7"/>
  <c r="I340" i="7"/>
  <c r="H340" i="7"/>
  <c r="E340" i="7"/>
  <c r="D340" i="7"/>
  <c r="C340" i="7"/>
  <c r="B340" i="7"/>
  <c r="V339" i="7"/>
  <c r="U339" i="7"/>
  <c r="T339" i="7"/>
  <c r="Q339" i="7"/>
  <c r="P339" i="7"/>
  <c r="O339" i="7"/>
  <c r="N339" i="7"/>
  <c r="J339" i="7"/>
  <c r="I339" i="7"/>
  <c r="H339" i="7"/>
  <c r="E339" i="7"/>
  <c r="D339" i="7"/>
  <c r="C339" i="7"/>
  <c r="B339" i="7"/>
  <c r="V338" i="7"/>
  <c r="U338" i="7"/>
  <c r="T338" i="7"/>
  <c r="Q338" i="7"/>
  <c r="P338" i="7"/>
  <c r="O338" i="7"/>
  <c r="N338" i="7"/>
  <c r="J338" i="7"/>
  <c r="I338" i="7"/>
  <c r="H338" i="7"/>
  <c r="E338" i="7"/>
  <c r="D338" i="7"/>
  <c r="C338" i="7"/>
  <c r="B338" i="7"/>
  <c r="V337" i="7"/>
  <c r="U337" i="7"/>
  <c r="T337" i="7"/>
  <c r="Q337" i="7"/>
  <c r="P337" i="7"/>
  <c r="O337" i="7"/>
  <c r="N337" i="7"/>
  <c r="J337" i="7"/>
  <c r="I337" i="7"/>
  <c r="H337" i="7"/>
  <c r="E337" i="7"/>
  <c r="D337" i="7"/>
  <c r="C337" i="7"/>
  <c r="B337" i="7"/>
  <c r="V336" i="7"/>
  <c r="U336" i="7"/>
  <c r="T336" i="7"/>
  <c r="Q336" i="7"/>
  <c r="P336" i="7"/>
  <c r="O336" i="7"/>
  <c r="N336" i="7"/>
  <c r="J336" i="7"/>
  <c r="I336" i="7"/>
  <c r="H336" i="7"/>
  <c r="E336" i="7"/>
  <c r="D336" i="7"/>
  <c r="C336" i="7"/>
  <c r="B336" i="7"/>
  <c r="V335" i="7"/>
  <c r="U335" i="7"/>
  <c r="T335" i="7"/>
  <c r="Q335" i="7"/>
  <c r="P335" i="7"/>
  <c r="O335" i="7"/>
  <c r="N335" i="7"/>
  <c r="J335" i="7"/>
  <c r="I335" i="7"/>
  <c r="H335" i="7"/>
  <c r="E335" i="7"/>
  <c r="D335" i="7"/>
  <c r="C335" i="7"/>
  <c r="B335" i="7"/>
  <c r="V334" i="7"/>
  <c r="U334" i="7"/>
  <c r="T334" i="7"/>
  <c r="Q334" i="7"/>
  <c r="P334" i="7"/>
  <c r="O334" i="7"/>
  <c r="N334" i="7"/>
  <c r="J334" i="7"/>
  <c r="I334" i="7"/>
  <c r="H334" i="7"/>
  <c r="E334" i="7"/>
  <c r="D334" i="7"/>
  <c r="C334" i="7"/>
  <c r="B334" i="7"/>
  <c r="V333" i="7"/>
  <c r="U333" i="7"/>
  <c r="T333" i="7"/>
  <c r="Q333" i="7"/>
  <c r="P333" i="7"/>
  <c r="O333" i="7"/>
  <c r="N333" i="7"/>
  <c r="J333" i="7"/>
  <c r="I333" i="7"/>
  <c r="H333" i="7"/>
  <c r="E333" i="7"/>
  <c r="D333" i="7"/>
  <c r="C333" i="7"/>
  <c r="B333" i="7"/>
  <c r="V332" i="7"/>
  <c r="U332" i="7"/>
  <c r="T332" i="7"/>
  <c r="Q332" i="7"/>
  <c r="P332" i="7"/>
  <c r="O332" i="7"/>
  <c r="N332" i="7"/>
  <c r="J332" i="7"/>
  <c r="I332" i="7"/>
  <c r="H332" i="7"/>
  <c r="E332" i="7"/>
  <c r="D332" i="7"/>
  <c r="C332" i="7"/>
  <c r="B332" i="7"/>
  <c r="V331" i="7"/>
  <c r="U331" i="7"/>
  <c r="T331" i="7"/>
  <c r="Q331" i="7"/>
  <c r="P331" i="7"/>
  <c r="O331" i="7"/>
  <c r="N331" i="7"/>
  <c r="J331" i="7"/>
  <c r="I331" i="7"/>
  <c r="H331" i="7"/>
  <c r="E331" i="7"/>
  <c r="D331" i="7"/>
  <c r="C331" i="7"/>
  <c r="B331" i="7"/>
  <c r="V330" i="7"/>
  <c r="U330" i="7"/>
  <c r="T330" i="7"/>
  <c r="Q330" i="7"/>
  <c r="P330" i="7"/>
  <c r="O330" i="7"/>
  <c r="N330" i="7"/>
  <c r="J330" i="7"/>
  <c r="I330" i="7"/>
  <c r="H330" i="7"/>
  <c r="E330" i="7"/>
  <c r="D330" i="7"/>
  <c r="C330" i="7"/>
  <c r="B330" i="7"/>
  <c r="V329" i="7"/>
  <c r="U329" i="7"/>
  <c r="T329" i="7"/>
  <c r="Q329" i="7"/>
  <c r="P329" i="7"/>
  <c r="O329" i="7"/>
  <c r="N329" i="7"/>
  <c r="J329" i="7"/>
  <c r="I329" i="7"/>
  <c r="H329" i="7"/>
  <c r="E329" i="7"/>
  <c r="D329" i="7"/>
  <c r="C329" i="7"/>
  <c r="B329" i="7"/>
  <c r="V328" i="7"/>
  <c r="U328" i="7"/>
  <c r="T328" i="7"/>
  <c r="Q328" i="7"/>
  <c r="P328" i="7"/>
  <c r="O328" i="7"/>
  <c r="N328" i="7"/>
  <c r="J328" i="7"/>
  <c r="I328" i="7"/>
  <c r="H328" i="7"/>
  <c r="E328" i="7"/>
  <c r="D328" i="7"/>
  <c r="C328" i="7"/>
  <c r="B328" i="7"/>
  <c r="V327" i="7"/>
  <c r="U327" i="7"/>
  <c r="T327" i="7"/>
  <c r="Q327" i="7"/>
  <c r="P327" i="7"/>
  <c r="O327" i="7"/>
  <c r="N327" i="7"/>
  <c r="J327" i="7"/>
  <c r="I327" i="7"/>
  <c r="H327" i="7"/>
  <c r="E327" i="7"/>
  <c r="D327" i="7"/>
  <c r="C327" i="7"/>
  <c r="B327" i="7"/>
  <c r="V326" i="7"/>
  <c r="U326" i="7"/>
  <c r="T326" i="7"/>
  <c r="Q326" i="7"/>
  <c r="P326" i="7"/>
  <c r="O326" i="7"/>
  <c r="N326" i="7"/>
  <c r="J326" i="7"/>
  <c r="I326" i="7"/>
  <c r="H326" i="7"/>
  <c r="E326" i="7"/>
  <c r="D326" i="7"/>
  <c r="C326" i="7"/>
  <c r="B326" i="7"/>
  <c r="V325" i="7"/>
  <c r="U325" i="7"/>
  <c r="T325" i="7"/>
  <c r="Q325" i="7"/>
  <c r="P325" i="7"/>
  <c r="O325" i="7"/>
  <c r="N325" i="7"/>
  <c r="J325" i="7"/>
  <c r="I325" i="7"/>
  <c r="H325" i="7"/>
  <c r="E325" i="7"/>
  <c r="D325" i="7"/>
  <c r="C325" i="7"/>
  <c r="B325" i="7"/>
  <c r="V324" i="7"/>
  <c r="U324" i="7"/>
  <c r="T324" i="7"/>
  <c r="Q324" i="7"/>
  <c r="P324" i="7"/>
  <c r="O324" i="7"/>
  <c r="N324" i="7"/>
  <c r="J324" i="7"/>
  <c r="I324" i="7"/>
  <c r="H324" i="7"/>
  <c r="E324" i="7"/>
  <c r="D324" i="7"/>
  <c r="C324" i="7"/>
  <c r="B324" i="7"/>
  <c r="V323" i="7"/>
  <c r="U323" i="7"/>
  <c r="T323" i="7"/>
  <c r="Q323" i="7"/>
  <c r="P323" i="7"/>
  <c r="O323" i="7"/>
  <c r="N323" i="7"/>
  <c r="J323" i="7"/>
  <c r="I323" i="7"/>
  <c r="H323" i="7"/>
  <c r="E323" i="7"/>
  <c r="D323" i="7"/>
  <c r="C323" i="7"/>
  <c r="B323" i="7"/>
  <c r="V322" i="7"/>
  <c r="U322" i="7"/>
  <c r="T322" i="7"/>
  <c r="Q322" i="7"/>
  <c r="P322" i="7"/>
  <c r="O322" i="7"/>
  <c r="N322" i="7"/>
  <c r="J322" i="7"/>
  <c r="I322" i="7"/>
  <c r="H322" i="7"/>
  <c r="E322" i="7"/>
  <c r="D322" i="7"/>
  <c r="C322" i="7"/>
  <c r="B322" i="7"/>
  <c r="V321" i="7"/>
  <c r="U321" i="7"/>
  <c r="T321" i="7"/>
  <c r="Q321" i="7"/>
  <c r="P321" i="7"/>
  <c r="O321" i="7"/>
  <c r="N321" i="7"/>
  <c r="J321" i="7"/>
  <c r="I321" i="7"/>
  <c r="H321" i="7"/>
  <c r="E321" i="7"/>
  <c r="D321" i="7"/>
  <c r="C321" i="7"/>
  <c r="B321" i="7"/>
  <c r="V320" i="7"/>
  <c r="U320" i="7"/>
  <c r="T320" i="7"/>
  <c r="Q320" i="7"/>
  <c r="P320" i="7"/>
  <c r="O320" i="7"/>
  <c r="N320" i="7"/>
  <c r="J320" i="7"/>
  <c r="I320" i="7"/>
  <c r="H320" i="7"/>
  <c r="E320" i="7"/>
  <c r="D320" i="7"/>
  <c r="C320" i="7"/>
  <c r="B320" i="7"/>
  <c r="V319" i="7"/>
  <c r="U319" i="7"/>
  <c r="T319" i="7"/>
  <c r="Q319" i="7"/>
  <c r="P319" i="7"/>
  <c r="O319" i="7"/>
  <c r="N319" i="7"/>
  <c r="J319" i="7"/>
  <c r="I319" i="7"/>
  <c r="H319" i="7"/>
  <c r="E319" i="7"/>
  <c r="D319" i="7"/>
  <c r="C319" i="7"/>
  <c r="B319" i="7"/>
  <c r="V318" i="7"/>
  <c r="U318" i="7"/>
  <c r="T318" i="7"/>
  <c r="Q318" i="7"/>
  <c r="P318" i="7"/>
  <c r="O318" i="7"/>
  <c r="N318" i="7"/>
  <c r="J318" i="7"/>
  <c r="I318" i="7"/>
  <c r="H318" i="7"/>
  <c r="E318" i="7"/>
  <c r="D318" i="7"/>
  <c r="C318" i="7"/>
  <c r="B318" i="7"/>
  <c r="V317" i="7"/>
  <c r="U317" i="7"/>
  <c r="T317" i="7"/>
  <c r="Q317" i="7"/>
  <c r="P317" i="7"/>
  <c r="O317" i="7"/>
  <c r="N317" i="7"/>
  <c r="J317" i="7"/>
  <c r="I317" i="7"/>
  <c r="H317" i="7"/>
  <c r="E317" i="7"/>
  <c r="D317" i="7"/>
  <c r="C317" i="7"/>
  <c r="B317" i="7"/>
  <c r="V316" i="7"/>
  <c r="U316" i="7"/>
  <c r="T316" i="7"/>
  <c r="Q316" i="7"/>
  <c r="P316" i="7"/>
  <c r="O316" i="7"/>
  <c r="N316" i="7"/>
  <c r="J316" i="7"/>
  <c r="I316" i="7"/>
  <c r="H316" i="7"/>
  <c r="E316" i="7"/>
  <c r="D316" i="7"/>
  <c r="C316" i="7"/>
  <c r="B316" i="7"/>
  <c r="V315" i="7"/>
  <c r="U315" i="7"/>
  <c r="T315" i="7"/>
  <c r="Q315" i="7"/>
  <c r="P315" i="7"/>
  <c r="O315" i="7"/>
  <c r="N315" i="7"/>
  <c r="J315" i="7"/>
  <c r="I315" i="7"/>
  <c r="H315" i="7"/>
  <c r="E315" i="7"/>
  <c r="D315" i="7"/>
  <c r="C315" i="7"/>
  <c r="B315" i="7"/>
  <c r="V314" i="7"/>
  <c r="U314" i="7"/>
  <c r="T314" i="7"/>
  <c r="Q314" i="7"/>
  <c r="P314" i="7"/>
  <c r="O314" i="7"/>
  <c r="N314" i="7"/>
  <c r="J314" i="7"/>
  <c r="I314" i="7"/>
  <c r="H314" i="7"/>
  <c r="E314" i="7"/>
  <c r="D314" i="7"/>
  <c r="C314" i="7"/>
  <c r="B314" i="7"/>
  <c r="V313" i="7"/>
  <c r="U313" i="7"/>
  <c r="T313" i="7"/>
  <c r="Q313" i="7"/>
  <c r="P313" i="7"/>
  <c r="O313" i="7"/>
  <c r="N313" i="7"/>
  <c r="J313" i="7"/>
  <c r="I313" i="7"/>
  <c r="H313" i="7"/>
  <c r="E313" i="7"/>
  <c r="D313" i="7"/>
  <c r="C313" i="7"/>
  <c r="B313" i="7"/>
  <c r="V312" i="7"/>
  <c r="U312" i="7"/>
  <c r="T312" i="7"/>
  <c r="Q312" i="7"/>
  <c r="P312" i="7"/>
  <c r="O312" i="7"/>
  <c r="N312" i="7"/>
  <c r="J312" i="7"/>
  <c r="I312" i="7"/>
  <c r="H312" i="7"/>
  <c r="E312" i="7"/>
  <c r="D312" i="7"/>
  <c r="C312" i="7"/>
  <c r="B312" i="7"/>
  <c r="V311" i="7"/>
  <c r="U311" i="7"/>
  <c r="T311" i="7"/>
  <c r="Q311" i="7"/>
  <c r="P311" i="7"/>
  <c r="O311" i="7"/>
  <c r="N311" i="7"/>
  <c r="J311" i="7"/>
  <c r="I311" i="7"/>
  <c r="H311" i="7"/>
  <c r="E311" i="7"/>
  <c r="D311" i="7"/>
  <c r="C311" i="7"/>
  <c r="B311" i="7"/>
  <c r="V310" i="7"/>
  <c r="U310" i="7"/>
  <c r="T310" i="7"/>
  <c r="Q310" i="7"/>
  <c r="P310" i="7"/>
  <c r="O310" i="7"/>
  <c r="N310" i="7"/>
  <c r="J310" i="7"/>
  <c r="I310" i="7"/>
  <c r="H310" i="7"/>
  <c r="E310" i="7"/>
  <c r="D310" i="7"/>
  <c r="C310" i="7"/>
  <c r="B310" i="7"/>
  <c r="V309" i="7"/>
  <c r="U309" i="7"/>
  <c r="T309" i="7"/>
  <c r="Q309" i="7"/>
  <c r="P309" i="7"/>
  <c r="O309" i="7"/>
  <c r="N309" i="7"/>
  <c r="J309" i="7"/>
  <c r="I309" i="7"/>
  <c r="H309" i="7"/>
  <c r="E309" i="7"/>
  <c r="D309" i="7"/>
  <c r="C309" i="7"/>
  <c r="B309" i="7"/>
  <c r="V308" i="7"/>
  <c r="U308" i="7"/>
  <c r="T308" i="7"/>
  <c r="Q308" i="7"/>
  <c r="P308" i="7"/>
  <c r="O308" i="7"/>
  <c r="N308" i="7"/>
  <c r="J308" i="7"/>
  <c r="I308" i="7"/>
  <c r="H308" i="7"/>
  <c r="E308" i="7"/>
  <c r="D308" i="7"/>
  <c r="C308" i="7"/>
  <c r="B308" i="7"/>
  <c r="V307" i="7"/>
  <c r="U307" i="7"/>
  <c r="T307" i="7"/>
  <c r="Q307" i="7"/>
  <c r="P307" i="7"/>
  <c r="O307" i="7"/>
  <c r="N307" i="7"/>
  <c r="J307" i="7"/>
  <c r="I307" i="7"/>
  <c r="H307" i="7"/>
  <c r="E307" i="7"/>
  <c r="D307" i="7"/>
  <c r="C307" i="7"/>
  <c r="B307" i="7"/>
  <c r="V306" i="7"/>
  <c r="U306" i="7"/>
  <c r="T306" i="7"/>
  <c r="Q306" i="7"/>
  <c r="P306" i="7"/>
  <c r="O306" i="7"/>
  <c r="N306" i="7"/>
  <c r="J306" i="7"/>
  <c r="I306" i="7"/>
  <c r="H306" i="7"/>
  <c r="E306" i="7"/>
  <c r="D306" i="7"/>
  <c r="C306" i="7"/>
  <c r="B306" i="7"/>
  <c r="V305" i="7"/>
  <c r="U305" i="7"/>
  <c r="T305" i="7"/>
  <c r="Q305" i="7"/>
  <c r="P305" i="7"/>
  <c r="O305" i="7"/>
  <c r="N305" i="7"/>
  <c r="J305" i="7"/>
  <c r="I305" i="7"/>
  <c r="H305" i="7"/>
  <c r="E305" i="7"/>
  <c r="D305" i="7"/>
  <c r="C305" i="7"/>
  <c r="B305" i="7"/>
  <c r="V304" i="7"/>
  <c r="U304" i="7"/>
  <c r="T304" i="7"/>
  <c r="Q304" i="7"/>
  <c r="P304" i="7"/>
  <c r="O304" i="7"/>
  <c r="N304" i="7"/>
  <c r="J304" i="7"/>
  <c r="I304" i="7"/>
  <c r="H304" i="7"/>
  <c r="E304" i="7"/>
  <c r="D304" i="7"/>
  <c r="C304" i="7"/>
  <c r="B304" i="7"/>
  <c r="V303" i="7"/>
  <c r="U303" i="7"/>
  <c r="T303" i="7"/>
  <c r="Q303" i="7"/>
  <c r="P303" i="7"/>
  <c r="O303" i="7"/>
  <c r="N303" i="7"/>
  <c r="J303" i="7"/>
  <c r="I303" i="7"/>
  <c r="H303" i="7"/>
  <c r="E303" i="7"/>
  <c r="D303" i="7"/>
  <c r="C303" i="7"/>
  <c r="B303" i="7"/>
  <c r="V302" i="7"/>
  <c r="U302" i="7"/>
  <c r="T302" i="7"/>
  <c r="Q302" i="7"/>
  <c r="P302" i="7"/>
  <c r="O302" i="7"/>
  <c r="N302" i="7"/>
  <c r="J302" i="7"/>
  <c r="I302" i="7"/>
  <c r="H302" i="7"/>
  <c r="E302" i="7"/>
  <c r="D302" i="7"/>
  <c r="C302" i="7"/>
  <c r="B302" i="7"/>
  <c r="V301" i="7"/>
  <c r="U301" i="7"/>
  <c r="T301" i="7"/>
  <c r="Q301" i="7"/>
  <c r="P301" i="7"/>
  <c r="O301" i="7"/>
  <c r="N301" i="7"/>
  <c r="J301" i="7"/>
  <c r="I301" i="7"/>
  <c r="H301" i="7"/>
  <c r="E301" i="7"/>
  <c r="D301" i="7"/>
  <c r="C301" i="7"/>
  <c r="B301" i="7"/>
  <c r="V300" i="7"/>
  <c r="U300" i="7"/>
  <c r="T300" i="7"/>
  <c r="Q300" i="7"/>
  <c r="P300" i="7"/>
  <c r="O300" i="7"/>
  <c r="N300" i="7"/>
  <c r="J300" i="7"/>
  <c r="I300" i="7"/>
  <c r="H300" i="7"/>
  <c r="E300" i="7"/>
  <c r="D300" i="7"/>
  <c r="C300" i="7"/>
  <c r="B300" i="7"/>
  <c r="V299" i="7"/>
  <c r="U299" i="7"/>
  <c r="T299" i="7"/>
  <c r="Q299" i="7"/>
  <c r="P299" i="7"/>
  <c r="O299" i="7"/>
  <c r="N299" i="7"/>
  <c r="J299" i="7"/>
  <c r="I299" i="7"/>
  <c r="H299" i="7"/>
  <c r="E299" i="7"/>
  <c r="D299" i="7"/>
  <c r="C299" i="7"/>
  <c r="B299" i="7"/>
  <c r="V298" i="7"/>
  <c r="U298" i="7"/>
  <c r="T298" i="7"/>
  <c r="Q298" i="7"/>
  <c r="P298" i="7"/>
  <c r="O298" i="7"/>
  <c r="N298" i="7"/>
  <c r="J298" i="7"/>
  <c r="I298" i="7"/>
  <c r="H298" i="7"/>
  <c r="E298" i="7"/>
  <c r="D298" i="7"/>
  <c r="C298" i="7"/>
  <c r="B298" i="7"/>
  <c r="V297" i="7"/>
  <c r="U297" i="7"/>
  <c r="T297" i="7"/>
  <c r="Q297" i="7"/>
  <c r="P297" i="7"/>
  <c r="O297" i="7"/>
  <c r="N297" i="7"/>
  <c r="J297" i="7"/>
  <c r="I297" i="7"/>
  <c r="H297" i="7"/>
  <c r="E297" i="7"/>
  <c r="D297" i="7"/>
  <c r="C297" i="7"/>
  <c r="B297" i="7"/>
  <c r="V296" i="7"/>
  <c r="U296" i="7"/>
  <c r="T296" i="7"/>
  <c r="Q296" i="7"/>
  <c r="P296" i="7"/>
  <c r="O296" i="7"/>
  <c r="N296" i="7"/>
  <c r="J296" i="7"/>
  <c r="I296" i="7"/>
  <c r="H296" i="7"/>
  <c r="E296" i="7"/>
  <c r="D296" i="7"/>
  <c r="C296" i="7"/>
  <c r="B296" i="7"/>
  <c r="V295" i="7"/>
  <c r="U295" i="7"/>
  <c r="T295" i="7"/>
  <c r="Q295" i="7"/>
  <c r="P295" i="7"/>
  <c r="O295" i="7"/>
  <c r="N295" i="7"/>
  <c r="J295" i="7"/>
  <c r="I295" i="7"/>
  <c r="H295" i="7"/>
  <c r="E295" i="7"/>
  <c r="D295" i="7"/>
  <c r="C295" i="7"/>
  <c r="B295" i="7"/>
  <c r="V294" i="7"/>
  <c r="U294" i="7"/>
  <c r="T294" i="7"/>
  <c r="Q294" i="7"/>
  <c r="P294" i="7"/>
  <c r="O294" i="7"/>
  <c r="N294" i="7"/>
  <c r="J294" i="7"/>
  <c r="I294" i="7"/>
  <c r="H294" i="7"/>
  <c r="E294" i="7"/>
  <c r="D294" i="7"/>
  <c r="C294" i="7"/>
  <c r="B294" i="7"/>
  <c r="V293" i="7"/>
  <c r="U293" i="7"/>
  <c r="T293" i="7"/>
  <c r="Q293" i="7"/>
  <c r="P293" i="7"/>
  <c r="O293" i="7"/>
  <c r="N293" i="7"/>
  <c r="J293" i="7"/>
  <c r="I293" i="7"/>
  <c r="H293" i="7"/>
  <c r="E293" i="7"/>
  <c r="D293" i="7"/>
  <c r="C293" i="7"/>
  <c r="B293" i="7"/>
  <c r="V292" i="7"/>
  <c r="U292" i="7"/>
  <c r="T292" i="7"/>
  <c r="Q292" i="7"/>
  <c r="P292" i="7"/>
  <c r="O292" i="7"/>
  <c r="N292" i="7"/>
  <c r="J292" i="7"/>
  <c r="I292" i="7"/>
  <c r="H292" i="7"/>
  <c r="E292" i="7"/>
  <c r="D292" i="7"/>
  <c r="C292" i="7"/>
  <c r="B292" i="7"/>
  <c r="V291" i="7"/>
  <c r="U291" i="7"/>
  <c r="T291" i="7"/>
  <c r="Q291" i="7"/>
  <c r="P291" i="7"/>
  <c r="O291" i="7"/>
  <c r="N291" i="7"/>
  <c r="J291" i="7"/>
  <c r="I291" i="7"/>
  <c r="H291" i="7"/>
  <c r="E291" i="7"/>
  <c r="D291" i="7"/>
  <c r="C291" i="7"/>
  <c r="B291" i="7"/>
  <c r="V290" i="7"/>
  <c r="U290" i="7"/>
  <c r="T290" i="7"/>
  <c r="Q290" i="7"/>
  <c r="P290" i="7"/>
  <c r="O290" i="7"/>
  <c r="N290" i="7"/>
  <c r="J290" i="7"/>
  <c r="I290" i="7"/>
  <c r="H290" i="7"/>
  <c r="E290" i="7"/>
  <c r="D290" i="7"/>
  <c r="C290" i="7"/>
  <c r="B290" i="7"/>
  <c r="V289" i="7"/>
  <c r="U289" i="7"/>
  <c r="T289" i="7"/>
  <c r="Q289" i="7"/>
  <c r="P289" i="7"/>
  <c r="O289" i="7"/>
  <c r="N289" i="7"/>
  <c r="J289" i="7"/>
  <c r="I289" i="7"/>
  <c r="H289" i="7"/>
  <c r="E289" i="7"/>
  <c r="D289" i="7"/>
  <c r="C289" i="7"/>
  <c r="B289" i="7"/>
  <c r="V288" i="7"/>
  <c r="U288" i="7"/>
  <c r="T288" i="7"/>
  <c r="Q288" i="7"/>
  <c r="P288" i="7"/>
  <c r="O288" i="7"/>
  <c r="N288" i="7"/>
  <c r="J288" i="7"/>
  <c r="I288" i="7"/>
  <c r="H288" i="7"/>
  <c r="E288" i="7"/>
  <c r="D288" i="7"/>
  <c r="C288" i="7"/>
  <c r="B288" i="7"/>
  <c r="V287" i="7"/>
  <c r="U287" i="7"/>
  <c r="T287" i="7"/>
  <c r="Q287" i="7"/>
  <c r="P287" i="7"/>
  <c r="O287" i="7"/>
  <c r="N287" i="7"/>
  <c r="J287" i="7"/>
  <c r="I287" i="7"/>
  <c r="H287" i="7"/>
  <c r="D287" i="7"/>
  <c r="C287" i="7"/>
  <c r="B287" i="7"/>
  <c r="V286" i="7"/>
  <c r="U286" i="7"/>
  <c r="T286" i="7"/>
  <c r="Q286" i="7"/>
  <c r="P286" i="7"/>
  <c r="O286" i="7"/>
  <c r="N286" i="7"/>
  <c r="J286" i="7"/>
  <c r="I286" i="7"/>
  <c r="H286" i="7"/>
  <c r="D286" i="7"/>
  <c r="C286" i="7"/>
  <c r="B286" i="7"/>
  <c r="V285" i="7"/>
  <c r="U285" i="7"/>
  <c r="T285" i="7"/>
  <c r="Q285" i="7"/>
  <c r="P285" i="7"/>
  <c r="O285" i="7"/>
  <c r="N285" i="7"/>
  <c r="J285" i="7"/>
  <c r="I285" i="7"/>
  <c r="H285" i="7"/>
  <c r="D285" i="7"/>
  <c r="C285" i="7"/>
  <c r="B285" i="7"/>
  <c r="V284" i="7"/>
  <c r="U284" i="7"/>
  <c r="T284" i="7"/>
  <c r="Q284" i="7"/>
  <c r="P284" i="7"/>
  <c r="O284" i="7"/>
  <c r="N284" i="7"/>
  <c r="J284" i="7"/>
  <c r="I284" i="7"/>
  <c r="H284" i="7"/>
  <c r="D284" i="7"/>
  <c r="C284" i="7"/>
  <c r="B284" i="7"/>
  <c r="V283" i="7"/>
  <c r="U283" i="7"/>
  <c r="T283" i="7"/>
  <c r="Q283" i="7"/>
  <c r="P283" i="7"/>
  <c r="O283" i="7"/>
  <c r="N283" i="7"/>
  <c r="J283" i="7"/>
  <c r="I283" i="7"/>
  <c r="H283" i="7"/>
  <c r="D283" i="7"/>
  <c r="C283" i="7"/>
  <c r="B283" i="7"/>
  <c r="V282" i="7"/>
  <c r="U282" i="7"/>
  <c r="T282" i="7"/>
  <c r="Q282" i="7"/>
  <c r="P282" i="7"/>
  <c r="O282" i="7"/>
  <c r="N282" i="7"/>
  <c r="J282" i="7"/>
  <c r="I282" i="7"/>
  <c r="H282" i="7"/>
  <c r="D282" i="7"/>
  <c r="C282" i="7"/>
  <c r="B282" i="7"/>
  <c r="V281" i="7"/>
  <c r="U281" i="7"/>
  <c r="T281" i="7"/>
  <c r="Q281" i="7"/>
  <c r="P281" i="7"/>
  <c r="O281" i="7"/>
  <c r="N281" i="7"/>
  <c r="J281" i="7"/>
  <c r="I281" i="7"/>
  <c r="H281" i="7"/>
  <c r="D281" i="7"/>
  <c r="C281" i="7"/>
  <c r="B281" i="7"/>
  <c r="V280" i="7"/>
  <c r="U280" i="7"/>
  <c r="T280" i="7"/>
  <c r="Q280" i="7"/>
  <c r="P280" i="7"/>
  <c r="O280" i="7"/>
  <c r="N280" i="7"/>
  <c r="J280" i="7"/>
  <c r="I280" i="7"/>
  <c r="H280" i="7"/>
  <c r="D280" i="7"/>
  <c r="C280" i="7"/>
  <c r="B280" i="7"/>
  <c r="V279" i="7"/>
  <c r="U279" i="7"/>
  <c r="T279" i="7"/>
  <c r="Q279" i="7"/>
  <c r="P279" i="7"/>
  <c r="O279" i="7"/>
  <c r="N279" i="7"/>
  <c r="J279" i="7"/>
  <c r="I279" i="7"/>
  <c r="H279" i="7"/>
  <c r="D279" i="7"/>
  <c r="C279" i="7"/>
  <c r="B279" i="7"/>
  <c r="V278" i="7"/>
  <c r="U278" i="7"/>
  <c r="T278" i="7"/>
  <c r="Q278" i="7"/>
  <c r="P278" i="7"/>
  <c r="O278" i="7"/>
  <c r="N278" i="7"/>
  <c r="J278" i="7"/>
  <c r="I278" i="7"/>
  <c r="H278" i="7"/>
  <c r="D278" i="7"/>
  <c r="C278" i="7"/>
  <c r="B278" i="7"/>
  <c r="V277" i="7"/>
  <c r="U277" i="7"/>
  <c r="T277" i="7"/>
  <c r="Q277" i="7"/>
  <c r="P277" i="7"/>
  <c r="O277" i="7"/>
  <c r="N277" i="7"/>
  <c r="J277" i="7"/>
  <c r="I277" i="7"/>
  <c r="H277" i="7"/>
  <c r="D277" i="7"/>
  <c r="C277" i="7"/>
  <c r="B277" i="7"/>
  <c r="V276" i="7"/>
  <c r="U276" i="7"/>
  <c r="T276" i="7"/>
  <c r="Q276" i="7"/>
  <c r="P276" i="7"/>
  <c r="O276" i="7"/>
  <c r="N276" i="7"/>
  <c r="J276" i="7"/>
  <c r="I276" i="7"/>
  <c r="H276" i="7"/>
  <c r="D276" i="7"/>
  <c r="C276" i="7"/>
  <c r="B276" i="7"/>
  <c r="V275" i="7"/>
  <c r="U275" i="7"/>
  <c r="T275" i="7"/>
  <c r="Q275" i="7"/>
  <c r="P275" i="7"/>
  <c r="O275" i="7"/>
  <c r="N275" i="7"/>
  <c r="J275" i="7"/>
  <c r="I275" i="7"/>
  <c r="H275" i="7"/>
  <c r="D275" i="7"/>
  <c r="C275" i="7"/>
  <c r="B275" i="7"/>
  <c r="V274" i="7"/>
  <c r="U274" i="7"/>
  <c r="T274" i="7"/>
  <c r="Q274" i="7"/>
  <c r="P274" i="7"/>
  <c r="O274" i="7"/>
  <c r="N274" i="7"/>
  <c r="J274" i="7"/>
  <c r="I274" i="7"/>
  <c r="H274" i="7"/>
  <c r="D274" i="7"/>
  <c r="C274" i="7"/>
  <c r="B274" i="7"/>
  <c r="V273" i="7"/>
  <c r="U273" i="7"/>
  <c r="T273" i="7"/>
  <c r="Q273" i="7"/>
  <c r="P273" i="7"/>
  <c r="O273" i="7"/>
  <c r="N273" i="7"/>
  <c r="J273" i="7"/>
  <c r="I273" i="7"/>
  <c r="H273" i="7"/>
  <c r="D273" i="7"/>
  <c r="C273" i="7"/>
  <c r="B273" i="7"/>
  <c r="V272" i="7"/>
  <c r="U272" i="7"/>
  <c r="T272" i="7"/>
  <c r="Q272" i="7"/>
  <c r="P272" i="7"/>
  <c r="O272" i="7"/>
  <c r="N272" i="7"/>
  <c r="J272" i="7"/>
  <c r="I272" i="7"/>
  <c r="H272" i="7"/>
  <c r="D272" i="7"/>
  <c r="C272" i="7"/>
  <c r="B272" i="7"/>
  <c r="V271" i="7"/>
  <c r="U271" i="7"/>
  <c r="T271" i="7"/>
  <c r="Q271" i="7"/>
  <c r="P271" i="7"/>
  <c r="O271" i="7"/>
  <c r="N271" i="7"/>
  <c r="J271" i="7"/>
  <c r="I271" i="7"/>
  <c r="H271" i="7"/>
  <c r="D271" i="7"/>
  <c r="C271" i="7"/>
  <c r="B271" i="7"/>
  <c r="V270" i="7"/>
  <c r="U270" i="7"/>
  <c r="T270" i="7"/>
  <c r="Q270" i="7"/>
  <c r="P270" i="7"/>
  <c r="O270" i="7"/>
  <c r="N270" i="7"/>
  <c r="J270" i="7"/>
  <c r="I270" i="7"/>
  <c r="H270" i="7"/>
  <c r="D270" i="7"/>
  <c r="C270" i="7"/>
  <c r="B270" i="7"/>
  <c r="V269" i="7"/>
  <c r="U269" i="7"/>
  <c r="T269" i="7"/>
  <c r="Q269" i="7"/>
  <c r="P269" i="7"/>
  <c r="O269" i="7"/>
  <c r="N269" i="7"/>
  <c r="J269" i="7"/>
  <c r="I269" i="7"/>
  <c r="H269" i="7"/>
  <c r="D269" i="7"/>
  <c r="C269" i="7"/>
  <c r="B269" i="7"/>
  <c r="V268" i="7"/>
  <c r="U268" i="7"/>
  <c r="T268" i="7"/>
  <c r="Q268" i="7"/>
  <c r="P268" i="7"/>
  <c r="O268" i="7"/>
  <c r="N268" i="7"/>
  <c r="J268" i="7"/>
  <c r="I268" i="7"/>
  <c r="H268" i="7"/>
  <c r="D268" i="7"/>
  <c r="C268" i="7"/>
  <c r="B268" i="7"/>
  <c r="V267" i="7"/>
  <c r="U267" i="7"/>
  <c r="T267" i="7"/>
  <c r="Q267" i="7"/>
  <c r="P267" i="7"/>
  <c r="O267" i="7"/>
  <c r="N267" i="7"/>
  <c r="J267" i="7"/>
  <c r="I267" i="7"/>
  <c r="H267" i="7"/>
  <c r="D267" i="7"/>
  <c r="C267" i="7"/>
  <c r="B267" i="7"/>
  <c r="V266" i="7"/>
  <c r="U266" i="7"/>
  <c r="T266" i="7"/>
  <c r="Q266" i="7"/>
  <c r="P266" i="7"/>
  <c r="O266" i="7"/>
  <c r="N266" i="7"/>
  <c r="J266" i="7"/>
  <c r="I266" i="7"/>
  <c r="H266" i="7"/>
  <c r="D266" i="7"/>
  <c r="C266" i="7"/>
  <c r="B266" i="7"/>
  <c r="V265" i="7"/>
  <c r="U265" i="7"/>
  <c r="T265" i="7"/>
  <c r="Q265" i="7"/>
  <c r="P265" i="7"/>
  <c r="O265" i="7"/>
  <c r="N265" i="7"/>
  <c r="J265" i="7"/>
  <c r="I265" i="7"/>
  <c r="H265" i="7"/>
  <c r="D265" i="7"/>
  <c r="C265" i="7"/>
  <c r="B265" i="7"/>
  <c r="V264" i="7"/>
  <c r="U264" i="7"/>
  <c r="T264" i="7"/>
  <c r="Q264" i="7"/>
  <c r="P264" i="7"/>
  <c r="O264" i="7"/>
  <c r="N264" i="7"/>
  <c r="J264" i="7"/>
  <c r="I264" i="7"/>
  <c r="H264" i="7"/>
  <c r="D264" i="7"/>
  <c r="C264" i="7"/>
  <c r="B264" i="7"/>
  <c r="V263" i="7"/>
  <c r="U263" i="7"/>
  <c r="T263" i="7"/>
  <c r="Q263" i="7"/>
  <c r="P263" i="7"/>
  <c r="O263" i="7"/>
  <c r="N263" i="7"/>
  <c r="J263" i="7"/>
  <c r="I263" i="7"/>
  <c r="H263" i="7"/>
  <c r="D263" i="7"/>
  <c r="C263" i="7"/>
  <c r="B263" i="7"/>
  <c r="V262" i="7"/>
  <c r="U262" i="7"/>
  <c r="T262" i="7"/>
  <c r="Q262" i="7"/>
  <c r="P262" i="7"/>
  <c r="O262" i="7"/>
  <c r="N262" i="7"/>
  <c r="J262" i="7"/>
  <c r="I262" i="7"/>
  <c r="H262" i="7"/>
  <c r="D262" i="7"/>
  <c r="C262" i="7"/>
  <c r="B262" i="7"/>
  <c r="V261" i="7"/>
  <c r="U261" i="7"/>
  <c r="T261" i="7"/>
  <c r="Q261" i="7"/>
  <c r="P261" i="7"/>
  <c r="O261" i="7"/>
  <c r="N261" i="7"/>
  <c r="J261" i="7"/>
  <c r="I261" i="7"/>
  <c r="H261" i="7"/>
  <c r="D261" i="7"/>
  <c r="C261" i="7"/>
  <c r="B261" i="7"/>
  <c r="V260" i="7"/>
  <c r="U260" i="7"/>
  <c r="T260" i="7"/>
  <c r="Q260" i="7"/>
  <c r="P260" i="7"/>
  <c r="O260" i="7"/>
  <c r="N260" i="7"/>
  <c r="J260" i="7"/>
  <c r="I260" i="7"/>
  <c r="H260" i="7"/>
  <c r="D260" i="7"/>
  <c r="C260" i="7"/>
  <c r="B260" i="7"/>
  <c r="V259" i="7"/>
  <c r="U259" i="7"/>
  <c r="T259" i="7"/>
  <c r="Q259" i="7"/>
  <c r="P259" i="7"/>
  <c r="O259" i="7"/>
  <c r="N259" i="7"/>
  <c r="J259" i="7"/>
  <c r="I259" i="7"/>
  <c r="H259" i="7"/>
  <c r="D259" i="7"/>
  <c r="C259" i="7"/>
  <c r="B259" i="7"/>
  <c r="V258" i="7"/>
  <c r="U258" i="7"/>
  <c r="T258" i="7"/>
  <c r="Q258" i="7"/>
  <c r="P258" i="7"/>
  <c r="O258" i="7"/>
  <c r="N258" i="7"/>
  <c r="J258" i="7"/>
  <c r="I258" i="7"/>
  <c r="H258" i="7"/>
  <c r="D258" i="7"/>
  <c r="C258" i="7"/>
  <c r="B258" i="7"/>
  <c r="V257" i="7"/>
  <c r="U257" i="7"/>
  <c r="T257" i="7"/>
  <c r="Q257" i="7"/>
  <c r="P257" i="7"/>
  <c r="O257" i="7"/>
  <c r="N257" i="7"/>
  <c r="J257" i="7"/>
  <c r="I257" i="7"/>
  <c r="H257" i="7"/>
  <c r="D257" i="7"/>
  <c r="C257" i="7"/>
  <c r="B257" i="7"/>
  <c r="V256" i="7"/>
  <c r="U256" i="7"/>
  <c r="T256" i="7"/>
  <c r="Q256" i="7"/>
  <c r="P256" i="7"/>
  <c r="O256" i="7"/>
  <c r="N256" i="7"/>
  <c r="J256" i="7"/>
  <c r="I256" i="7"/>
  <c r="H256" i="7"/>
  <c r="D256" i="7"/>
  <c r="C256" i="7"/>
  <c r="B256" i="7"/>
  <c r="V255" i="7"/>
  <c r="U255" i="7"/>
  <c r="T255" i="7"/>
  <c r="Q255" i="7"/>
  <c r="P255" i="7"/>
  <c r="O255" i="7"/>
  <c r="N255" i="7"/>
  <c r="J255" i="7"/>
  <c r="I255" i="7"/>
  <c r="H255" i="7"/>
  <c r="D255" i="7"/>
  <c r="C255" i="7"/>
  <c r="B255" i="7"/>
  <c r="V254" i="7"/>
  <c r="U254" i="7"/>
  <c r="T254" i="7"/>
  <c r="Q254" i="7"/>
  <c r="P254" i="7"/>
  <c r="O254" i="7"/>
  <c r="N254" i="7"/>
  <c r="J254" i="7"/>
  <c r="I254" i="7"/>
  <c r="H254" i="7"/>
  <c r="D254" i="7"/>
  <c r="C254" i="7"/>
  <c r="B254" i="7"/>
  <c r="V253" i="7"/>
  <c r="U253" i="7"/>
  <c r="T253" i="7"/>
  <c r="Q253" i="7"/>
  <c r="P253" i="7"/>
  <c r="O253" i="7"/>
  <c r="N253" i="7"/>
  <c r="J253" i="7"/>
  <c r="I253" i="7"/>
  <c r="H253" i="7"/>
  <c r="D253" i="7"/>
  <c r="C253" i="7"/>
  <c r="B253" i="7"/>
  <c r="V252" i="7"/>
  <c r="U252" i="7"/>
  <c r="T252" i="7"/>
  <c r="Q252" i="7"/>
  <c r="P252" i="7"/>
  <c r="O252" i="7"/>
  <c r="N252" i="7"/>
  <c r="J252" i="7"/>
  <c r="I252" i="7"/>
  <c r="H252" i="7"/>
  <c r="D252" i="7"/>
  <c r="C252" i="7"/>
  <c r="B252" i="7"/>
  <c r="V251" i="7"/>
  <c r="U251" i="7"/>
  <c r="T251" i="7"/>
  <c r="Q251" i="7"/>
  <c r="P251" i="7"/>
  <c r="O251" i="7"/>
  <c r="N251" i="7"/>
  <c r="J251" i="7"/>
  <c r="I251" i="7"/>
  <c r="H251" i="7"/>
  <c r="D251" i="7"/>
  <c r="C251" i="7"/>
  <c r="B251" i="7"/>
  <c r="V250" i="7"/>
  <c r="U250" i="7"/>
  <c r="T250" i="7"/>
  <c r="Q250" i="7"/>
  <c r="P250" i="7"/>
  <c r="O250" i="7"/>
  <c r="N250" i="7"/>
  <c r="J250" i="7"/>
  <c r="I250" i="7"/>
  <c r="H250" i="7"/>
  <c r="D250" i="7"/>
  <c r="C250" i="7"/>
  <c r="B250" i="7"/>
  <c r="V249" i="7"/>
  <c r="U249" i="7"/>
  <c r="T249" i="7"/>
  <c r="Q249" i="7"/>
  <c r="P249" i="7"/>
  <c r="O249" i="7"/>
  <c r="N249" i="7"/>
  <c r="J249" i="7"/>
  <c r="I249" i="7"/>
  <c r="H249" i="7"/>
  <c r="D249" i="7"/>
  <c r="C249" i="7"/>
  <c r="B249" i="7"/>
  <c r="V248" i="7"/>
  <c r="U248" i="7"/>
  <c r="T248" i="7"/>
  <c r="Q248" i="7"/>
  <c r="P248" i="7"/>
  <c r="O248" i="7"/>
  <c r="N248" i="7"/>
  <c r="J248" i="7"/>
  <c r="I248" i="7"/>
  <c r="H248" i="7"/>
  <c r="D248" i="7"/>
  <c r="C248" i="7"/>
  <c r="B248" i="7"/>
  <c r="V247" i="7"/>
  <c r="U247" i="7"/>
  <c r="T247" i="7"/>
  <c r="Q247" i="7"/>
  <c r="P247" i="7"/>
  <c r="O247" i="7"/>
  <c r="N247" i="7"/>
  <c r="J247" i="7"/>
  <c r="I247" i="7"/>
  <c r="H247" i="7"/>
  <c r="D247" i="7"/>
  <c r="C247" i="7"/>
  <c r="B247" i="7"/>
  <c r="V246" i="7"/>
  <c r="U246" i="7"/>
  <c r="T246" i="7"/>
  <c r="Q246" i="7"/>
  <c r="P246" i="7"/>
  <c r="O246" i="7"/>
  <c r="N246" i="7"/>
  <c r="J246" i="7"/>
  <c r="I246" i="7"/>
  <c r="H246" i="7"/>
  <c r="D246" i="7"/>
  <c r="C246" i="7"/>
  <c r="B246" i="7"/>
  <c r="V245" i="7"/>
  <c r="U245" i="7"/>
  <c r="T245" i="7"/>
  <c r="Q245" i="7"/>
  <c r="P245" i="7"/>
  <c r="O245" i="7"/>
  <c r="N245" i="7"/>
  <c r="J245" i="7"/>
  <c r="I245" i="7"/>
  <c r="H245" i="7"/>
  <c r="D245" i="7"/>
  <c r="C245" i="7"/>
  <c r="B245" i="7"/>
  <c r="V244" i="7"/>
  <c r="U244" i="7"/>
  <c r="T244" i="7"/>
  <c r="Q244" i="7"/>
  <c r="P244" i="7"/>
  <c r="O244" i="7"/>
  <c r="N244" i="7"/>
  <c r="J244" i="7"/>
  <c r="I244" i="7"/>
  <c r="H244" i="7"/>
  <c r="D244" i="7"/>
  <c r="C244" i="7"/>
  <c r="B244" i="7"/>
  <c r="V243" i="7"/>
  <c r="U243" i="7"/>
  <c r="T243" i="7"/>
  <c r="Q243" i="7"/>
  <c r="P243" i="7"/>
  <c r="O243" i="7"/>
  <c r="N243" i="7"/>
  <c r="J243" i="7"/>
  <c r="I243" i="7"/>
  <c r="H243" i="7"/>
  <c r="D243" i="7"/>
  <c r="C243" i="7"/>
  <c r="B243" i="7"/>
  <c r="V242" i="7"/>
  <c r="U242" i="7"/>
  <c r="T242" i="7"/>
  <c r="Q242" i="7"/>
  <c r="P242" i="7"/>
  <c r="O242" i="7"/>
  <c r="N242" i="7"/>
  <c r="J242" i="7"/>
  <c r="I242" i="7"/>
  <c r="H242" i="7"/>
  <c r="D242" i="7"/>
  <c r="C242" i="7"/>
  <c r="B242" i="7"/>
  <c r="V241" i="7"/>
  <c r="U241" i="7"/>
  <c r="T241" i="7"/>
  <c r="Q241" i="7"/>
  <c r="P241" i="7"/>
  <c r="O241" i="7"/>
  <c r="N241" i="7"/>
  <c r="J241" i="7"/>
  <c r="I241" i="7"/>
  <c r="H241" i="7"/>
  <c r="D241" i="7"/>
  <c r="C241" i="7"/>
  <c r="B241" i="7"/>
  <c r="V240" i="7"/>
  <c r="U240" i="7"/>
  <c r="T240" i="7"/>
  <c r="Q240" i="7"/>
  <c r="P240" i="7"/>
  <c r="O240" i="7"/>
  <c r="N240" i="7"/>
  <c r="J240" i="7"/>
  <c r="I240" i="7"/>
  <c r="H240" i="7"/>
  <c r="D240" i="7"/>
  <c r="C240" i="7"/>
  <c r="B240" i="7"/>
  <c r="V239" i="7"/>
  <c r="U239" i="7"/>
  <c r="T239" i="7"/>
  <c r="Q239" i="7"/>
  <c r="P239" i="7"/>
  <c r="O239" i="7"/>
  <c r="N239" i="7"/>
  <c r="J239" i="7"/>
  <c r="I239" i="7"/>
  <c r="H239" i="7"/>
  <c r="D239" i="7"/>
  <c r="C239" i="7"/>
  <c r="B239" i="7"/>
  <c r="V238" i="7"/>
  <c r="U238" i="7"/>
  <c r="T238" i="7"/>
  <c r="Q238" i="7"/>
  <c r="P238" i="7"/>
  <c r="O238" i="7"/>
  <c r="N238" i="7"/>
  <c r="J238" i="7"/>
  <c r="I238" i="7"/>
  <c r="H238" i="7"/>
  <c r="D238" i="7"/>
  <c r="C238" i="7"/>
  <c r="B238" i="7"/>
  <c r="V237" i="7"/>
  <c r="U237" i="7"/>
  <c r="T237" i="7"/>
  <c r="Q237" i="7"/>
  <c r="P237" i="7"/>
  <c r="O237" i="7"/>
  <c r="N237" i="7"/>
  <c r="J237" i="7"/>
  <c r="I237" i="7"/>
  <c r="H237" i="7"/>
  <c r="D237" i="7"/>
  <c r="C237" i="7"/>
  <c r="B237" i="7"/>
  <c r="V236" i="7"/>
  <c r="U236" i="7"/>
  <c r="T236" i="7"/>
  <c r="Q236" i="7"/>
  <c r="P236" i="7"/>
  <c r="O236" i="7"/>
  <c r="N236" i="7"/>
  <c r="J236" i="7"/>
  <c r="I236" i="7"/>
  <c r="H236" i="7"/>
  <c r="D236" i="7"/>
  <c r="C236" i="7"/>
  <c r="B236" i="7"/>
  <c r="V235" i="7"/>
  <c r="U235" i="7"/>
  <c r="T235" i="7"/>
  <c r="Q235" i="7"/>
  <c r="P235" i="7"/>
  <c r="O235" i="7"/>
  <c r="N235" i="7"/>
  <c r="J235" i="7"/>
  <c r="I235" i="7"/>
  <c r="H235" i="7"/>
  <c r="D235" i="7"/>
  <c r="C235" i="7"/>
  <c r="B235" i="7"/>
  <c r="V234" i="7"/>
  <c r="U234" i="7"/>
  <c r="T234" i="7"/>
  <c r="Q234" i="7"/>
  <c r="P234" i="7"/>
  <c r="O234" i="7"/>
  <c r="N234" i="7"/>
  <c r="J234" i="7"/>
  <c r="I234" i="7"/>
  <c r="H234" i="7"/>
  <c r="D234" i="7"/>
  <c r="C234" i="7"/>
  <c r="B234" i="7"/>
  <c r="V233" i="7"/>
  <c r="U233" i="7"/>
  <c r="T233" i="7"/>
  <c r="Q233" i="7"/>
  <c r="P233" i="7"/>
  <c r="O233" i="7"/>
  <c r="N233" i="7"/>
  <c r="J233" i="7"/>
  <c r="I233" i="7"/>
  <c r="H233" i="7"/>
  <c r="D233" i="7"/>
  <c r="C233" i="7"/>
  <c r="B233" i="7"/>
  <c r="V232" i="7"/>
  <c r="U232" i="7"/>
  <c r="T232" i="7"/>
  <c r="Q232" i="7"/>
  <c r="P232" i="7"/>
  <c r="O232" i="7"/>
  <c r="N232" i="7"/>
  <c r="J232" i="7"/>
  <c r="I232" i="7"/>
  <c r="H232" i="7"/>
  <c r="D232" i="7"/>
  <c r="C232" i="7"/>
  <c r="B232" i="7"/>
  <c r="V231" i="7"/>
  <c r="U231" i="7"/>
  <c r="T231" i="7"/>
  <c r="Q231" i="7"/>
  <c r="P231" i="7"/>
  <c r="O231" i="7"/>
  <c r="N231" i="7"/>
  <c r="J231" i="7"/>
  <c r="I231" i="7"/>
  <c r="H231" i="7"/>
  <c r="D231" i="7"/>
  <c r="C231" i="7"/>
  <c r="B231" i="7"/>
  <c r="V230" i="7"/>
  <c r="U230" i="7"/>
  <c r="T230" i="7"/>
  <c r="Q230" i="7"/>
  <c r="P230" i="7"/>
  <c r="O230" i="7"/>
  <c r="N230" i="7"/>
  <c r="J230" i="7"/>
  <c r="I230" i="7"/>
  <c r="H230" i="7"/>
  <c r="D230" i="7"/>
  <c r="C230" i="7"/>
  <c r="B230" i="7"/>
  <c r="V229" i="7"/>
  <c r="U229" i="7"/>
  <c r="T229" i="7"/>
  <c r="Q229" i="7"/>
  <c r="P229" i="7"/>
  <c r="O229" i="7"/>
  <c r="N229" i="7"/>
  <c r="J229" i="7"/>
  <c r="I229" i="7"/>
  <c r="H229" i="7"/>
  <c r="D229" i="7"/>
  <c r="C229" i="7"/>
  <c r="B229" i="7"/>
  <c r="V228" i="7"/>
  <c r="U228" i="7"/>
  <c r="T228" i="7"/>
  <c r="Q228" i="7"/>
  <c r="P228" i="7"/>
  <c r="O228" i="7"/>
  <c r="N228" i="7"/>
  <c r="J228" i="7"/>
  <c r="I228" i="7"/>
  <c r="H228" i="7"/>
  <c r="D228" i="7"/>
  <c r="C228" i="7"/>
  <c r="B228" i="7"/>
  <c r="V227" i="7"/>
  <c r="U227" i="7"/>
  <c r="T227" i="7"/>
  <c r="Q227" i="7"/>
  <c r="P227" i="7"/>
  <c r="O227" i="7"/>
  <c r="N227" i="7"/>
  <c r="J227" i="7"/>
  <c r="I227" i="7"/>
  <c r="H227" i="7"/>
  <c r="D227" i="7"/>
  <c r="C227" i="7"/>
  <c r="B227" i="7"/>
  <c r="V226" i="7"/>
  <c r="U226" i="7"/>
  <c r="T226" i="7"/>
  <c r="Q226" i="7"/>
  <c r="P226" i="7"/>
  <c r="O226" i="7"/>
  <c r="N226" i="7"/>
  <c r="J226" i="7"/>
  <c r="I226" i="7"/>
  <c r="H226" i="7"/>
  <c r="D226" i="7"/>
  <c r="C226" i="7"/>
  <c r="B226" i="7"/>
  <c r="V225" i="7"/>
  <c r="U225" i="7"/>
  <c r="T225" i="7"/>
  <c r="Q225" i="7"/>
  <c r="P225" i="7"/>
  <c r="O225" i="7"/>
  <c r="N225" i="7"/>
  <c r="J225" i="7"/>
  <c r="I225" i="7"/>
  <c r="H225" i="7"/>
  <c r="D225" i="7"/>
  <c r="C225" i="7"/>
  <c r="B225" i="7"/>
  <c r="V224" i="7"/>
  <c r="U224" i="7"/>
  <c r="T224" i="7"/>
  <c r="Q224" i="7"/>
  <c r="P224" i="7"/>
  <c r="O224" i="7"/>
  <c r="N224" i="7"/>
  <c r="J224" i="7"/>
  <c r="I224" i="7"/>
  <c r="H224" i="7"/>
  <c r="D224" i="7"/>
  <c r="C224" i="7"/>
  <c r="B224" i="7"/>
  <c r="V223" i="7"/>
  <c r="U223" i="7"/>
  <c r="T223" i="7"/>
  <c r="Q223" i="7"/>
  <c r="P223" i="7"/>
  <c r="O223" i="7"/>
  <c r="N223" i="7"/>
  <c r="J223" i="7"/>
  <c r="I223" i="7"/>
  <c r="H223" i="7"/>
  <c r="D223" i="7"/>
  <c r="C223" i="7"/>
  <c r="B223" i="7"/>
  <c r="V222" i="7"/>
  <c r="U222" i="7"/>
  <c r="T222" i="7"/>
  <c r="Q222" i="7"/>
  <c r="P222" i="7"/>
  <c r="O222" i="7"/>
  <c r="N222" i="7"/>
  <c r="J222" i="7"/>
  <c r="I222" i="7"/>
  <c r="H222" i="7"/>
  <c r="D222" i="7"/>
  <c r="C222" i="7"/>
  <c r="B222" i="7"/>
  <c r="V221" i="7"/>
  <c r="U221" i="7"/>
  <c r="T221" i="7"/>
  <c r="Q221" i="7"/>
  <c r="P221" i="7"/>
  <c r="O221" i="7"/>
  <c r="N221" i="7"/>
  <c r="J221" i="7"/>
  <c r="I221" i="7"/>
  <c r="H221" i="7"/>
  <c r="D221" i="7"/>
  <c r="C221" i="7"/>
  <c r="B221" i="7"/>
  <c r="V220" i="7"/>
  <c r="U220" i="7"/>
  <c r="T220" i="7"/>
  <c r="Q220" i="7"/>
  <c r="P220" i="7"/>
  <c r="O220" i="7"/>
  <c r="N220" i="7"/>
  <c r="J220" i="7"/>
  <c r="I220" i="7"/>
  <c r="H220" i="7"/>
  <c r="D220" i="7"/>
  <c r="C220" i="7"/>
  <c r="B220" i="7"/>
  <c r="V219" i="7"/>
  <c r="U219" i="7"/>
  <c r="T219" i="7"/>
  <c r="Q219" i="7"/>
  <c r="P219" i="7"/>
  <c r="O219" i="7"/>
  <c r="N219" i="7"/>
  <c r="J219" i="7"/>
  <c r="I219" i="7"/>
  <c r="H219" i="7"/>
  <c r="D219" i="7"/>
  <c r="C219" i="7"/>
  <c r="B219" i="7"/>
  <c r="V218" i="7"/>
  <c r="U218" i="7"/>
  <c r="T218" i="7"/>
  <c r="Q218" i="7"/>
  <c r="P218" i="7"/>
  <c r="O218" i="7"/>
  <c r="N218" i="7"/>
  <c r="J218" i="7"/>
  <c r="I218" i="7"/>
  <c r="H218" i="7"/>
  <c r="D218" i="7"/>
  <c r="C218" i="7"/>
  <c r="B218" i="7"/>
  <c r="V217" i="7"/>
  <c r="U217" i="7"/>
  <c r="T217" i="7"/>
  <c r="Q217" i="7"/>
  <c r="P217" i="7"/>
  <c r="O217" i="7"/>
  <c r="N217" i="7"/>
  <c r="J217" i="7"/>
  <c r="I217" i="7"/>
  <c r="H217" i="7"/>
  <c r="D217" i="7"/>
  <c r="C217" i="7"/>
  <c r="B217" i="7"/>
  <c r="V216" i="7"/>
  <c r="U216" i="7"/>
  <c r="T216" i="7"/>
  <c r="Q216" i="7"/>
  <c r="P216" i="7"/>
  <c r="O216" i="7"/>
  <c r="N216" i="7"/>
  <c r="J216" i="7"/>
  <c r="I216" i="7"/>
  <c r="H216" i="7"/>
  <c r="D216" i="7"/>
  <c r="C216" i="7"/>
  <c r="B216" i="7"/>
  <c r="V215" i="7"/>
  <c r="U215" i="7"/>
  <c r="T215" i="7"/>
  <c r="Q215" i="7"/>
  <c r="P215" i="7"/>
  <c r="O215" i="7"/>
  <c r="N215" i="7"/>
  <c r="J215" i="7"/>
  <c r="I215" i="7"/>
  <c r="H215" i="7"/>
  <c r="D215" i="7"/>
  <c r="C215" i="7"/>
  <c r="B215" i="7"/>
  <c r="V214" i="7"/>
  <c r="U214" i="7"/>
  <c r="T214" i="7"/>
  <c r="Q214" i="7"/>
  <c r="P214" i="7"/>
  <c r="O214" i="7"/>
  <c r="N214" i="7"/>
  <c r="J214" i="7"/>
  <c r="I214" i="7"/>
  <c r="H214" i="7"/>
  <c r="D214" i="7"/>
  <c r="C214" i="7"/>
  <c r="B214" i="7"/>
  <c r="V213" i="7"/>
  <c r="U213" i="7"/>
  <c r="T213" i="7"/>
  <c r="Q213" i="7"/>
  <c r="P213" i="7"/>
  <c r="O213" i="7"/>
  <c r="N213" i="7"/>
  <c r="J213" i="7"/>
  <c r="I213" i="7"/>
  <c r="H213" i="7"/>
  <c r="D213" i="7"/>
  <c r="C213" i="7"/>
  <c r="B213" i="7"/>
  <c r="V212" i="7"/>
  <c r="U212" i="7"/>
  <c r="T212" i="7"/>
  <c r="Q212" i="7"/>
  <c r="P212" i="7"/>
  <c r="O212" i="7"/>
  <c r="N212" i="7"/>
  <c r="J212" i="7"/>
  <c r="I212" i="7"/>
  <c r="H212" i="7"/>
  <c r="D212" i="7"/>
  <c r="C212" i="7"/>
  <c r="B212" i="7"/>
  <c r="V211" i="7"/>
  <c r="U211" i="7"/>
  <c r="T211" i="7"/>
  <c r="Q211" i="7"/>
  <c r="P211" i="7"/>
  <c r="O211" i="7"/>
  <c r="N211" i="7"/>
  <c r="J211" i="7"/>
  <c r="I211" i="7"/>
  <c r="H211" i="7"/>
  <c r="D211" i="7"/>
  <c r="C211" i="7"/>
  <c r="B211" i="7"/>
  <c r="V210" i="7"/>
  <c r="U210" i="7"/>
  <c r="T210" i="7"/>
  <c r="P210" i="7"/>
  <c r="O210" i="7"/>
  <c r="N210" i="7"/>
  <c r="J210" i="7"/>
  <c r="I210" i="7"/>
  <c r="H210" i="7"/>
  <c r="D210" i="7"/>
  <c r="C210" i="7"/>
  <c r="B210" i="7"/>
  <c r="V209" i="7"/>
  <c r="U209" i="7"/>
  <c r="T209" i="7"/>
  <c r="P209" i="7"/>
  <c r="O209" i="7"/>
  <c r="N209" i="7"/>
  <c r="J209" i="7"/>
  <c r="I209" i="7"/>
  <c r="H209" i="7"/>
  <c r="D209" i="7"/>
  <c r="C209" i="7"/>
  <c r="B209" i="7"/>
  <c r="V208" i="7"/>
  <c r="U208" i="7"/>
  <c r="T208" i="7"/>
  <c r="P208" i="7"/>
  <c r="O208" i="7"/>
  <c r="N208" i="7"/>
  <c r="J208" i="7"/>
  <c r="I208" i="7"/>
  <c r="H208" i="7"/>
  <c r="D208" i="7"/>
  <c r="C208" i="7"/>
  <c r="B208" i="7"/>
  <c r="V207" i="7"/>
  <c r="U207" i="7"/>
  <c r="T207" i="7"/>
  <c r="P207" i="7"/>
  <c r="O207" i="7"/>
  <c r="N207" i="7"/>
  <c r="J207" i="7"/>
  <c r="I207" i="7"/>
  <c r="H207" i="7"/>
  <c r="D207" i="7"/>
  <c r="C207" i="7"/>
  <c r="B207" i="7"/>
  <c r="V206" i="7"/>
  <c r="U206" i="7"/>
  <c r="T206" i="7"/>
  <c r="P206" i="7"/>
  <c r="O206" i="7"/>
  <c r="N206" i="7"/>
  <c r="J206" i="7"/>
  <c r="I206" i="7"/>
  <c r="H206" i="7"/>
  <c r="D206" i="7"/>
  <c r="C206" i="7"/>
  <c r="B206" i="7"/>
  <c r="V205" i="7"/>
  <c r="U205" i="7"/>
  <c r="T205" i="7"/>
  <c r="P205" i="7"/>
  <c r="O205" i="7"/>
  <c r="N205" i="7"/>
  <c r="J205" i="7"/>
  <c r="I205" i="7"/>
  <c r="H205" i="7"/>
  <c r="D205" i="7"/>
  <c r="C205" i="7"/>
  <c r="B205" i="7"/>
  <c r="V204" i="7"/>
  <c r="U204" i="7"/>
  <c r="T204" i="7"/>
  <c r="P204" i="7"/>
  <c r="O204" i="7"/>
  <c r="N204" i="7"/>
  <c r="J204" i="7"/>
  <c r="I204" i="7"/>
  <c r="H204" i="7"/>
  <c r="D204" i="7"/>
  <c r="C204" i="7"/>
  <c r="B204" i="7"/>
  <c r="V203" i="7"/>
  <c r="U203" i="7"/>
  <c r="T203" i="7"/>
  <c r="P203" i="7"/>
  <c r="O203" i="7"/>
  <c r="N203" i="7"/>
  <c r="J203" i="7"/>
  <c r="I203" i="7"/>
  <c r="H203" i="7"/>
  <c r="D203" i="7"/>
  <c r="C203" i="7"/>
  <c r="B203" i="7"/>
  <c r="V202" i="7"/>
  <c r="U202" i="7"/>
  <c r="T202" i="7"/>
  <c r="P202" i="7"/>
  <c r="O202" i="7"/>
  <c r="N202" i="7"/>
  <c r="J202" i="7"/>
  <c r="I202" i="7"/>
  <c r="H202" i="7"/>
  <c r="D202" i="7"/>
  <c r="C202" i="7"/>
  <c r="B202" i="7"/>
  <c r="V201" i="7"/>
  <c r="U201" i="7"/>
  <c r="T201" i="7"/>
  <c r="P201" i="7"/>
  <c r="O201" i="7"/>
  <c r="N201" i="7"/>
  <c r="J201" i="7"/>
  <c r="I201" i="7"/>
  <c r="H201" i="7"/>
  <c r="D201" i="7"/>
  <c r="C201" i="7"/>
  <c r="B201" i="7"/>
  <c r="V200" i="7"/>
  <c r="U200" i="7"/>
  <c r="T200" i="7"/>
  <c r="P200" i="7"/>
  <c r="O200" i="7"/>
  <c r="N200" i="7"/>
  <c r="J200" i="7"/>
  <c r="I200" i="7"/>
  <c r="H200" i="7"/>
  <c r="D200" i="7"/>
  <c r="C200" i="7"/>
  <c r="B200" i="7"/>
  <c r="V199" i="7"/>
  <c r="U199" i="7"/>
  <c r="T199" i="7"/>
  <c r="P199" i="7"/>
  <c r="O199" i="7"/>
  <c r="N199" i="7"/>
  <c r="J199" i="7"/>
  <c r="I199" i="7"/>
  <c r="H199" i="7"/>
  <c r="D199" i="7"/>
  <c r="C199" i="7"/>
  <c r="B199" i="7"/>
  <c r="V198" i="7"/>
  <c r="U198" i="7"/>
  <c r="T198" i="7"/>
  <c r="P198" i="7"/>
  <c r="O198" i="7"/>
  <c r="N198" i="7"/>
  <c r="J198" i="7"/>
  <c r="I198" i="7"/>
  <c r="H198" i="7"/>
  <c r="D198" i="7"/>
  <c r="C198" i="7"/>
  <c r="B198" i="7"/>
  <c r="V197" i="7"/>
  <c r="U197" i="7"/>
  <c r="T197" i="7"/>
  <c r="P197" i="7"/>
  <c r="O197" i="7"/>
  <c r="N197" i="7"/>
  <c r="J197" i="7"/>
  <c r="I197" i="7"/>
  <c r="H197" i="7"/>
  <c r="D197" i="7"/>
  <c r="C197" i="7"/>
  <c r="B197" i="7"/>
  <c r="V196" i="7"/>
  <c r="U196" i="7"/>
  <c r="T196" i="7"/>
  <c r="P196" i="7"/>
  <c r="O196" i="7"/>
  <c r="N196" i="7"/>
  <c r="J196" i="7"/>
  <c r="I196" i="7"/>
  <c r="H196" i="7"/>
  <c r="D196" i="7"/>
  <c r="C196" i="7"/>
  <c r="B196" i="7"/>
  <c r="V195" i="7"/>
  <c r="U195" i="7"/>
  <c r="T195" i="7"/>
  <c r="P195" i="7"/>
  <c r="O195" i="7"/>
  <c r="N195" i="7"/>
  <c r="J195" i="7"/>
  <c r="I195" i="7"/>
  <c r="H195" i="7"/>
  <c r="D195" i="7"/>
  <c r="C195" i="7"/>
  <c r="B195" i="7"/>
  <c r="V194" i="7"/>
  <c r="U194" i="7"/>
  <c r="T194" i="7"/>
  <c r="P194" i="7"/>
  <c r="O194" i="7"/>
  <c r="N194" i="7"/>
  <c r="J194" i="7"/>
  <c r="I194" i="7"/>
  <c r="H194" i="7"/>
  <c r="D194" i="7"/>
  <c r="C194" i="7"/>
  <c r="B194" i="7"/>
  <c r="V193" i="7"/>
  <c r="U193" i="7"/>
  <c r="T193" i="7"/>
  <c r="P193" i="7"/>
  <c r="O193" i="7"/>
  <c r="N193" i="7"/>
  <c r="J193" i="7"/>
  <c r="I193" i="7"/>
  <c r="H193" i="7"/>
  <c r="D193" i="7"/>
  <c r="C193" i="7"/>
  <c r="B193" i="7"/>
  <c r="V192" i="7"/>
  <c r="U192" i="7"/>
  <c r="T192" i="7"/>
  <c r="P192" i="7"/>
  <c r="O192" i="7"/>
  <c r="N192" i="7"/>
  <c r="J192" i="7"/>
  <c r="I192" i="7"/>
  <c r="H192" i="7"/>
  <c r="D192" i="7"/>
  <c r="C192" i="7"/>
  <c r="B192" i="7"/>
  <c r="V191" i="7"/>
  <c r="U191" i="7"/>
  <c r="T191" i="7"/>
  <c r="P191" i="7"/>
  <c r="O191" i="7"/>
  <c r="N191" i="7"/>
  <c r="J191" i="7"/>
  <c r="I191" i="7"/>
  <c r="H191" i="7"/>
  <c r="D191" i="7"/>
  <c r="C191" i="7"/>
  <c r="B191" i="7"/>
  <c r="V190" i="7"/>
  <c r="U190" i="7"/>
  <c r="T190" i="7"/>
  <c r="P190" i="7"/>
  <c r="O190" i="7"/>
  <c r="N190" i="7"/>
  <c r="J190" i="7"/>
  <c r="I190" i="7"/>
  <c r="H190" i="7"/>
  <c r="D190" i="7"/>
  <c r="C190" i="7"/>
  <c r="B190" i="7"/>
  <c r="V189" i="7"/>
  <c r="U189" i="7"/>
  <c r="T189" i="7"/>
  <c r="P189" i="7"/>
  <c r="O189" i="7"/>
  <c r="N189" i="7"/>
  <c r="J189" i="7"/>
  <c r="I189" i="7"/>
  <c r="H189" i="7"/>
  <c r="D189" i="7"/>
  <c r="C189" i="7"/>
  <c r="B189" i="7"/>
  <c r="V188" i="7"/>
  <c r="U188" i="7"/>
  <c r="T188" i="7"/>
  <c r="P188" i="7"/>
  <c r="O188" i="7"/>
  <c r="N188" i="7"/>
  <c r="J188" i="7"/>
  <c r="I188" i="7"/>
  <c r="H188" i="7"/>
  <c r="D188" i="7"/>
  <c r="C188" i="7"/>
  <c r="B188" i="7"/>
  <c r="V187" i="7"/>
  <c r="U187" i="7"/>
  <c r="T187" i="7"/>
  <c r="P187" i="7"/>
  <c r="O187" i="7"/>
  <c r="N187" i="7"/>
  <c r="J187" i="7"/>
  <c r="I187" i="7"/>
  <c r="H187" i="7"/>
  <c r="D187" i="7"/>
  <c r="C187" i="7"/>
  <c r="B187" i="7"/>
  <c r="V186" i="7"/>
  <c r="U186" i="7"/>
  <c r="T186" i="7"/>
  <c r="P186" i="7"/>
  <c r="O186" i="7"/>
  <c r="N186" i="7"/>
  <c r="J186" i="7"/>
  <c r="I186" i="7"/>
  <c r="H186" i="7"/>
  <c r="D186" i="7"/>
  <c r="C186" i="7"/>
  <c r="B186" i="7"/>
  <c r="V185" i="7"/>
  <c r="U185" i="7"/>
  <c r="T185" i="7"/>
  <c r="P185" i="7"/>
  <c r="O185" i="7"/>
  <c r="N185" i="7"/>
  <c r="J185" i="7"/>
  <c r="I185" i="7"/>
  <c r="H185" i="7"/>
  <c r="D185" i="7"/>
  <c r="C185" i="7"/>
  <c r="B185" i="7"/>
  <c r="V184" i="7"/>
  <c r="U184" i="7"/>
  <c r="T184" i="7"/>
  <c r="P184" i="7"/>
  <c r="O184" i="7"/>
  <c r="N184" i="7"/>
  <c r="J184" i="7"/>
  <c r="I184" i="7"/>
  <c r="H184" i="7"/>
  <c r="D184" i="7"/>
  <c r="C184" i="7"/>
  <c r="B184" i="7"/>
  <c r="V183" i="7"/>
  <c r="U183" i="7"/>
  <c r="T183" i="7"/>
  <c r="P183" i="7"/>
  <c r="O183" i="7"/>
  <c r="N183" i="7"/>
  <c r="J183" i="7"/>
  <c r="I183" i="7"/>
  <c r="H183" i="7"/>
  <c r="D183" i="7"/>
  <c r="C183" i="7"/>
  <c r="B183" i="7"/>
  <c r="V182" i="7"/>
  <c r="U182" i="7"/>
  <c r="T182" i="7"/>
  <c r="P182" i="7"/>
  <c r="O182" i="7"/>
  <c r="N182" i="7"/>
  <c r="J182" i="7"/>
  <c r="I182" i="7"/>
  <c r="H182" i="7"/>
  <c r="D182" i="7"/>
  <c r="C182" i="7"/>
  <c r="B182" i="7"/>
  <c r="V181" i="7"/>
  <c r="U181" i="7"/>
  <c r="T181" i="7"/>
  <c r="P181" i="7"/>
  <c r="O181" i="7"/>
  <c r="N181" i="7"/>
  <c r="J181" i="7"/>
  <c r="I181" i="7"/>
  <c r="H181" i="7"/>
  <c r="D181" i="7"/>
  <c r="C181" i="7"/>
  <c r="B181" i="7"/>
  <c r="V180" i="7"/>
  <c r="U180" i="7"/>
  <c r="T180" i="7"/>
  <c r="P180" i="7"/>
  <c r="O180" i="7"/>
  <c r="N180" i="7"/>
  <c r="J180" i="7"/>
  <c r="I180" i="7"/>
  <c r="H180" i="7"/>
  <c r="D180" i="7"/>
  <c r="C180" i="7"/>
  <c r="B180" i="7"/>
  <c r="V179" i="7"/>
  <c r="U179" i="7"/>
  <c r="T179" i="7"/>
  <c r="P179" i="7"/>
  <c r="O179" i="7"/>
  <c r="N179" i="7"/>
  <c r="J179" i="7"/>
  <c r="I179" i="7"/>
  <c r="H179" i="7"/>
  <c r="D179" i="7"/>
  <c r="C179" i="7"/>
  <c r="B179" i="7"/>
  <c r="V178" i="7"/>
  <c r="U178" i="7"/>
  <c r="T178" i="7"/>
  <c r="P178" i="7"/>
  <c r="O178" i="7"/>
  <c r="N178" i="7"/>
  <c r="J178" i="7"/>
  <c r="I178" i="7"/>
  <c r="H178" i="7"/>
  <c r="D178" i="7"/>
  <c r="C178" i="7"/>
  <c r="B178" i="7"/>
  <c r="V177" i="7"/>
  <c r="U177" i="7"/>
  <c r="T177" i="7"/>
  <c r="P177" i="7"/>
  <c r="O177" i="7"/>
  <c r="N177" i="7"/>
  <c r="J177" i="7"/>
  <c r="I177" i="7"/>
  <c r="H177" i="7"/>
  <c r="D177" i="7"/>
  <c r="C177" i="7"/>
  <c r="B177" i="7"/>
  <c r="V176" i="7"/>
  <c r="U176" i="7"/>
  <c r="T176" i="7"/>
  <c r="P176" i="7"/>
  <c r="O176" i="7"/>
  <c r="N176" i="7"/>
  <c r="J176" i="7"/>
  <c r="I176" i="7"/>
  <c r="H176" i="7"/>
  <c r="D176" i="7"/>
  <c r="C176" i="7"/>
  <c r="B176" i="7"/>
  <c r="V175" i="7"/>
  <c r="U175" i="7"/>
  <c r="T175" i="7"/>
  <c r="P175" i="7"/>
  <c r="O175" i="7"/>
  <c r="N175" i="7"/>
  <c r="J175" i="7"/>
  <c r="I175" i="7"/>
  <c r="H175" i="7"/>
  <c r="D175" i="7"/>
  <c r="C175" i="7"/>
  <c r="B175" i="7"/>
  <c r="V174" i="7"/>
  <c r="U174" i="7"/>
  <c r="T174" i="7"/>
  <c r="P174" i="7"/>
  <c r="O174" i="7"/>
  <c r="N174" i="7"/>
  <c r="J174" i="7"/>
  <c r="I174" i="7"/>
  <c r="H174" i="7"/>
  <c r="D174" i="7"/>
  <c r="C174" i="7"/>
  <c r="B174" i="7"/>
  <c r="V173" i="7"/>
  <c r="U173" i="7"/>
  <c r="T173" i="7"/>
  <c r="P173" i="7"/>
  <c r="O173" i="7"/>
  <c r="N173" i="7"/>
  <c r="J173" i="7"/>
  <c r="I173" i="7"/>
  <c r="H173" i="7"/>
  <c r="D173" i="7"/>
  <c r="C173" i="7"/>
  <c r="B173" i="7"/>
  <c r="V172" i="7"/>
  <c r="U172" i="7"/>
  <c r="T172" i="7"/>
  <c r="P172" i="7"/>
  <c r="O172" i="7"/>
  <c r="N172" i="7"/>
  <c r="J172" i="7"/>
  <c r="I172" i="7"/>
  <c r="H172" i="7"/>
  <c r="D172" i="7"/>
  <c r="C172" i="7"/>
  <c r="B172" i="7"/>
  <c r="V171" i="7"/>
  <c r="U171" i="7"/>
  <c r="T171" i="7"/>
  <c r="P171" i="7"/>
  <c r="O171" i="7"/>
  <c r="N171" i="7"/>
  <c r="J171" i="7"/>
  <c r="I171" i="7"/>
  <c r="H171" i="7"/>
  <c r="D171" i="7"/>
  <c r="C171" i="7"/>
  <c r="B171" i="7"/>
  <c r="V170" i="7"/>
  <c r="U170" i="7"/>
  <c r="T170" i="7"/>
  <c r="P170" i="7"/>
  <c r="O170" i="7"/>
  <c r="N170" i="7"/>
  <c r="J170" i="7"/>
  <c r="I170" i="7"/>
  <c r="H170" i="7"/>
  <c r="D170" i="7"/>
  <c r="C170" i="7"/>
  <c r="B170" i="7"/>
  <c r="V169" i="7"/>
  <c r="U169" i="7"/>
  <c r="T169" i="7"/>
  <c r="P169" i="7"/>
  <c r="O169" i="7"/>
  <c r="N169" i="7"/>
  <c r="J169" i="7"/>
  <c r="I169" i="7"/>
  <c r="H169" i="7"/>
  <c r="D169" i="7"/>
  <c r="C169" i="7"/>
  <c r="B169" i="7"/>
  <c r="V168" i="7"/>
  <c r="U168" i="7"/>
  <c r="T168" i="7"/>
  <c r="P168" i="7"/>
  <c r="O168" i="7"/>
  <c r="N168" i="7"/>
  <c r="J168" i="7"/>
  <c r="I168" i="7"/>
  <c r="H168" i="7"/>
  <c r="D168" i="7"/>
  <c r="C168" i="7"/>
  <c r="B168" i="7"/>
  <c r="V167" i="7"/>
  <c r="U167" i="7"/>
  <c r="T167" i="7"/>
  <c r="P167" i="7"/>
  <c r="O167" i="7"/>
  <c r="N167" i="7"/>
  <c r="J167" i="7"/>
  <c r="I167" i="7"/>
  <c r="H167" i="7"/>
  <c r="D167" i="7"/>
  <c r="C167" i="7"/>
  <c r="B167" i="7"/>
  <c r="V166" i="7"/>
  <c r="U166" i="7"/>
  <c r="T166" i="7"/>
  <c r="P166" i="7"/>
  <c r="O166" i="7"/>
  <c r="N166" i="7"/>
  <c r="J166" i="7"/>
  <c r="I166" i="7"/>
  <c r="H166" i="7"/>
  <c r="D166" i="7"/>
  <c r="C166" i="7"/>
  <c r="B166" i="7"/>
  <c r="V165" i="7"/>
  <c r="U165" i="7"/>
  <c r="T165" i="7"/>
  <c r="P165" i="7"/>
  <c r="O165" i="7"/>
  <c r="N165" i="7"/>
  <c r="J165" i="7"/>
  <c r="I165" i="7"/>
  <c r="H165" i="7"/>
  <c r="D165" i="7"/>
  <c r="C165" i="7"/>
  <c r="B165" i="7"/>
  <c r="V164" i="7"/>
  <c r="U164" i="7"/>
  <c r="T164" i="7"/>
  <c r="P164" i="7"/>
  <c r="O164" i="7"/>
  <c r="N164" i="7"/>
  <c r="J164" i="7"/>
  <c r="I164" i="7"/>
  <c r="H164" i="7"/>
  <c r="D164" i="7"/>
  <c r="C164" i="7"/>
  <c r="B164" i="7"/>
  <c r="V163" i="7"/>
  <c r="U163" i="7"/>
  <c r="T163" i="7"/>
  <c r="P163" i="7"/>
  <c r="O163" i="7"/>
  <c r="N163" i="7"/>
  <c r="J163" i="7"/>
  <c r="I163" i="7"/>
  <c r="H163" i="7"/>
  <c r="D163" i="7"/>
  <c r="C163" i="7"/>
  <c r="B163" i="7"/>
  <c r="V162" i="7"/>
  <c r="U162" i="7"/>
  <c r="T162" i="7"/>
  <c r="P162" i="7"/>
  <c r="O162" i="7"/>
  <c r="N162" i="7"/>
  <c r="J162" i="7"/>
  <c r="I162" i="7"/>
  <c r="H162" i="7"/>
  <c r="D162" i="7"/>
  <c r="C162" i="7"/>
  <c r="B162" i="7"/>
  <c r="V161" i="7"/>
  <c r="U161" i="7"/>
  <c r="T161" i="7"/>
  <c r="P161" i="7"/>
  <c r="O161" i="7"/>
  <c r="N161" i="7"/>
  <c r="J161" i="7"/>
  <c r="I161" i="7"/>
  <c r="H161" i="7"/>
  <c r="D161" i="7"/>
  <c r="C161" i="7"/>
  <c r="B161" i="7"/>
  <c r="V160" i="7"/>
  <c r="U160" i="7"/>
  <c r="T160" i="7"/>
  <c r="P160" i="7"/>
  <c r="O160" i="7"/>
  <c r="N160" i="7"/>
  <c r="J160" i="7"/>
  <c r="I160" i="7"/>
  <c r="H160" i="7"/>
  <c r="D160" i="7"/>
  <c r="C160" i="7"/>
  <c r="B160" i="7"/>
  <c r="V159" i="7"/>
  <c r="U159" i="7"/>
  <c r="T159" i="7"/>
  <c r="P159" i="7"/>
  <c r="O159" i="7"/>
  <c r="N159" i="7"/>
  <c r="J159" i="7"/>
  <c r="I159" i="7"/>
  <c r="H159" i="7"/>
  <c r="D159" i="7"/>
  <c r="C159" i="7"/>
  <c r="B159" i="7"/>
  <c r="V158" i="7"/>
  <c r="U158" i="7"/>
  <c r="T158" i="7"/>
  <c r="P158" i="7"/>
  <c r="O158" i="7"/>
  <c r="N158" i="7"/>
  <c r="J158" i="7"/>
  <c r="I158" i="7"/>
  <c r="H158" i="7"/>
  <c r="D158" i="7"/>
  <c r="C158" i="7"/>
  <c r="B158" i="7"/>
  <c r="V157" i="7"/>
  <c r="U157" i="7"/>
  <c r="T157" i="7"/>
  <c r="P157" i="7"/>
  <c r="O157" i="7"/>
  <c r="N157" i="7"/>
  <c r="J157" i="7"/>
  <c r="I157" i="7"/>
  <c r="H157" i="7"/>
  <c r="D157" i="7"/>
  <c r="C157" i="7"/>
  <c r="B157" i="7"/>
  <c r="V156" i="7"/>
  <c r="U156" i="7"/>
  <c r="T156" i="7"/>
  <c r="P156" i="7"/>
  <c r="O156" i="7"/>
  <c r="N156" i="7"/>
  <c r="J156" i="7"/>
  <c r="I156" i="7"/>
  <c r="H156" i="7"/>
  <c r="D156" i="7"/>
  <c r="C156" i="7"/>
  <c r="B156" i="7"/>
  <c r="V155" i="7"/>
  <c r="U155" i="7"/>
  <c r="T155" i="7"/>
  <c r="P155" i="7"/>
  <c r="O155" i="7"/>
  <c r="N155" i="7"/>
  <c r="J155" i="7"/>
  <c r="I155" i="7"/>
  <c r="H155" i="7"/>
  <c r="D155" i="7"/>
  <c r="C155" i="7"/>
  <c r="B155" i="7"/>
  <c r="V154" i="7"/>
  <c r="U154" i="7"/>
  <c r="T154" i="7"/>
  <c r="P154" i="7"/>
  <c r="O154" i="7"/>
  <c r="N154" i="7"/>
  <c r="J154" i="7"/>
  <c r="I154" i="7"/>
  <c r="H154" i="7"/>
  <c r="D154" i="7"/>
  <c r="C154" i="7"/>
  <c r="B154" i="7"/>
  <c r="V153" i="7"/>
  <c r="U153" i="7"/>
  <c r="T153" i="7"/>
  <c r="P153" i="7"/>
  <c r="O153" i="7"/>
  <c r="N153" i="7"/>
  <c r="J153" i="7"/>
  <c r="I153" i="7"/>
  <c r="H153" i="7"/>
  <c r="D153" i="7"/>
  <c r="C153" i="7"/>
  <c r="B153" i="7"/>
  <c r="V152" i="7"/>
  <c r="U152" i="7"/>
  <c r="T152" i="7"/>
  <c r="P152" i="7"/>
  <c r="O152" i="7"/>
  <c r="N152" i="7"/>
  <c r="J152" i="7"/>
  <c r="I152" i="7"/>
  <c r="H152" i="7"/>
  <c r="D152" i="7"/>
  <c r="C152" i="7"/>
  <c r="B152" i="7"/>
  <c r="V151" i="7"/>
  <c r="U151" i="7"/>
  <c r="T151" i="7"/>
  <c r="P151" i="7"/>
  <c r="O151" i="7"/>
  <c r="N151" i="7"/>
  <c r="J151" i="7"/>
  <c r="I151" i="7"/>
  <c r="H151" i="7"/>
  <c r="D151" i="7"/>
  <c r="C151" i="7"/>
  <c r="B151" i="7"/>
  <c r="V150" i="7"/>
  <c r="U150" i="7"/>
  <c r="T150" i="7"/>
  <c r="P150" i="7"/>
  <c r="O150" i="7"/>
  <c r="N150" i="7"/>
  <c r="J150" i="7"/>
  <c r="I150" i="7"/>
  <c r="H150" i="7"/>
  <c r="D150" i="7"/>
  <c r="C150" i="7"/>
  <c r="B150" i="7"/>
  <c r="V149" i="7"/>
  <c r="U149" i="7"/>
  <c r="T149" i="7"/>
  <c r="P149" i="7"/>
  <c r="O149" i="7"/>
  <c r="N149" i="7"/>
  <c r="J149" i="7"/>
  <c r="I149" i="7"/>
  <c r="H149" i="7"/>
  <c r="D149" i="7"/>
  <c r="C149" i="7"/>
  <c r="B149" i="7"/>
  <c r="V148" i="7"/>
  <c r="U148" i="7"/>
  <c r="T148" i="7"/>
  <c r="P148" i="7"/>
  <c r="O148" i="7"/>
  <c r="N148" i="7"/>
  <c r="J148" i="7"/>
  <c r="I148" i="7"/>
  <c r="H148" i="7"/>
  <c r="D148" i="7"/>
  <c r="C148" i="7"/>
  <c r="B148" i="7"/>
  <c r="V147" i="7"/>
  <c r="U147" i="7"/>
  <c r="T147" i="7"/>
  <c r="P147" i="7"/>
  <c r="O147" i="7"/>
  <c r="N147" i="7"/>
  <c r="J147" i="7"/>
  <c r="I147" i="7"/>
  <c r="H147" i="7"/>
  <c r="D147" i="7"/>
  <c r="C147" i="7"/>
  <c r="B147" i="7"/>
  <c r="V146" i="7"/>
  <c r="U146" i="7"/>
  <c r="T146" i="7"/>
  <c r="P146" i="7"/>
  <c r="O146" i="7"/>
  <c r="N146" i="7"/>
  <c r="J146" i="7"/>
  <c r="I146" i="7"/>
  <c r="H146" i="7"/>
  <c r="D146" i="7"/>
  <c r="C146" i="7"/>
  <c r="B146" i="7"/>
  <c r="V145" i="7"/>
  <c r="U145" i="7"/>
  <c r="T145" i="7"/>
  <c r="P145" i="7"/>
  <c r="O145" i="7"/>
  <c r="N145" i="7"/>
  <c r="J145" i="7"/>
  <c r="I145" i="7"/>
  <c r="H145" i="7"/>
  <c r="D145" i="7"/>
  <c r="C145" i="7"/>
  <c r="B145" i="7"/>
  <c r="V144" i="7"/>
  <c r="U144" i="7"/>
  <c r="T144" i="7"/>
  <c r="P144" i="7"/>
  <c r="O144" i="7"/>
  <c r="N144" i="7"/>
  <c r="J144" i="7"/>
  <c r="I144" i="7"/>
  <c r="H144" i="7"/>
  <c r="D144" i="7"/>
  <c r="C144" i="7"/>
  <c r="B144" i="7"/>
  <c r="V143" i="7"/>
  <c r="U143" i="7"/>
  <c r="T143" i="7"/>
  <c r="P143" i="7"/>
  <c r="O143" i="7"/>
  <c r="N143" i="7"/>
  <c r="J143" i="7"/>
  <c r="I143" i="7"/>
  <c r="H143" i="7"/>
  <c r="D143" i="7"/>
  <c r="C143" i="7"/>
  <c r="B143" i="7"/>
  <c r="V142" i="7"/>
  <c r="U142" i="7"/>
  <c r="T142" i="7"/>
  <c r="P142" i="7"/>
  <c r="O142" i="7"/>
  <c r="N142" i="7"/>
  <c r="J142" i="7"/>
  <c r="I142" i="7"/>
  <c r="H142" i="7"/>
  <c r="D142" i="7"/>
  <c r="C142" i="7"/>
  <c r="B142" i="7"/>
  <c r="V141" i="7"/>
  <c r="U141" i="7"/>
  <c r="T141" i="7"/>
  <c r="P141" i="7"/>
  <c r="O141" i="7"/>
  <c r="N141" i="7"/>
  <c r="J141" i="7"/>
  <c r="I141" i="7"/>
  <c r="H141" i="7"/>
  <c r="D141" i="7"/>
  <c r="C141" i="7"/>
  <c r="B141" i="7"/>
  <c r="V140" i="7"/>
  <c r="U140" i="7"/>
  <c r="T140" i="7"/>
  <c r="P140" i="7"/>
  <c r="O140" i="7"/>
  <c r="N140" i="7"/>
  <c r="J140" i="7"/>
  <c r="I140" i="7"/>
  <c r="H140" i="7"/>
  <c r="D140" i="7"/>
  <c r="C140" i="7"/>
  <c r="B140" i="7"/>
  <c r="V139" i="7"/>
  <c r="U139" i="7"/>
  <c r="T139" i="7"/>
  <c r="P139" i="7"/>
  <c r="O139" i="7"/>
  <c r="N139" i="7"/>
  <c r="J139" i="7"/>
  <c r="I139" i="7"/>
  <c r="H139" i="7"/>
  <c r="D139" i="7"/>
  <c r="C139" i="7"/>
  <c r="B139" i="7"/>
  <c r="V138" i="7"/>
  <c r="U138" i="7"/>
  <c r="T138" i="7"/>
  <c r="P138" i="7"/>
  <c r="O138" i="7"/>
  <c r="N138" i="7"/>
  <c r="J138" i="7"/>
  <c r="I138" i="7"/>
  <c r="H138" i="7"/>
  <c r="D138" i="7"/>
  <c r="C138" i="7"/>
  <c r="B138" i="7"/>
  <c r="V137" i="7"/>
  <c r="U137" i="7"/>
  <c r="T137" i="7"/>
  <c r="P137" i="7"/>
  <c r="O137" i="7"/>
  <c r="N137" i="7"/>
  <c r="J137" i="7"/>
  <c r="I137" i="7"/>
  <c r="H137" i="7"/>
  <c r="D137" i="7"/>
  <c r="C137" i="7"/>
  <c r="B137" i="7"/>
  <c r="V136" i="7"/>
  <c r="U136" i="7"/>
  <c r="T136" i="7"/>
  <c r="P136" i="7"/>
  <c r="O136" i="7"/>
  <c r="N136" i="7"/>
  <c r="J136" i="7"/>
  <c r="I136" i="7"/>
  <c r="H136" i="7"/>
  <c r="D136" i="7"/>
  <c r="C136" i="7"/>
  <c r="B136" i="7"/>
  <c r="V135" i="7"/>
  <c r="U135" i="7"/>
  <c r="T135" i="7"/>
  <c r="P135" i="7"/>
  <c r="O135" i="7"/>
  <c r="N135" i="7"/>
  <c r="J135" i="7"/>
  <c r="I135" i="7"/>
  <c r="H135" i="7"/>
  <c r="D135" i="7"/>
  <c r="C135" i="7"/>
  <c r="B135" i="7"/>
  <c r="V134" i="7"/>
  <c r="U134" i="7"/>
  <c r="T134" i="7"/>
  <c r="P134" i="7"/>
  <c r="O134" i="7"/>
  <c r="N134" i="7"/>
  <c r="J134" i="7"/>
  <c r="I134" i="7"/>
  <c r="H134" i="7"/>
  <c r="D134" i="7"/>
  <c r="C134" i="7"/>
  <c r="B134" i="7"/>
  <c r="V133" i="7"/>
  <c r="U133" i="7"/>
  <c r="T133" i="7"/>
  <c r="P133" i="7"/>
  <c r="O133" i="7"/>
  <c r="N133" i="7"/>
  <c r="J133" i="7"/>
  <c r="I133" i="7"/>
  <c r="H133" i="7"/>
  <c r="D133" i="7"/>
  <c r="C133" i="7"/>
  <c r="B133" i="7"/>
  <c r="V132" i="7"/>
  <c r="U132" i="7"/>
  <c r="T132" i="7"/>
  <c r="P132" i="7"/>
  <c r="O132" i="7"/>
  <c r="N132" i="7"/>
  <c r="J132" i="7"/>
  <c r="I132" i="7"/>
  <c r="H132" i="7"/>
  <c r="D132" i="7"/>
  <c r="C132" i="7"/>
  <c r="B132" i="7"/>
  <c r="V131" i="7"/>
  <c r="U131" i="7"/>
  <c r="T131" i="7"/>
  <c r="P131" i="7"/>
  <c r="O131" i="7"/>
  <c r="N131" i="7"/>
  <c r="J131" i="7"/>
  <c r="I131" i="7"/>
  <c r="H131" i="7"/>
  <c r="D131" i="7"/>
  <c r="C131" i="7"/>
  <c r="B131" i="7"/>
  <c r="V130" i="7"/>
  <c r="U130" i="7"/>
  <c r="T130" i="7"/>
  <c r="P130" i="7"/>
  <c r="O130" i="7"/>
  <c r="N130" i="7"/>
  <c r="J130" i="7"/>
  <c r="I130" i="7"/>
  <c r="H130" i="7"/>
  <c r="D130" i="7"/>
  <c r="C130" i="7"/>
  <c r="B130" i="7"/>
  <c r="V129" i="7"/>
  <c r="U129" i="7"/>
  <c r="T129" i="7"/>
  <c r="P129" i="7"/>
  <c r="O129" i="7"/>
  <c r="N129" i="7"/>
  <c r="J129" i="7"/>
  <c r="I129" i="7"/>
  <c r="H129" i="7"/>
  <c r="D129" i="7"/>
  <c r="C129" i="7"/>
  <c r="B129" i="7"/>
  <c r="V128" i="7"/>
  <c r="U128" i="7"/>
  <c r="T128" i="7"/>
  <c r="P128" i="7"/>
  <c r="O128" i="7"/>
  <c r="N128" i="7"/>
  <c r="J128" i="7"/>
  <c r="I128" i="7"/>
  <c r="H128" i="7"/>
  <c r="D128" i="7"/>
  <c r="C128" i="7"/>
  <c r="B128" i="7"/>
  <c r="V127" i="7"/>
  <c r="U127" i="7"/>
  <c r="T127" i="7"/>
  <c r="P127" i="7"/>
  <c r="O127" i="7"/>
  <c r="N127" i="7"/>
  <c r="J127" i="7"/>
  <c r="I127" i="7"/>
  <c r="H127" i="7"/>
  <c r="D127" i="7"/>
  <c r="C127" i="7"/>
  <c r="B127" i="7"/>
  <c r="V126" i="7"/>
  <c r="U126" i="7"/>
  <c r="T126" i="7"/>
  <c r="P126" i="7"/>
  <c r="O126" i="7"/>
  <c r="N126" i="7"/>
  <c r="J126" i="7"/>
  <c r="I126" i="7"/>
  <c r="H126" i="7"/>
  <c r="D126" i="7"/>
  <c r="C126" i="7"/>
  <c r="B126" i="7"/>
  <c r="V125" i="7"/>
  <c r="U125" i="7"/>
  <c r="T125" i="7"/>
  <c r="P125" i="7"/>
  <c r="O125" i="7"/>
  <c r="N125" i="7"/>
  <c r="J125" i="7"/>
  <c r="I125" i="7"/>
  <c r="H125" i="7"/>
  <c r="D125" i="7"/>
  <c r="C125" i="7"/>
  <c r="B125" i="7"/>
  <c r="V124" i="7"/>
  <c r="U124" i="7"/>
  <c r="T124" i="7"/>
  <c r="P124" i="7"/>
  <c r="O124" i="7"/>
  <c r="N124" i="7"/>
  <c r="J124" i="7"/>
  <c r="I124" i="7"/>
  <c r="H124" i="7"/>
  <c r="D124" i="7"/>
  <c r="C124" i="7"/>
  <c r="B124" i="7"/>
  <c r="V123" i="7"/>
  <c r="U123" i="7"/>
  <c r="T123" i="7"/>
  <c r="P123" i="7"/>
  <c r="O123" i="7"/>
  <c r="N123" i="7"/>
  <c r="J123" i="7"/>
  <c r="I123" i="7"/>
  <c r="H123" i="7"/>
  <c r="D123" i="7"/>
  <c r="C123" i="7"/>
  <c r="B123" i="7"/>
  <c r="V122" i="7"/>
  <c r="U122" i="7"/>
  <c r="T122" i="7"/>
  <c r="P122" i="7"/>
  <c r="O122" i="7"/>
  <c r="N122" i="7"/>
  <c r="J122" i="7"/>
  <c r="I122" i="7"/>
  <c r="H122" i="7"/>
  <c r="D122" i="7"/>
  <c r="C122" i="7"/>
  <c r="B122" i="7"/>
  <c r="V121" i="7"/>
  <c r="U121" i="7"/>
  <c r="T121" i="7"/>
  <c r="P121" i="7"/>
  <c r="O121" i="7"/>
  <c r="N121" i="7"/>
  <c r="J121" i="7"/>
  <c r="I121" i="7"/>
  <c r="H121" i="7"/>
  <c r="D121" i="7"/>
  <c r="C121" i="7"/>
  <c r="B121" i="7"/>
  <c r="V120" i="7"/>
  <c r="U120" i="7"/>
  <c r="T120" i="7"/>
  <c r="P120" i="7"/>
  <c r="O120" i="7"/>
  <c r="N120" i="7"/>
  <c r="J120" i="7"/>
  <c r="I120" i="7"/>
  <c r="H120" i="7"/>
  <c r="D120" i="7"/>
  <c r="C120" i="7"/>
  <c r="B120" i="7"/>
  <c r="V119" i="7"/>
  <c r="U119" i="7"/>
  <c r="T119" i="7"/>
  <c r="P119" i="7"/>
  <c r="O119" i="7"/>
  <c r="N119" i="7"/>
  <c r="J119" i="7"/>
  <c r="I119" i="7"/>
  <c r="H119" i="7"/>
  <c r="D119" i="7"/>
  <c r="C119" i="7"/>
  <c r="B119" i="7"/>
  <c r="V118" i="7"/>
  <c r="U118" i="7"/>
  <c r="T118" i="7"/>
  <c r="P118" i="7"/>
  <c r="O118" i="7"/>
  <c r="N118" i="7"/>
  <c r="J118" i="7"/>
  <c r="I118" i="7"/>
  <c r="H118" i="7"/>
  <c r="D118" i="7"/>
  <c r="C118" i="7"/>
  <c r="B118" i="7"/>
  <c r="V117" i="7"/>
  <c r="U117" i="7"/>
  <c r="T117" i="7"/>
  <c r="P117" i="7"/>
  <c r="O117" i="7"/>
  <c r="N117" i="7"/>
  <c r="J117" i="7"/>
  <c r="I117" i="7"/>
  <c r="H117" i="7"/>
  <c r="D117" i="7"/>
  <c r="C117" i="7"/>
  <c r="B117" i="7"/>
  <c r="V116" i="7"/>
  <c r="U116" i="7"/>
  <c r="T116" i="7"/>
  <c r="P116" i="7"/>
  <c r="O116" i="7"/>
  <c r="N116" i="7"/>
  <c r="J116" i="7"/>
  <c r="I116" i="7"/>
  <c r="H116" i="7"/>
  <c r="D116" i="7"/>
  <c r="C116" i="7"/>
  <c r="B116" i="7"/>
  <c r="V115" i="7"/>
  <c r="U115" i="7"/>
  <c r="T115" i="7"/>
  <c r="P115" i="7"/>
  <c r="O115" i="7"/>
  <c r="N115" i="7"/>
  <c r="J115" i="7"/>
  <c r="I115" i="7"/>
  <c r="H115" i="7"/>
  <c r="D115" i="7"/>
  <c r="C115" i="7"/>
  <c r="B115" i="7"/>
  <c r="V114" i="7"/>
  <c r="U114" i="7"/>
  <c r="T114" i="7"/>
  <c r="P114" i="7"/>
  <c r="O114" i="7"/>
  <c r="N114" i="7"/>
  <c r="J114" i="7"/>
  <c r="I114" i="7"/>
  <c r="H114" i="7"/>
  <c r="D114" i="7"/>
  <c r="C114" i="7"/>
  <c r="B114" i="7"/>
  <c r="V113" i="7"/>
  <c r="U113" i="7"/>
  <c r="T113" i="7"/>
  <c r="P113" i="7"/>
  <c r="O113" i="7"/>
  <c r="N113" i="7"/>
  <c r="J113" i="7"/>
  <c r="I113" i="7"/>
  <c r="H113" i="7"/>
  <c r="D113" i="7"/>
  <c r="C113" i="7"/>
  <c r="B113" i="7"/>
  <c r="V112" i="7"/>
  <c r="U112" i="7"/>
  <c r="T112" i="7"/>
  <c r="P112" i="7"/>
  <c r="O112" i="7"/>
  <c r="N112" i="7"/>
  <c r="J112" i="7"/>
  <c r="I112" i="7"/>
  <c r="H112" i="7"/>
  <c r="D112" i="7"/>
  <c r="C112" i="7"/>
  <c r="B112" i="7"/>
  <c r="V111" i="7"/>
  <c r="U111" i="7"/>
  <c r="T111" i="7"/>
  <c r="P111" i="7"/>
  <c r="O111" i="7"/>
  <c r="N111" i="7"/>
  <c r="J111" i="7"/>
  <c r="I111" i="7"/>
  <c r="H111" i="7"/>
  <c r="D111" i="7"/>
  <c r="C111" i="7"/>
  <c r="B111" i="7"/>
  <c r="V110" i="7"/>
  <c r="U110" i="7"/>
  <c r="T110" i="7"/>
  <c r="P110" i="7"/>
  <c r="O110" i="7"/>
  <c r="N110" i="7"/>
  <c r="J110" i="7"/>
  <c r="I110" i="7"/>
  <c r="H110" i="7"/>
  <c r="D110" i="7"/>
  <c r="C110" i="7"/>
  <c r="B110" i="7"/>
  <c r="V109" i="7"/>
  <c r="U109" i="7"/>
  <c r="T109" i="7"/>
  <c r="P109" i="7"/>
  <c r="O109" i="7"/>
  <c r="N109" i="7"/>
  <c r="J109" i="7"/>
  <c r="I109" i="7"/>
  <c r="H109" i="7"/>
  <c r="D109" i="7"/>
  <c r="C109" i="7"/>
  <c r="B109" i="7"/>
  <c r="V108" i="7"/>
  <c r="U108" i="7"/>
  <c r="T108" i="7"/>
  <c r="P108" i="7"/>
  <c r="O108" i="7"/>
  <c r="N108" i="7"/>
  <c r="J108" i="7"/>
  <c r="I108" i="7"/>
  <c r="H108" i="7"/>
  <c r="D108" i="7"/>
  <c r="C108" i="7"/>
  <c r="B108" i="7"/>
  <c r="V107" i="7"/>
  <c r="U107" i="7"/>
  <c r="T107" i="7"/>
  <c r="P107" i="7"/>
  <c r="O107" i="7"/>
  <c r="N107" i="7"/>
  <c r="J107" i="7"/>
  <c r="I107" i="7"/>
  <c r="H107" i="7"/>
  <c r="D107" i="7"/>
  <c r="C107" i="7"/>
  <c r="B107" i="7"/>
  <c r="V106" i="7"/>
  <c r="U106" i="7"/>
  <c r="T106" i="7"/>
  <c r="P106" i="7"/>
  <c r="O106" i="7"/>
  <c r="N106" i="7"/>
  <c r="J106" i="7"/>
  <c r="I106" i="7"/>
  <c r="H106" i="7"/>
  <c r="D106" i="7"/>
  <c r="C106" i="7"/>
  <c r="B106" i="7"/>
  <c r="V105" i="7"/>
  <c r="U105" i="7"/>
  <c r="T105" i="7"/>
  <c r="P105" i="7"/>
  <c r="O105" i="7"/>
  <c r="N105" i="7"/>
  <c r="J105" i="7"/>
  <c r="I105" i="7"/>
  <c r="H105" i="7"/>
  <c r="D105" i="7"/>
  <c r="C105" i="7"/>
  <c r="B105" i="7"/>
  <c r="V104" i="7"/>
  <c r="U104" i="7"/>
  <c r="T104" i="7"/>
  <c r="P104" i="7"/>
  <c r="O104" i="7"/>
  <c r="N104" i="7"/>
  <c r="J104" i="7"/>
  <c r="I104" i="7"/>
  <c r="H104" i="7"/>
  <c r="D104" i="7"/>
  <c r="C104" i="7"/>
  <c r="B104" i="7"/>
  <c r="V103" i="7"/>
  <c r="U103" i="7"/>
  <c r="T103" i="7"/>
  <c r="P103" i="7"/>
  <c r="O103" i="7"/>
  <c r="N103" i="7"/>
  <c r="J103" i="7"/>
  <c r="I103" i="7"/>
  <c r="H103" i="7"/>
  <c r="D103" i="7"/>
  <c r="C103" i="7"/>
  <c r="B103" i="7"/>
  <c r="V102" i="7"/>
  <c r="U102" i="7"/>
  <c r="T102" i="7"/>
  <c r="P102" i="7"/>
  <c r="O102" i="7"/>
  <c r="N102" i="7"/>
  <c r="J102" i="7"/>
  <c r="I102" i="7"/>
  <c r="H102" i="7"/>
  <c r="D102" i="7"/>
  <c r="C102" i="7"/>
  <c r="B102" i="7"/>
  <c r="V101" i="7"/>
  <c r="U101" i="7"/>
  <c r="T101" i="7"/>
  <c r="P101" i="7"/>
  <c r="O101" i="7"/>
  <c r="N101" i="7"/>
  <c r="J101" i="7"/>
  <c r="I101" i="7"/>
  <c r="H101" i="7"/>
  <c r="D101" i="7"/>
  <c r="C101" i="7"/>
  <c r="B101" i="7"/>
  <c r="V100" i="7"/>
  <c r="U100" i="7"/>
  <c r="T100" i="7"/>
  <c r="P100" i="7"/>
  <c r="O100" i="7"/>
  <c r="N100" i="7"/>
  <c r="J100" i="7"/>
  <c r="I100" i="7"/>
  <c r="H100" i="7"/>
  <c r="D100" i="7"/>
  <c r="C100" i="7"/>
  <c r="B100" i="7"/>
  <c r="V99" i="7"/>
  <c r="U99" i="7"/>
  <c r="T99" i="7"/>
  <c r="P99" i="7"/>
  <c r="O99" i="7"/>
  <c r="N99" i="7"/>
  <c r="J99" i="7"/>
  <c r="I99" i="7"/>
  <c r="H99" i="7"/>
  <c r="D99" i="7"/>
  <c r="C99" i="7"/>
  <c r="B99" i="7"/>
  <c r="V98" i="7"/>
  <c r="U98" i="7"/>
  <c r="T98" i="7"/>
  <c r="P98" i="7"/>
  <c r="O98" i="7"/>
  <c r="N98" i="7"/>
  <c r="J98" i="7"/>
  <c r="I98" i="7"/>
  <c r="H98" i="7"/>
  <c r="D98" i="7"/>
  <c r="C98" i="7"/>
  <c r="B98" i="7"/>
  <c r="V97" i="7"/>
  <c r="U97" i="7"/>
  <c r="T97" i="7"/>
  <c r="P97" i="7"/>
  <c r="O97" i="7"/>
  <c r="N97" i="7"/>
  <c r="J97" i="7"/>
  <c r="I97" i="7"/>
  <c r="H97" i="7"/>
  <c r="D97" i="7"/>
  <c r="C97" i="7"/>
  <c r="B97" i="7"/>
  <c r="V96" i="7"/>
  <c r="U96" i="7"/>
  <c r="T96" i="7"/>
  <c r="P96" i="7"/>
  <c r="O96" i="7"/>
  <c r="N96" i="7"/>
  <c r="J96" i="7"/>
  <c r="I96" i="7"/>
  <c r="H96" i="7"/>
  <c r="D96" i="7"/>
  <c r="C96" i="7"/>
  <c r="B96" i="7"/>
  <c r="V95" i="7"/>
  <c r="U95" i="7"/>
  <c r="T95" i="7"/>
  <c r="P95" i="7"/>
  <c r="O95" i="7"/>
  <c r="N95" i="7"/>
  <c r="J95" i="7"/>
  <c r="I95" i="7"/>
  <c r="H95" i="7"/>
  <c r="D95" i="7"/>
  <c r="C95" i="7"/>
  <c r="B95" i="7"/>
  <c r="V94" i="7"/>
  <c r="U94" i="7"/>
  <c r="T94" i="7"/>
  <c r="P94" i="7"/>
  <c r="O94" i="7"/>
  <c r="N94" i="7"/>
  <c r="J94" i="7"/>
  <c r="I94" i="7"/>
  <c r="H94" i="7"/>
  <c r="D94" i="7"/>
  <c r="C94" i="7"/>
  <c r="B94" i="7"/>
  <c r="V93" i="7"/>
  <c r="U93" i="7"/>
  <c r="T93" i="7"/>
  <c r="P93" i="7"/>
  <c r="O93" i="7"/>
  <c r="N93" i="7"/>
  <c r="D93" i="7"/>
  <c r="C93" i="7"/>
  <c r="B93" i="7"/>
  <c r="V92" i="7"/>
  <c r="U92" i="7"/>
  <c r="T92" i="7"/>
  <c r="P92" i="7"/>
  <c r="O92" i="7"/>
  <c r="N92" i="7"/>
  <c r="I92" i="7"/>
  <c r="H92" i="7"/>
  <c r="D92" i="7"/>
  <c r="C92" i="7"/>
  <c r="B92" i="7"/>
  <c r="V91" i="7"/>
  <c r="U91" i="7"/>
  <c r="T91" i="7"/>
  <c r="P91" i="7"/>
  <c r="O91" i="7"/>
  <c r="N91" i="7"/>
  <c r="J91" i="7"/>
  <c r="I91" i="7"/>
  <c r="D91" i="7"/>
  <c r="C91" i="7"/>
  <c r="B91" i="7"/>
  <c r="V90" i="7"/>
  <c r="U90" i="7"/>
  <c r="T90" i="7"/>
  <c r="P90" i="7"/>
  <c r="O90" i="7"/>
  <c r="N90" i="7"/>
  <c r="I90" i="7"/>
  <c r="D90" i="7"/>
  <c r="C90" i="7"/>
  <c r="B90" i="7"/>
  <c r="V89" i="7"/>
  <c r="U89" i="7"/>
  <c r="T89" i="7"/>
  <c r="P89" i="7"/>
  <c r="O89" i="7"/>
  <c r="N89" i="7"/>
  <c r="D89" i="7"/>
  <c r="C89" i="7"/>
  <c r="B89" i="7"/>
  <c r="V88" i="7"/>
  <c r="U88" i="7"/>
  <c r="T88" i="7"/>
  <c r="P88" i="7"/>
  <c r="O88" i="7"/>
  <c r="N88" i="7"/>
  <c r="C88" i="7"/>
  <c r="B88" i="7"/>
  <c r="V87" i="7"/>
  <c r="U87" i="7"/>
  <c r="T87" i="7"/>
  <c r="P87" i="7"/>
  <c r="O87" i="7"/>
  <c r="N87" i="7"/>
  <c r="H87" i="7"/>
  <c r="D87" i="7"/>
  <c r="C87" i="7"/>
  <c r="V86" i="7"/>
  <c r="U86" i="7"/>
  <c r="T86" i="7"/>
  <c r="P86" i="7"/>
  <c r="O86" i="7"/>
  <c r="N86" i="7"/>
  <c r="J86" i="7"/>
  <c r="I86" i="7"/>
  <c r="H86" i="7"/>
  <c r="C86" i="7"/>
  <c r="V85" i="7"/>
  <c r="U85" i="7"/>
  <c r="T85" i="7"/>
  <c r="P85" i="7"/>
  <c r="O85" i="7"/>
  <c r="N85" i="7"/>
  <c r="J85" i="7"/>
  <c r="H85" i="7"/>
  <c r="V84" i="7"/>
  <c r="U84" i="7"/>
  <c r="T84" i="7"/>
  <c r="P84" i="7"/>
  <c r="O84" i="7"/>
  <c r="N84" i="7"/>
  <c r="I84" i="7"/>
  <c r="V83" i="7"/>
  <c r="U83" i="7"/>
  <c r="T83" i="7"/>
  <c r="P83" i="7"/>
  <c r="O83" i="7"/>
  <c r="N83" i="7"/>
  <c r="J83" i="7"/>
  <c r="V82" i="7"/>
  <c r="U82" i="7"/>
  <c r="T82" i="7"/>
  <c r="P82" i="7"/>
  <c r="O82" i="7"/>
  <c r="N82" i="7"/>
  <c r="B82" i="7"/>
  <c r="V81" i="7"/>
  <c r="U81" i="7"/>
  <c r="T81" i="7"/>
  <c r="P81" i="7"/>
  <c r="O81" i="7"/>
  <c r="N81" i="7"/>
  <c r="D81" i="7"/>
  <c r="C81" i="7"/>
  <c r="B81" i="7"/>
  <c r="T80" i="7"/>
  <c r="P80" i="7"/>
  <c r="O80" i="7"/>
  <c r="N80" i="7"/>
  <c r="H80" i="7"/>
  <c r="D80" i="7"/>
  <c r="C80" i="7"/>
  <c r="U79" i="7"/>
  <c r="P79" i="7"/>
  <c r="O79" i="7"/>
  <c r="N79" i="7"/>
  <c r="I79" i="7"/>
  <c r="H79" i="7"/>
  <c r="C79" i="7"/>
  <c r="V78" i="7"/>
  <c r="P78" i="7"/>
  <c r="O78" i="7"/>
  <c r="N78" i="7"/>
  <c r="J78" i="7"/>
  <c r="H78" i="7"/>
  <c r="D78" i="7"/>
  <c r="B78" i="7"/>
  <c r="P77" i="7"/>
  <c r="O77" i="7"/>
  <c r="N77" i="7"/>
  <c r="J77" i="7"/>
  <c r="I77" i="7"/>
  <c r="D77" i="7"/>
  <c r="P76" i="7"/>
  <c r="O76" i="7"/>
  <c r="N76" i="7"/>
  <c r="I76" i="7"/>
  <c r="T75" i="7"/>
  <c r="P75" i="7"/>
  <c r="O75" i="7"/>
  <c r="N75" i="7"/>
  <c r="J75" i="7"/>
  <c r="U74" i="7"/>
  <c r="T74" i="7"/>
  <c r="P74" i="7"/>
  <c r="O74" i="7"/>
  <c r="N74" i="7"/>
  <c r="V73" i="7"/>
  <c r="U73" i="7"/>
  <c r="T73" i="7"/>
  <c r="P73" i="7"/>
  <c r="O73" i="7"/>
  <c r="N73" i="7"/>
  <c r="B73" i="7"/>
  <c r="V72" i="7"/>
  <c r="U72" i="7"/>
  <c r="P72" i="7"/>
  <c r="O72" i="7"/>
  <c r="N72" i="7"/>
  <c r="D72" i="7"/>
  <c r="C72" i="7"/>
  <c r="B72" i="7"/>
  <c r="U71" i="7"/>
  <c r="P71" i="7"/>
  <c r="O71" i="7"/>
  <c r="N71" i="7"/>
  <c r="I71" i="7"/>
  <c r="H71" i="7"/>
  <c r="D71" i="7"/>
  <c r="B71" i="7"/>
  <c r="P70" i="7"/>
  <c r="O70" i="7"/>
  <c r="N70" i="7"/>
  <c r="J70" i="7"/>
  <c r="I70" i="7"/>
  <c r="H70" i="7"/>
  <c r="C70" i="7"/>
  <c r="P69" i="7"/>
  <c r="O69" i="7"/>
  <c r="N69" i="7"/>
  <c r="J69" i="7"/>
  <c r="I69" i="7"/>
  <c r="C69" i="7"/>
  <c r="P68" i="7"/>
  <c r="O68" i="7"/>
  <c r="N68" i="7"/>
  <c r="J68" i="7"/>
  <c r="D68" i="7"/>
  <c r="P67" i="7"/>
  <c r="O67" i="7"/>
  <c r="N67" i="7"/>
  <c r="I67" i="7"/>
  <c r="U66" i="7"/>
  <c r="T66" i="7"/>
  <c r="P66" i="7"/>
  <c r="O66" i="7"/>
  <c r="N66" i="7"/>
  <c r="B66" i="7"/>
  <c r="V65" i="7"/>
  <c r="T65" i="7"/>
  <c r="O65" i="7"/>
  <c r="C65" i="7"/>
  <c r="V64" i="7"/>
  <c r="U64" i="7"/>
  <c r="P64" i="7"/>
  <c r="C64" i="7"/>
  <c r="B64" i="7"/>
  <c r="V63" i="7"/>
  <c r="T63" i="7"/>
  <c r="D63" i="7"/>
  <c r="C63" i="7"/>
  <c r="B63" i="7"/>
  <c r="U62" i="7"/>
  <c r="H62" i="7"/>
  <c r="D62" i="7"/>
  <c r="C62" i="7"/>
  <c r="V61" i="7"/>
  <c r="I61" i="7"/>
  <c r="H61" i="7"/>
  <c r="D61" i="7"/>
  <c r="B61" i="7"/>
  <c r="J60" i="7"/>
  <c r="I60" i="7"/>
  <c r="H60" i="7"/>
  <c r="C60" i="7"/>
  <c r="N59" i="7"/>
  <c r="J59" i="7"/>
  <c r="I59" i="7"/>
  <c r="C59" i="7"/>
  <c r="O58" i="7"/>
  <c r="N58" i="7"/>
  <c r="J58" i="7"/>
  <c r="D58" i="7"/>
  <c r="P57" i="7"/>
  <c r="O57" i="7"/>
  <c r="J57" i="7"/>
  <c r="H57" i="7"/>
  <c r="T56" i="7"/>
  <c r="O56" i="7"/>
  <c r="N56" i="7"/>
  <c r="I56" i="7"/>
  <c r="T55" i="7"/>
  <c r="P55" i="7"/>
  <c r="O55" i="7"/>
  <c r="J55" i="7"/>
  <c r="U54" i="7"/>
  <c r="T54" i="7"/>
  <c r="P54" i="7"/>
  <c r="N54" i="7"/>
  <c r="V53" i="7"/>
  <c r="U53" i="7"/>
  <c r="T53" i="7"/>
  <c r="O53" i="7"/>
  <c r="B53" i="7"/>
  <c r="V52" i="7"/>
  <c r="U52" i="7"/>
  <c r="P52" i="7"/>
  <c r="C52" i="7"/>
  <c r="B52" i="7"/>
  <c r="V51" i="7"/>
  <c r="T51" i="7"/>
  <c r="D51" i="7"/>
  <c r="C51" i="7"/>
  <c r="B51" i="7"/>
  <c r="T50" i="7"/>
  <c r="H50" i="7"/>
  <c r="D50" i="7"/>
  <c r="C50" i="7"/>
  <c r="U49" i="7"/>
  <c r="I49" i="7"/>
  <c r="H49" i="7"/>
  <c r="C49" i="7"/>
  <c r="V48" i="7"/>
  <c r="J48" i="7"/>
  <c r="H48" i="7"/>
  <c r="D48" i="7"/>
  <c r="B48" i="7"/>
  <c r="J47" i="7"/>
  <c r="I47" i="7"/>
  <c r="H47" i="7"/>
  <c r="C47" i="7"/>
  <c r="N46" i="7"/>
  <c r="J46" i="7"/>
  <c r="I46" i="7"/>
  <c r="D46" i="7"/>
  <c r="O45" i="7"/>
  <c r="N45" i="7"/>
  <c r="J45" i="7"/>
  <c r="H45" i="7"/>
  <c r="P44" i="7"/>
  <c r="O44" i="7"/>
  <c r="N44" i="7"/>
  <c r="I44" i="7"/>
  <c r="T43" i="7"/>
  <c r="P43" i="7"/>
  <c r="O43" i="7"/>
  <c r="J43" i="7"/>
  <c r="U42" i="7"/>
  <c r="T42" i="7"/>
  <c r="P42" i="7"/>
  <c r="J42" i="7"/>
  <c r="V41" i="7"/>
  <c r="U41" i="7"/>
  <c r="T41" i="7"/>
  <c r="N41" i="7"/>
  <c r="B41" i="7"/>
  <c r="V40" i="7"/>
  <c r="T40" i="7"/>
  <c r="O40" i="7"/>
  <c r="C40" i="7"/>
  <c r="V39" i="7"/>
  <c r="U39" i="7"/>
  <c r="P39" i="7"/>
  <c r="C39" i="7"/>
  <c r="B39" i="7"/>
  <c r="V38" i="7"/>
  <c r="T38" i="7"/>
  <c r="D38" i="7"/>
  <c r="C38" i="7"/>
  <c r="B38" i="7"/>
  <c r="U37" i="7"/>
  <c r="H37" i="7"/>
  <c r="D37" i="7"/>
  <c r="C37" i="7"/>
  <c r="V36" i="7"/>
  <c r="I36" i="7"/>
  <c r="H36" i="7"/>
  <c r="D36" i="7"/>
  <c r="B36" i="7"/>
  <c r="J35" i="7"/>
  <c r="I35" i="7"/>
  <c r="H35" i="7"/>
  <c r="C35" i="7"/>
  <c r="N34" i="7"/>
  <c r="J34" i="7"/>
  <c r="I34" i="7"/>
  <c r="C34" i="7"/>
  <c r="O33" i="7"/>
  <c r="N33" i="7"/>
  <c r="J33" i="7"/>
  <c r="D33" i="7"/>
  <c r="P32" i="7"/>
  <c r="O32" i="7"/>
  <c r="J32" i="7"/>
  <c r="H32" i="7"/>
  <c r="T31" i="7"/>
  <c r="O31" i="7"/>
  <c r="N31" i="7"/>
  <c r="I31" i="7"/>
  <c r="T30" i="7"/>
  <c r="P30" i="7"/>
  <c r="O30" i="7"/>
  <c r="J30" i="7"/>
  <c r="U29" i="7"/>
  <c r="T29" i="7"/>
  <c r="P29" i="7"/>
  <c r="N29" i="7"/>
  <c r="V28" i="7"/>
  <c r="U28" i="7"/>
  <c r="T28" i="7"/>
  <c r="O28" i="7"/>
  <c r="B28" i="7"/>
  <c r="V27" i="7"/>
  <c r="U27" i="7"/>
  <c r="P27" i="7"/>
  <c r="C27" i="7"/>
  <c r="B27" i="7"/>
  <c r="V26" i="7"/>
  <c r="T26" i="7"/>
  <c r="D26" i="7"/>
  <c r="C26" i="7"/>
  <c r="B26" i="7"/>
  <c r="T25" i="7"/>
  <c r="H25" i="7"/>
  <c r="D25" i="7"/>
  <c r="C25" i="7"/>
  <c r="U24" i="7"/>
  <c r="I24" i="7"/>
  <c r="H24" i="7"/>
  <c r="C24" i="7"/>
  <c r="V23" i="7"/>
  <c r="J23" i="7"/>
  <c r="I23" i="7"/>
  <c r="H23" i="7"/>
  <c r="C23" i="7"/>
  <c r="O22" i="7"/>
  <c r="N22" i="7"/>
  <c r="J22" i="7"/>
  <c r="H22" i="7"/>
  <c r="T21" i="7"/>
  <c r="P21" i="7"/>
  <c r="O21" i="7"/>
  <c r="J21" i="7"/>
  <c r="V20" i="7"/>
  <c r="U20" i="7"/>
  <c r="T20" i="7"/>
  <c r="O20" i="7"/>
  <c r="C20" i="7"/>
  <c r="B20" i="7"/>
  <c r="V19" i="7"/>
  <c r="T19" i="7"/>
  <c r="H19" i="7"/>
  <c r="D19" i="7"/>
  <c r="C19" i="7"/>
  <c r="V18" i="7"/>
  <c r="J18" i="7"/>
  <c r="I18" i="7"/>
  <c r="H18" i="7"/>
  <c r="C18" i="7"/>
  <c r="O17" i="7"/>
  <c r="N17" i="7"/>
  <c r="J17" i="7"/>
  <c r="H17" i="7"/>
  <c r="T16" i="7"/>
  <c r="P16" i="7"/>
  <c r="O16" i="7"/>
  <c r="J16" i="7"/>
  <c r="V15" i="7"/>
  <c r="U15" i="7"/>
  <c r="T15" i="7"/>
  <c r="O15" i="7"/>
  <c r="C15" i="7"/>
  <c r="B15" i="7"/>
  <c r="V14" i="7"/>
  <c r="T14" i="7"/>
  <c r="H14" i="7"/>
  <c r="D14" i="7"/>
  <c r="C14" i="7"/>
  <c r="V13" i="7"/>
  <c r="J13" i="7"/>
  <c r="I13" i="7"/>
  <c r="H13" i="7"/>
  <c r="C13" i="7"/>
  <c r="O12" i="7"/>
  <c r="N12" i="7"/>
  <c r="J12" i="7"/>
  <c r="H12" i="7"/>
  <c r="T11" i="7"/>
  <c r="P11" i="7"/>
  <c r="O11" i="7"/>
  <c r="J11" i="7"/>
  <c r="V10" i="7"/>
  <c r="U10" i="7"/>
  <c r="T10" i="7"/>
  <c r="O10" i="7"/>
  <c r="C10" i="7"/>
  <c r="B10" i="7"/>
  <c r="V9" i="7"/>
  <c r="T9" i="7"/>
  <c r="H9" i="7"/>
  <c r="D9" i="7"/>
  <c r="C9" i="7"/>
  <c r="V8" i="7"/>
  <c r="J8" i="7"/>
  <c r="I8" i="7"/>
  <c r="H8" i="7"/>
  <c r="C8" i="7"/>
  <c r="O7" i="7"/>
  <c r="N7" i="7"/>
  <c r="J7" i="7"/>
  <c r="H7" i="7"/>
  <c r="S6" i="7" a="1"/>
  <c r="M6" i="7" a="1"/>
  <c r="G6" i="7" a="1"/>
  <c r="A6" i="7" a="1"/>
  <c r="K111" i="6" a="1"/>
  <c r="K111" i="6" s="1"/>
  <c r="J111" i="6" a="1"/>
  <c r="J111" i="6" s="1"/>
  <c r="G111" i="6" a="1"/>
  <c r="G111" i="6" s="1"/>
  <c r="F111" i="6" a="1"/>
  <c r="F111" i="6" s="1"/>
  <c r="K110" i="6" a="1"/>
  <c r="K110" i="6" s="1"/>
  <c r="J110" i="6" a="1"/>
  <c r="J110" i="6" s="1"/>
  <c r="G110" i="6" a="1"/>
  <c r="G110" i="6" s="1"/>
  <c r="F110" i="6" a="1"/>
  <c r="F110" i="6" s="1"/>
  <c r="K109" i="6" a="1"/>
  <c r="K109" i="6" s="1"/>
  <c r="J109" i="6" a="1"/>
  <c r="J109" i="6" s="1"/>
  <c r="G109" i="6" a="1"/>
  <c r="G109" i="6" s="1"/>
  <c r="F109" i="6" a="1"/>
  <c r="F109" i="6" s="1"/>
  <c r="K108" i="6" a="1"/>
  <c r="K108" i="6" s="1"/>
  <c r="J108" i="6" a="1"/>
  <c r="J108" i="6" s="1"/>
  <c r="G108" i="6" a="1"/>
  <c r="G108" i="6" s="1"/>
  <c r="F108" i="6" a="1"/>
  <c r="F108" i="6" s="1"/>
  <c r="K107" i="6" a="1"/>
  <c r="K107" i="6" s="1"/>
  <c r="J107" i="6" a="1"/>
  <c r="J107" i="6" s="1"/>
  <c r="G107" i="6" a="1"/>
  <c r="G107" i="6" s="1"/>
  <c r="F107" i="6" a="1"/>
  <c r="F107" i="6" s="1"/>
  <c r="K106" i="6" a="1"/>
  <c r="K106" i="6" s="1"/>
  <c r="J106" i="6" a="1"/>
  <c r="J106" i="6" s="1"/>
  <c r="G106" i="6" a="1"/>
  <c r="G106" i="6" s="1"/>
  <c r="F106" i="6" a="1"/>
  <c r="F106" i="6" s="1"/>
  <c r="K105" i="6" a="1"/>
  <c r="K105" i="6" s="1"/>
  <c r="J105" i="6" a="1"/>
  <c r="J105" i="6" s="1"/>
  <c r="G105" i="6" a="1"/>
  <c r="G105" i="6" s="1"/>
  <c r="F105" i="6" a="1"/>
  <c r="F105" i="6" s="1"/>
  <c r="K104" i="6" a="1"/>
  <c r="K104" i="6" s="1"/>
  <c r="J104" i="6" a="1"/>
  <c r="J104" i="6" s="1"/>
  <c r="G104" i="6" a="1"/>
  <c r="G104" i="6" s="1"/>
  <c r="F104" i="6" a="1"/>
  <c r="F104" i="6" s="1"/>
  <c r="K103" i="6" a="1"/>
  <c r="K103" i="6" s="1"/>
  <c r="J103" i="6" a="1"/>
  <c r="J103" i="6" s="1"/>
  <c r="G103" i="6" a="1"/>
  <c r="G103" i="6" s="1"/>
  <c r="F103" i="6" a="1"/>
  <c r="F103" i="6" s="1"/>
  <c r="K102" i="6" a="1"/>
  <c r="K102" i="6" s="1"/>
  <c r="J102" i="6" a="1"/>
  <c r="J102" i="6" s="1"/>
  <c r="G102" i="6" a="1"/>
  <c r="G102" i="6" s="1"/>
  <c r="F102" i="6" a="1"/>
  <c r="F102" i="6" s="1"/>
  <c r="K101" i="6" a="1"/>
  <c r="K101" i="6" s="1"/>
  <c r="J101" i="6" a="1"/>
  <c r="J101" i="6" s="1"/>
  <c r="G101" i="6" a="1"/>
  <c r="G101" i="6" s="1"/>
  <c r="F101" i="6" a="1"/>
  <c r="F101" i="6" s="1"/>
  <c r="K100" i="6" a="1"/>
  <c r="K100" i="6" s="1"/>
  <c r="J100" i="6" a="1"/>
  <c r="J100" i="6" s="1"/>
  <c r="G100" i="6" a="1"/>
  <c r="G100" i="6" s="1"/>
  <c r="F100" i="6" a="1"/>
  <c r="F100" i="6" s="1"/>
  <c r="K99" i="6" a="1"/>
  <c r="K99" i="6" s="1"/>
  <c r="J99" i="6" a="1"/>
  <c r="J99" i="6" s="1"/>
  <c r="J106" i="9" s="1"/>
  <c r="G99" i="6" a="1"/>
  <c r="G99" i="6" s="1"/>
  <c r="F99" i="6" a="1"/>
  <c r="F99" i="6" s="1"/>
  <c r="K98" i="6" a="1"/>
  <c r="K98" i="6" s="1"/>
  <c r="J98" i="6" a="1"/>
  <c r="J98" i="6" s="1"/>
  <c r="G98" i="6" a="1"/>
  <c r="G98" i="6" s="1"/>
  <c r="F98" i="6" a="1"/>
  <c r="F98" i="6" s="1"/>
  <c r="K97" i="6" a="1"/>
  <c r="K97" i="6" s="1"/>
  <c r="J97" i="6" a="1"/>
  <c r="J97" i="6" s="1"/>
  <c r="G97" i="6" a="1"/>
  <c r="G97" i="6" s="1"/>
  <c r="F97" i="6" a="1"/>
  <c r="F97" i="6" s="1"/>
  <c r="K96" i="6" a="1"/>
  <c r="K96" i="6" s="1"/>
  <c r="J96" i="6" a="1"/>
  <c r="J96" i="6" s="1"/>
  <c r="G96" i="6" a="1"/>
  <c r="G96" i="6" s="1"/>
  <c r="F96" i="6" a="1"/>
  <c r="F96" i="6" s="1"/>
  <c r="K95" i="6" a="1"/>
  <c r="K95" i="6" s="1"/>
  <c r="J95" i="6" a="1"/>
  <c r="J95" i="6" s="1"/>
  <c r="G95" i="6" a="1"/>
  <c r="G95" i="6" s="1"/>
  <c r="F95" i="6" a="1"/>
  <c r="F95" i="6" s="1"/>
  <c r="K94" i="6" a="1"/>
  <c r="K94" i="6" s="1"/>
  <c r="J94" i="6" a="1"/>
  <c r="J94" i="6" s="1"/>
  <c r="J101" i="9" s="1"/>
  <c r="G94" i="6" a="1"/>
  <c r="G94" i="6" s="1"/>
  <c r="F94" i="6" a="1"/>
  <c r="F94" i="6" s="1"/>
  <c r="K93" i="6" a="1"/>
  <c r="K93" i="6" s="1"/>
  <c r="J93" i="6" a="1"/>
  <c r="J93" i="6" s="1"/>
  <c r="G93" i="6" a="1"/>
  <c r="G93" i="6" s="1"/>
  <c r="F93" i="6" a="1"/>
  <c r="F93" i="6" s="1"/>
  <c r="U92" i="6" a="1"/>
  <c r="U92" i="6" s="1"/>
  <c r="T92" i="6" a="1"/>
  <c r="T92" i="6" s="1"/>
  <c r="S92" i="6" a="1"/>
  <c r="S92" i="6" s="1"/>
  <c r="R92" i="6" a="1"/>
  <c r="R92" i="6" s="1"/>
  <c r="Q92" i="6" a="1"/>
  <c r="Q92" i="6" s="1"/>
  <c r="P92" i="6" a="1"/>
  <c r="P92" i="6" s="1"/>
  <c r="O92" i="6" a="1"/>
  <c r="O92" i="6" s="1"/>
  <c r="N92" i="6" a="1"/>
  <c r="N92" i="6" s="1"/>
  <c r="M92" i="6" a="1"/>
  <c r="M92" i="6" s="1"/>
  <c r="L92" i="6" a="1"/>
  <c r="L92" i="6" s="1"/>
  <c r="K92" i="6" a="1"/>
  <c r="K92" i="6" s="1"/>
  <c r="J92" i="6" a="1"/>
  <c r="J92" i="6" s="1"/>
  <c r="I92" i="6" a="1"/>
  <c r="I92" i="6" s="1"/>
  <c r="H92" i="6" a="1"/>
  <c r="H92" i="6" s="1"/>
  <c r="G92" i="6" a="1"/>
  <c r="G92" i="6" s="1"/>
  <c r="F92" i="6" a="1"/>
  <c r="F92" i="6" s="1"/>
  <c r="U91" i="6" a="1"/>
  <c r="U91" i="6" s="1"/>
  <c r="T91" i="6" a="1"/>
  <c r="T91" i="6" s="1"/>
  <c r="S91" i="6" a="1"/>
  <c r="S91" i="6" s="1"/>
  <c r="R91" i="6" a="1"/>
  <c r="R91" i="6" s="1"/>
  <c r="Q91" i="6" a="1"/>
  <c r="Q91" i="6" s="1"/>
  <c r="P91" i="6" a="1"/>
  <c r="P91" i="6" s="1"/>
  <c r="O91" i="6" a="1"/>
  <c r="O91" i="6" s="1"/>
  <c r="N91" i="6" a="1"/>
  <c r="N91" i="6" s="1"/>
  <c r="M91" i="6" a="1"/>
  <c r="M91" i="6" s="1"/>
  <c r="L91" i="6" a="1"/>
  <c r="L91" i="6" s="1"/>
  <c r="K91" i="6" a="1"/>
  <c r="K91" i="6" s="1"/>
  <c r="J91" i="6" a="1"/>
  <c r="J91" i="6" s="1"/>
  <c r="I91" i="6" a="1"/>
  <c r="I91" i="6" s="1"/>
  <c r="H91" i="6" a="1"/>
  <c r="H91" i="6" s="1"/>
  <c r="G91" i="6" a="1"/>
  <c r="G91" i="6" s="1"/>
  <c r="F91" i="6" a="1"/>
  <c r="F91" i="6" s="1"/>
  <c r="U90" i="6" a="1"/>
  <c r="U90" i="6" s="1"/>
  <c r="T90" i="6" a="1"/>
  <c r="T90" i="6" s="1"/>
  <c r="S90" i="6" a="1"/>
  <c r="S90" i="6" s="1"/>
  <c r="R90" i="6" a="1"/>
  <c r="R90" i="6" s="1"/>
  <c r="Q90" i="6" a="1"/>
  <c r="Q90" i="6" s="1"/>
  <c r="P90" i="6" a="1"/>
  <c r="P90" i="6" s="1"/>
  <c r="O90" i="6" a="1"/>
  <c r="O90" i="6" s="1"/>
  <c r="N90" i="6" a="1"/>
  <c r="N90" i="6" s="1"/>
  <c r="M90" i="6" a="1"/>
  <c r="M90" i="6" s="1"/>
  <c r="L90" i="6" a="1"/>
  <c r="L90" i="6" s="1"/>
  <c r="K90" i="6" a="1"/>
  <c r="K90" i="6" s="1"/>
  <c r="J90" i="6" a="1"/>
  <c r="J90" i="6" s="1"/>
  <c r="I90" i="6"/>
  <c r="H90" i="6"/>
  <c r="G90" i="6" a="1"/>
  <c r="G90" i="6" s="1"/>
  <c r="F90" i="6" a="1"/>
  <c r="F90" i="6" s="1"/>
  <c r="K89" i="6" a="1"/>
  <c r="K89" i="6" s="1"/>
  <c r="J89" i="6"/>
  <c r="J89" i="6" a="1"/>
  <c r="G89" i="6"/>
  <c r="G89" i="6" a="1"/>
  <c r="F89" i="6" a="1"/>
  <c r="F89" i="6" s="1"/>
  <c r="K88" i="6" a="1"/>
  <c r="K88" i="6" s="1"/>
  <c r="J88" i="6" a="1"/>
  <c r="J88" i="6" s="1"/>
  <c r="G88" i="6" a="1"/>
  <c r="G88" i="6" s="1"/>
  <c r="F88" i="6" a="1"/>
  <c r="F88" i="6" s="1"/>
  <c r="K87" i="6" a="1"/>
  <c r="K87" i="6" s="1"/>
  <c r="J87" i="6" a="1"/>
  <c r="J87" i="6" s="1"/>
  <c r="G87" i="6" a="1"/>
  <c r="G87" i="6" s="1"/>
  <c r="F87" i="6"/>
  <c r="F87" i="6" a="1"/>
  <c r="K86" i="6"/>
  <c r="K86" i="6" a="1"/>
  <c r="J86" i="6" a="1"/>
  <c r="J86" i="6" s="1"/>
  <c r="G86" i="6" a="1"/>
  <c r="G86" i="6" s="1"/>
  <c r="F86" i="6" a="1"/>
  <c r="F86" i="6" s="1"/>
  <c r="K85" i="6" a="1"/>
  <c r="K85" i="6" s="1"/>
  <c r="J85" i="6" a="1"/>
  <c r="J85" i="6" s="1"/>
  <c r="G85" i="6" a="1"/>
  <c r="G85" i="6" s="1"/>
  <c r="F85" i="6" a="1"/>
  <c r="F85" i="6" s="1"/>
  <c r="K84" i="6" a="1"/>
  <c r="K84" i="6" s="1"/>
  <c r="J84" i="6"/>
  <c r="J84" i="6" a="1"/>
  <c r="G84" i="6"/>
  <c r="G84" i="6" a="1"/>
  <c r="F84" i="6" a="1"/>
  <c r="F84" i="6" s="1"/>
  <c r="K83" i="6" a="1"/>
  <c r="K83" i="6" s="1"/>
  <c r="J83" i="6" a="1"/>
  <c r="J83" i="6" s="1"/>
  <c r="G83" i="6" a="1"/>
  <c r="G83" i="6" s="1"/>
  <c r="F83" i="6" a="1"/>
  <c r="F83" i="6" s="1"/>
  <c r="K82" i="6" a="1"/>
  <c r="K82" i="6" s="1"/>
  <c r="J82" i="6" a="1"/>
  <c r="J82" i="6" s="1"/>
  <c r="G82" i="6" a="1"/>
  <c r="G82" i="6" s="1"/>
  <c r="F82" i="6"/>
  <c r="F82" i="6" a="1"/>
  <c r="K81" i="6"/>
  <c r="K81" i="6" a="1"/>
  <c r="J81" i="6" a="1"/>
  <c r="J81" i="6" s="1"/>
  <c r="G81" i="6" a="1"/>
  <c r="G81" i="6" s="1"/>
  <c r="F81" i="6" a="1"/>
  <c r="F81" i="6" s="1"/>
  <c r="K80" i="6" a="1"/>
  <c r="K80" i="6" s="1"/>
  <c r="J80" i="6" a="1"/>
  <c r="J80" i="6" s="1"/>
  <c r="G80" i="6" a="1"/>
  <c r="G80" i="6" s="1"/>
  <c r="F80" i="6" a="1"/>
  <c r="F80" i="6" s="1"/>
  <c r="K79" i="6" a="1"/>
  <c r="K79" i="6" s="1"/>
  <c r="J79" i="6"/>
  <c r="J79" i="6" a="1"/>
  <c r="G79" i="6"/>
  <c r="G79" i="6" a="1"/>
  <c r="F79" i="6" a="1"/>
  <c r="F79" i="6" s="1"/>
  <c r="K78" i="6" a="1"/>
  <c r="K78" i="6" s="1"/>
  <c r="J78" i="6" a="1"/>
  <c r="J78" i="6" s="1"/>
  <c r="G78" i="6" a="1"/>
  <c r="G78" i="6" s="1"/>
  <c r="F78" i="6" a="1"/>
  <c r="F78" i="6" s="1"/>
  <c r="K77" i="6" a="1"/>
  <c r="K77" i="6" s="1"/>
  <c r="J77" i="6" a="1"/>
  <c r="J77" i="6" s="1"/>
  <c r="G77" i="6" a="1"/>
  <c r="G77" i="6" s="1"/>
  <c r="F77" i="6"/>
  <c r="F77" i="6" a="1"/>
  <c r="K76" i="6"/>
  <c r="K76" i="6" a="1"/>
  <c r="J76" i="6" a="1"/>
  <c r="J76" i="6" s="1"/>
  <c r="G76" i="6" a="1"/>
  <c r="G76" i="6" s="1"/>
  <c r="F76" i="6" a="1"/>
  <c r="F76" i="6" s="1"/>
  <c r="K75" i="6" a="1"/>
  <c r="K75" i="6" s="1"/>
  <c r="J75" i="6" a="1"/>
  <c r="J75" i="6" s="1"/>
  <c r="G75" i="6" a="1"/>
  <c r="G75" i="6" s="1"/>
  <c r="F75" i="6" a="1"/>
  <c r="F75" i="6" s="1"/>
  <c r="K74" i="6" a="1"/>
  <c r="K74" i="6" s="1"/>
  <c r="J74" i="6"/>
  <c r="J74" i="6" a="1"/>
  <c r="G74" i="6"/>
  <c r="G74" i="6" a="1"/>
  <c r="F74" i="6" a="1"/>
  <c r="F74" i="6" s="1"/>
  <c r="K73" i="6" a="1"/>
  <c r="K73" i="6" s="1"/>
  <c r="J73" i="6" a="1"/>
  <c r="J73" i="6" s="1"/>
  <c r="G73" i="6" a="1"/>
  <c r="G73" i="6" s="1"/>
  <c r="F73" i="6" a="1"/>
  <c r="F73" i="6" s="1"/>
  <c r="K72" i="6" a="1"/>
  <c r="K72" i="6" s="1"/>
  <c r="J72" i="6" a="1"/>
  <c r="J72" i="6" s="1"/>
  <c r="G72" i="6" a="1"/>
  <c r="G72" i="6" s="1"/>
  <c r="F72" i="6"/>
  <c r="F72" i="6" a="1"/>
  <c r="K71" i="6"/>
  <c r="K71" i="6" a="1"/>
  <c r="J71" i="6" a="1"/>
  <c r="J71" i="6" s="1"/>
  <c r="G71" i="6" a="1"/>
  <c r="G71" i="6" s="1"/>
  <c r="F71" i="6" a="1"/>
  <c r="F71" i="6" s="1"/>
  <c r="U70" i="6" a="1"/>
  <c r="U70" i="6" s="1"/>
  <c r="U77" i="9" s="1"/>
  <c r="T70" i="6" a="1"/>
  <c r="T70" i="6" s="1"/>
  <c r="S70" i="6" a="1"/>
  <c r="S70" i="6" s="1"/>
  <c r="R70" i="6" a="1"/>
  <c r="R70" i="6" s="1"/>
  <c r="Q70" i="6" a="1"/>
  <c r="Q70" i="6" s="1"/>
  <c r="P70" i="6"/>
  <c r="P70" i="6" a="1"/>
  <c r="O70" i="6"/>
  <c r="O70" i="6" a="1"/>
  <c r="N70" i="6" a="1"/>
  <c r="N70" i="6" s="1"/>
  <c r="M70" i="6" a="1"/>
  <c r="M70" i="6" s="1"/>
  <c r="L70" i="6" a="1"/>
  <c r="L70" i="6" s="1"/>
  <c r="K70" i="6" a="1"/>
  <c r="K70" i="6" s="1"/>
  <c r="J70" i="6" a="1"/>
  <c r="J70" i="6" s="1"/>
  <c r="I70" i="6" a="1"/>
  <c r="I70" i="6" s="1"/>
  <c r="H70" i="6" a="1"/>
  <c r="H70" i="6" s="1"/>
  <c r="G70" i="6" a="1"/>
  <c r="G70" i="6" s="1"/>
  <c r="F70" i="6"/>
  <c r="F70" i="6" a="1"/>
  <c r="U69" i="6"/>
  <c r="U69" i="6" a="1"/>
  <c r="T69" i="6" a="1"/>
  <c r="T69" i="6" s="1"/>
  <c r="S69" i="6" a="1"/>
  <c r="S69" i="6" s="1"/>
  <c r="R69" i="6" a="1"/>
  <c r="R69" i="6" s="1"/>
  <c r="Q69" i="6" a="1"/>
  <c r="Q69" i="6" s="1"/>
  <c r="P69" i="6" a="1"/>
  <c r="P69" i="6" s="1"/>
  <c r="O69" i="6" a="1"/>
  <c r="O69" i="6" s="1"/>
  <c r="N69" i="6" a="1"/>
  <c r="N69" i="6" s="1"/>
  <c r="M69" i="6" a="1"/>
  <c r="M69" i="6" s="1"/>
  <c r="L69" i="6"/>
  <c r="L69" i="6" a="1"/>
  <c r="K69" i="6"/>
  <c r="K69" i="6" a="1"/>
  <c r="J69" i="6" a="1"/>
  <c r="J69" i="6" s="1"/>
  <c r="I69" i="6" a="1"/>
  <c r="I69" i="6" s="1"/>
  <c r="H69" i="6" a="1"/>
  <c r="H69" i="6" s="1"/>
  <c r="G69" i="6" a="1"/>
  <c r="G69" i="6" s="1"/>
  <c r="F69" i="6" a="1"/>
  <c r="F69" i="6" s="1"/>
  <c r="U68" i="6" a="1"/>
  <c r="U68" i="6" s="1"/>
  <c r="T68" i="6" a="1"/>
  <c r="T68" i="6" s="1"/>
  <c r="S68" i="6" a="1"/>
  <c r="S68" i="6" s="1"/>
  <c r="R68" i="6"/>
  <c r="R68" i="6" a="1"/>
  <c r="Q68" i="6"/>
  <c r="Q68" i="6" a="1"/>
  <c r="P68" i="6" a="1"/>
  <c r="P68" i="6" s="1"/>
  <c r="O68" i="6" a="1"/>
  <c r="O68" i="6" s="1"/>
  <c r="N68" i="6" a="1"/>
  <c r="N68" i="6" s="1"/>
  <c r="M68" i="6" a="1"/>
  <c r="M68" i="6" s="1"/>
  <c r="L68" i="6" a="1"/>
  <c r="L68" i="6" s="1"/>
  <c r="K68" i="6" a="1"/>
  <c r="K68" i="6" s="1"/>
  <c r="J68" i="6" a="1"/>
  <c r="J68" i="6" s="1"/>
  <c r="I68" i="6"/>
  <c r="H68" i="6"/>
  <c r="G68" i="6" a="1"/>
  <c r="G68" i="6" s="1"/>
  <c r="F68" i="6" a="1"/>
  <c r="F68" i="6" s="1"/>
  <c r="K67" i="6" a="1"/>
  <c r="K67" i="6" s="1"/>
  <c r="J67" i="6" a="1"/>
  <c r="J67" i="6" s="1"/>
  <c r="G67" i="6" a="1"/>
  <c r="G67" i="6" s="1"/>
  <c r="F67" i="6" a="1"/>
  <c r="F67" i="6" s="1"/>
  <c r="K66" i="6" a="1"/>
  <c r="K66" i="6" s="1"/>
  <c r="J66" i="6" a="1"/>
  <c r="J66" i="6" s="1"/>
  <c r="G66" i="6" a="1"/>
  <c r="G66" i="6" s="1"/>
  <c r="F66" i="6" a="1"/>
  <c r="F66" i="6" s="1"/>
  <c r="K65" i="6" a="1"/>
  <c r="K65" i="6" s="1"/>
  <c r="J65" i="6" a="1"/>
  <c r="J65" i="6" s="1"/>
  <c r="G65" i="6" a="1"/>
  <c r="G65" i="6" s="1"/>
  <c r="F65" i="6" a="1"/>
  <c r="F65" i="6" s="1"/>
  <c r="K64" i="6" a="1"/>
  <c r="K64" i="6" s="1"/>
  <c r="J64" i="6" a="1"/>
  <c r="J64" i="6" s="1"/>
  <c r="G64" i="6" a="1"/>
  <c r="G64" i="6" s="1"/>
  <c r="F64" i="6" a="1"/>
  <c r="F64" i="6" s="1"/>
  <c r="K63" i="6" a="1"/>
  <c r="K63" i="6" s="1"/>
  <c r="J63" i="6" a="1"/>
  <c r="J63" i="6" s="1"/>
  <c r="J70" i="9" s="1"/>
  <c r="G63" i="6" a="1"/>
  <c r="G63" i="6" s="1"/>
  <c r="F63" i="6" a="1"/>
  <c r="F63" i="6" s="1"/>
  <c r="K62" i="6" a="1"/>
  <c r="K62" i="6" s="1"/>
  <c r="J62" i="6" a="1"/>
  <c r="J62" i="6" s="1"/>
  <c r="G62" i="6" a="1"/>
  <c r="G62" i="6" s="1"/>
  <c r="F62" i="6" a="1"/>
  <c r="F62" i="6" s="1"/>
  <c r="K61" i="6" a="1"/>
  <c r="K61" i="6" s="1"/>
  <c r="J61" i="6" a="1"/>
  <c r="J61" i="6" s="1"/>
  <c r="G61" i="6" a="1"/>
  <c r="G61" i="6" s="1"/>
  <c r="F61" i="6" a="1"/>
  <c r="F61" i="6" s="1"/>
  <c r="K60" i="6" a="1"/>
  <c r="K60" i="6" s="1"/>
  <c r="J60" i="6" a="1"/>
  <c r="J60" i="6" s="1"/>
  <c r="G60" i="6" a="1"/>
  <c r="G60" i="6" s="1"/>
  <c r="F60" i="6" a="1"/>
  <c r="F60" i="6" s="1"/>
  <c r="K59" i="6" a="1"/>
  <c r="K59" i="6" s="1"/>
  <c r="J59" i="6" a="1"/>
  <c r="J59" i="6" s="1"/>
  <c r="G59" i="6" a="1"/>
  <c r="G59" i="6" s="1"/>
  <c r="F59" i="6" a="1"/>
  <c r="F59" i="6" s="1"/>
  <c r="K58" i="6" a="1"/>
  <c r="K58" i="6" s="1"/>
  <c r="J58" i="6" a="1"/>
  <c r="J58" i="6" s="1"/>
  <c r="J65" i="9" s="1"/>
  <c r="G58" i="6" a="1"/>
  <c r="G58" i="6" s="1"/>
  <c r="F58" i="6" a="1"/>
  <c r="F58" i="6" s="1"/>
  <c r="K57" i="6" a="1"/>
  <c r="K57" i="6" s="1"/>
  <c r="J57" i="6" a="1"/>
  <c r="J57" i="6" s="1"/>
  <c r="G57" i="6" a="1"/>
  <c r="G57" i="6" s="1"/>
  <c r="F57" i="6" a="1"/>
  <c r="F57" i="6" s="1"/>
  <c r="K56" i="6" a="1"/>
  <c r="K56" i="6" s="1"/>
  <c r="J56" i="6" a="1"/>
  <c r="J56" i="6" s="1"/>
  <c r="G56" i="6" a="1"/>
  <c r="G56" i="6" s="1"/>
  <c r="F56" i="6" a="1"/>
  <c r="F56" i="6" s="1"/>
  <c r="K55" i="6" a="1"/>
  <c r="K55" i="6" s="1"/>
  <c r="J55" i="6" a="1"/>
  <c r="J55" i="6" s="1"/>
  <c r="G55" i="6" a="1"/>
  <c r="G55" i="6" s="1"/>
  <c r="F55" i="6" a="1"/>
  <c r="F55" i="6" s="1"/>
  <c r="K54" i="6" a="1"/>
  <c r="K54" i="6" s="1"/>
  <c r="J54" i="6" a="1"/>
  <c r="J54" i="6" s="1"/>
  <c r="G54" i="6" a="1"/>
  <c r="G54" i="6" s="1"/>
  <c r="F54" i="6" a="1"/>
  <c r="F54" i="6" s="1"/>
  <c r="K53" i="6" a="1"/>
  <c r="K53" i="6" s="1"/>
  <c r="J53" i="6" a="1"/>
  <c r="J53" i="6" s="1"/>
  <c r="J60" i="9" s="1"/>
  <c r="G53" i="6" a="1"/>
  <c r="G53" i="6" s="1"/>
  <c r="F53" i="6" a="1"/>
  <c r="F53" i="6" s="1"/>
  <c r="K52" i="6" a="1"/>
  <c r="K52" i="6" s="1"/>
  <c r="J52" i="6" a="1"/>
  <c r="J52" i="6" s="1"/>
  <c r="G52" i="6" a="1"/>
  <c r="G52" i="6" s="1"/>
  <c r="F52" i="6" a="1"/>
  <c r="F52" i="6" s="1"/>
  <c r="K51" i="6" a="1"/>
  <c r="K51" i="6" s="1"/>
  <c r="J51" i="6" a="1"/>
  <c r="J51" i="6" s="1"/>
  <c r="G51" i="6" a="1"/>
  <c r="G51" i="6" s="1"/>
  <c r="F51" i="6" a="1"/>
  <c r="F51" i="6" s="1"/>
  <c r="K50" i="6" a="1"/>
  <c r="K50" i="6" s="1"/>
  <c r="J50" i="6" a="1"/>
  <c r="J50" i="6" s="1"/>
  <c r="G50" i="6" a="1"/>
  <c r="G50" i="6" s="1"/>
  <c r="F50" i="6" a="1"/>
  <c r="F50" i="6" s="1"/>
  <c r="K49" i="6" a="1"/>
  <c r="K49" i="6" s="1"/>
  <c r="J49" i="6" a="1"/>
  <c r="J49" i="6" s="1"/>
  <c r="G49" i="6" a="1"/>
  <c r="G49" i="6" s="1"/>
  <c r="F49" i="6" a="1"/>
  <c r="F49" i="6" s="1"/>
  <c r="U48" i="6" a="1"/>
  <c r="U48" i="6" s="1"/>
  <c r="U55" i="9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J48" i="6" a="1"/>
  <c r="J48" i="6" s="1"/>
  <c r="I48" i="6" a="1"/>
  <c r="I48" i="6" s="1"/>
  <c r="H48" i="6" a="1"/>
  <c r="H48" i="6" s="1"/>
  <c r="G48" i="6" a="1"/>
  <c r="G48" i="6" s="1"/>
  <c r="F48" i="6" a="1"/>
  <c r="F48" i="6" s="1"/>
  <c r="U47" i="6" a="1"/>
  <c r="U47" i="6" s="1"/>
  <c r="U54" i="9" s="1"/>
  <c r="T47" i="6" a="1"/>
  <c r="T47" i="6" s="1"/>
  <c r="S47" i="6" a="1"/>
  <c r="S47" i="6" s="1"/>
  <c r="R47" i="6" a="1"/>
  <c r="R47" i="6" s="1"/>
  <c r="Q47" i="6" a="1"/>
  <c r="Q47" i="6" s="1"/>
  <c r="P47" i="6" a="1"/>
  <c r="P47" i="6" s="1"/>
  <c r="O47" i="6" a="1"/>
  <c r="O47" i="6" s="1"/>
  <c r="N47" i="6" a="1"/>
  <c r="N47" i="6" s="1"/>
  <c r="M47" i="6" a="1"/>
  <c r="M47" i="6" s="1"/>
  <c r="L47" i="6" a="1"/>
  <c r="L47" i="6" s="1"/>
  <c r="K47" i="6" a="1"/>
  <c r="K47" i="6" s="1"/>
  <c r="J47" i="6" a="1"/>
  <c r="J47" i="6" s="1"/>
  <c r="I47" i="6" a="1"/>
  <c r="I47" i="6" s="1"/>
  <c r="H47" i="6" a="1"/>
  <c r="H47" i="6" s="1"/>
  <c r="G47" i="6" a="1"/>
  <c r="G47" i="6" s="1"/>
  <c r="F47" i="6" a="1"/>
  <c r="F47" i="6" s="1"/>
  <c r="U46" i="6" a="1"/>
  <c r="U46" i="6" s="1"/>
  <c r="U53" i="9" s="1"/>
  <c r="T46" i="6" a="1"/>
  <c r="T46" i="6" s="1"/>
  <c r="S46" i="6" a="1"/>
  <c r="S46" i="6" s="1"/>
  <c r="R46" i="6" a="1"/>
  <c r="R46" i="6" s="1"/>
  <c r="Q46" i="6" a="1"/>
  <c r="Q46" i="6" s="1"/>
  <c r="P46" i="6" a="1"/>
  <c r="P46" i="6" s="1"/>
  <c r="O46" i="6" a="1"/>
  <c r="O46" i="6" s="1"/>
  <c r="N46" i="6" a="1"/>
  <c r="N46" i="6" s="1"/>
  <c r="M46" i="6" a="1"/>
  <c r="M46" i="6" s="1"/>
  <c r="L46" i="6" a="1"/>
  <c r="L46" i="6" s="1"/>
  <c r="K46" i="6" a="1"/>
  <c r="K46" i="6" s="1"/>
  <c r="J46" i="6" a="1"/>
  <c r="J46" i="6" s="1"/>
  <c r="I46" i="6"/>
  <c r="H46" i="6"/>
  <c r="G46" i="6" a="1"/>
  <c r="G46" i="6" s="1"/>
  <c r="F46" i="6"/>
  <c r="F46" i="6" a="1"/>
  <c r="K45" i="6"/>
  <c r="K45" i="6" a="1"/>
  <c r="J45" i="6"/>
  <c r="J52" i="9" s="1"/>
  <c r="J45" i="6" a="1"/>
  <c r="G45" i="6"/>
  <c r="G45" i="6" a="1"/>
  <c r="F45" i="6" a="1"/>
  <c r="F45" i="6" s="1"/>
  <c r="K44" i="6" a="1"/>
  <c r="K44" i="6" s="1"/>
  <c r="J44" i="6" a="1"/>
  <c r="J44" i="6" s="1"/>
  <c r="G44" i="6" a="1"/>
  <c r="G44" i="6" s="1"/>
  <c r="F44" i="6" a="1"/>
  <c r="F44" i="6" s="1"/>
  <c r="K43" i="6" a="1"/>
  <c r="K43" i="6" s="1"/>
  <c r="J43" i="6"/>
  <c r="J43" i="6" a="1"/>
  <c r="G43" i="6"/>
  <c r="G43" i="6" a="1"/>
  <c r="F43" i="6"/>
  <c r="F43" i="6" a="1"/>
  <c r="K42" i="6"/>
  <c r="K42" i="6" a="1"/>
  <c r="J42" i="6" a="1"/>
  <c r="J42" i="6" s="1"/>
  <c r="G42" i="6" a="1"/>
  <c r="G42" i="6" s="1"/>
  <c r="F42" i="6" a="1"/>
  <c r="F42" i="6" s="1"/>
  <c r="K41" i="6" a="1"/>
  <c r="K41" i="6" s="1"/>
  <c r="J41" i="6"/>
  <c r="J41" i="6" a="1"/>
  <c r="G41" i="6" a="1"/>
  <c r="G41" i="6" s="1"/>
  <c r="F41" i="6"/>
  <c r="F41" i="6" a="1"/>
  <c r="K40" i="6"/>
  <c r="K40" i="6" a="1"/>
  <c r="J40" i="6"/>
  <c r="J47" i="9" s="1"/>
  <c r="J40" i="6" a="1"/>
  <c r="G40" i="6"/>
  <c r="G40" i="6" a="1"/>
  <c r="F40" i="6" a="1"/>
  <c r="F40" i="6" s="1"/>
  <c r="K39" i="6" a="1"/>
  <c r="K39" i="6" s="1"/>
  <c r="J39" i="6" a="1"/>
  <c r="J39" i="6" s="1"/>
  <c r="G39" i="6" a="1"/>
  <c r="G39" i="6" s="1"/>
  <c r="F39" i="6" a="1"/>
  <c r="F39" i="6" s="1"/>
  <c r="K38" i="6" a="1"/>
  <c r="K38" i="6" s="1"/>
  <c r="J38" i="6"/>
  <c r="J38" i="6" a="1"/>
  <c r="G38" i="6"/>
  <c r="G38" i="6" a="1"/>
  <c r="F38" i="6"/>
  <c r="F38" i="6" a="1"/>
  <c r="K37" i="6"/>
  <c r="K37" i="6" a="1"/>
  <c r="J37" i="6" a="1"/>
  <c r="J37" i="6" s="1"/>
  <c r="G37" i="6" a="1"/>
  <c r="G37" i="6" s="1"/>
  <c r="F37" i="6" a="1"/>
  <c r="F37" i="6" s="1"/>
  <c r="K36" i="6" a="1"/>
  <c r="K36" i="6" s="1"/>
  <c r="K43" i="9" s="1"/>
  <c r="J36" i="6" a="1"/>
  <c r="J36" i="6" s="1"/>
  <c r="G36" i="6" a="1"/>
  <c r="G36" i="6" s="1"/>
  <c r="F36" i="6" a="1"/>
  <c r="F36" i="6" s="1"/>
  <c r="F43" i="9" s="1"/>
  <c r="K35" i="6"/>
  <c r="K35" i="6" a="1"/>
  <c r="J35" i="6"/>
  <c r="J42" i="9" s="1"/>
  <c r="J35" i="6" a="1"/>
  <c r="G35" i="6"/>
  <c r="G35" i="6" a="1"/>
  <c r="F35" i="6" a="1"/>
  <c r="F35" i="6" s="1"/>
  <c r="K34" i="6" a="1"/>
  <c r="K34" i="6" s="1"/>
  <c r="J34" i="6" a="1"/>
  <c r="J34" i="6" s="1"/>
  <c r="J41" i="9" s="1"/>
  <c r="G34" i="6"/>
  <c r="G34" i="6" a="1"/>
  <c r="F34" i="6"/>
  <c r="F34" i="6" a="1"/>
  <c r="K33" i="6" a="1"/>
  <c r="K33" i="6" s="1"/>
  <c r="J33" i="6"/>
  <c r="J33" i="6" a="1"/>
  <c r="G33" i="6" a="1"/>
  <c r="G33" i="6" s="1"/>
  <c r="G40" i="9" s="1"/>
  <c r="F33" i="6"/>
  <c r="F33" i="6" a="1"/>
  <c r="K32" i="6" a="1"/>
  <c r="K32" i="6" s="1"/>
  <c r="K39" i="9" s="1"/>
  <c r="J32" i="6" a="1"/>
  <c r="J32" i="6" s="1"/>
  <c r="G32" i="6" a="1"/>
  <c r="G32" i="6" s="1"/>
  <c r="F32" i="6"/>
  <c r="F32" i="6" a="1"/>
  <c r="K31" i="6" a="1"/>
  <c r="K31" i="6" s="1"/>
  <c r="K38" i="9" s="1"/>
  <c r="J31" i="6"/>
  <c r="J31" i="6" a="1"/>
  <c r="G31" i="6" a="1"/>
  <c r="G31" i="6" s="1"/>
  <c r="G38" i="9" s="1"/>
  <c r="F31" i="6" a="1"/>
  <c r="F31" i="6" s="1"/>
  <c r="K30" i="6" a="1"/>
  <c r="K30" i="6" s="1"/>
  <c r="K37" i="9" s="1"/>
  <c r="J30" i="6" a="1"/>
  <c r="J30" i="6" s="1"/>
  <c r="J37" i="9" s="1"/>
  <c r="G30" i="6" a="1"/>
  <c r="G30" i="6" s="1"/>
  <c r="G37" i="9" s="1"/>
  <c r="F30" i="6"/>
  <c r="F30" i="6" a="1"/>
  <c r="K29" i="6" a="1"/>
  <c r="K29" i="6" s="1"/>
  <c r="J29" i="6"/>
  <c r="J36" i="9" s="1"/>
  <c r="J29" i="6" a="1"/>
  <c r="G29" i="6"/>
  <c r="G29" i="6" a="1"/>
  <c r="F29" i="6" a="1"/>
  <c r="F29" i="6" s="1"/>
  <c r="F36" i="9" s="1"/>
  <c r="K28" i="6"/>
  <c r="K28" i="6" a="1"/>
  <c r="J28" i="6" a="1"/>
  <c r="J28" i="6" s="1"/>
  <c r="G28" i="6" a="1"/>
  <c r="G28" i="6" s="1"/>
  <c r="G35" i="9" s="1"/>
  <c r="F28" i="6" a="1"/>
  <c r="F28" i="6" s="1"/>
  <c r="F35" i="9" s="1"/>
  <c r="K27" i="6" a="1"/>
  <c r="K27" i="6" s="1"/>
  <c r="K34" i="9" s="1"/>
  <c r="J27" i="6" a="1"/>
  <c r="J27" i="6" s="1"/>
  <c r="J34" i="9" s="1"/>
  <c r="G27" i="6" a="1"/>
  <c r="G27" i="6" s="1"/>
  <c r="F27" i="6" a="1"/>
  <c r="F27" i="6" s="1"/>
  <c r="F34" i="9" s="1"/>
  <c r="U26" i="6"/>
  <c r="U33" i="9" s="1"/>
  <c r="U26" i="6" a="1"/>
  <c r="T26" i="6"/>
  <c r="T26" i="6" a="1"/>
  <c r="S26" i="6" a="1"/>
  <c r="S26" i="6" s="1"/>
  <c r="S33" i="9" s="1"/>
  <c r="R26" i="6" a="1"/>
  <c r="R26" i="6" s="1"/>
  <c r="Q26" i="6"/>
  <c r="Q26" i="6" a="1"/>
  <c r="P26" i="6" a="1"/>
  <c r="P26" i="6" s="1"/>
  <c r="P33" i="9" s="1"/>
  <c r="O26" i="6" a="1"/>
  <c r="O26" i="6" s="1"/>
  <c r="O33" i="9" s="1"/>
  <c r="N26" i="6" a="1"/>
  <c r="N26" i="6" s="1"/>
  <c r="N33" i="9" s="1"/>
  <c r="M26" i="6" a="1"/>
  <c r="M26" i="6" s="1"/>
  <c r="L26" i="6"/>
  <c r="L26" i="6" a="1"/>
  <c r="K26" i="6" a="1"/>
  <c r="K26" i="6" s="1"/>
  <c r="K33" i="9" s="1"/>
  <c r="J26" i="6"/>
  <c r="J26" i="6" a="1"/>
  <c r="I26" i="6"/>
  <c r="I26" i="6" a="1"/>
  <c r="H26" i="6" a="1"/>
  <c r="H26" i="6" s="1"/>
  <c r="G26" i="6" a="1"/>
  <c r="G26" i="6" s="1"/>
  <c r="G33" i="9" s="1"/>
  <c r="F26" i="6"/>
  <c r="F26" i="6" a="1"/>
  <c r="U25" i="6" a="1"/>
  <c r="U25" i="6" s="1"/>
  <c r="U32" i="9" s="1"/>
  <c r="T25" i="6" a="1"/>
  <c r="T25" i="6" s="1"/>
  <c r="T32" i="9" s="1"/>
  <c r="S25" i="6" a="1"/>
  <c r="S25" i="6" s="1"/>
  <c r="R25" i="6" a="1"/>
  <c r="R25" i="6" s="1"/>
  <c r="R32" i="9" s="1"/>
  <c r="Q25" i="6"/>
  <c r="Q25" i="6" a="1"/>
  <c r="P25" i="6" a="1"/>
  <c r="P25" i="6" s="1"/>
  <c r="P32" i="9" s="1"/>
  <c r="O25" i="6"/>
  <c r="O25" i="6" a="1"/>
  <c r="N25" i="6" a="1"/>
  <c r="N25" i="6" s="1"/>
  <c r="M25" i="6" a="1"/>
  <c r="M25" i="6" s="1"/>
  <c r="M32" i="9" s="1"/>
  <c r="L25" i="6" a="1"/>
  <c r="L25" i="6" s="1"/>
  <c r="L32" i="9" s="1"/>
  <c r="K25" i="6"/>
  <c r="K25" i="6" a="1"/>
  <c r="J25" i="6" a="1"/>
  <c r="J25" i="6" s="1"/>
  <c r="J32" i="9" s="1"/>
  <c r="I25" i="6" a="1"/>
  <c r="I25" i="6" s="1"/>
  <c r="H25" i="6"/>
  <c r="H25" i="6" a="1"/>
  <c r="G25" i="6" a="1"/>
  <c r="G25" i="6" s="1"/>
  <c r="G32" i="9" s="1"/>
  <c r="F25" i="6"/>
  <c r="F25" i="6" a="1"/>
  <c r="U24" i="6" a="1"/>
  <c r="U24" i="6" s="1"/>
  <c r="U31" i="9" s="1"/>
  <c r="T24" i="6" a="1"/>
  <c r="T24" i="6" s="1"/>
  <c r="S24" i="6"/>
  <c r="S24" i="6" a="1"/>
  <c r="R24" i="6" a="1"/>
  <c r="R24" i="6" s="1"/>
  <c r="R31" i="9" s="1"/>
  <c r="Q24" i="6" a="1"/>
  <c r="Q24" i="6" s="1"/>
  <c r="Q31" i="9" s="1"/>
  <c r="P24" i="6"/>
  <c r="P24" i="6" a="1"/>
  <c r="O24" i="6" a="1"/>
  <c r="O24" i="6" s="1"/>
  <c r="N24" i="6" a="1"/>
  <c r="N24" i="6" s="1"/>
  <c r="N31" i="9" s="1"/>
  <c r="M24" i="6"/>
  <c r="M24" i="6" a="1"/>
  <c r="L24" i="6" a="1"/>
  <c r="L24" i="6" s="1"/>
  <c r="L31" i="9" s="1"/>
  <c r="K24" i="6"/>
  <c r="K24" i="6" a="1"/>
  <c r="J24" i="6" a="1"/>
  <c r="J24" i="6" s="1"/>
  <c r="I24" i="6"/>
  <c r="H24" i="6"/>
  <c r="G24" i="6"/>
  <c r="G24" i="6" a="1"/>
  <c r="F24" i="6" a="1"/>
  <c r="F24" i="6" s="1"/>
  <c r="F31" i="9" s="1"/>
  <c r="K23" i="6" a="1"/>
  <c r="K23" i="6" s="1"/>
  <c r="K30" i="9" s="1"/>
  <c r="J23" i="6" a="1"/>
  <c r="J23" i="6" s="1"/>
  <c r="G23" i="6" a="1"/>
  <c r="G23" i="6" s="1"/>
  <c r="G30" i="9" s="1"/>
  <c r="F23" i="6" a="1"/>
  <c r="F23" i="6" s="1"/>
  <c r="F30" i="9" s="1"/>
  <c r="K22" i="6"/>
  <c r="K22" i="6" a="1"/>
  <c r="J22" i="6" a="1"/>
  <c r="J22" i="6" s="1"/>
  <c r="J29" i="9" s="1"/>
  <c r="G22" i="6" a="1"/>
  <c r="G22" i="6" s="1"/>
  <c r="F22" i="6"/>
  <c r="F22" i="6" a="1"/>
  <c r="K21" i="6" a="1"/>
  <c r="K21" i="6" s="1"/>
  <c r="K28" i="9" s="1"/>
  <c r="J21" i="6"/>
  <c r="J21" i="6" a="1"/>
  <c r="G21" i="6" a="1"/>
  <c r="G21" i="6" s="1"/>
  <c r="G28" i="9" s="1"/>
  <c r="F21" i="6" a="1"/>
  <c r="F21" i="6" s="1"/>
  <c r="K20" i="6"/>
  <c r="K20" i="6" a="1"/>
  <c r="J20" i="6" a="1"/>
  <c r="J20" i="6" s="1"/>
  <c r="J27" i="9" s="1"/>
  <c r="G20" i="6" a="1"/>
  <c r="G20" i="6" s="1"/>
  <c r="G27" i="9" s="1"/>
  <c r="F20" i="6"/>
  <c r="F20" i="6" a="1"/>
  <c r="K19" i="6" a="1"/>
  <c r="K19" i="6" s="1"/>
  <c r="J19" i="6" a="1"/>
  <c r="J19" i="6" s="1"/>
  <c r="J26" i="9" s="1"/>
  <c r="G19" i="6"/>
  <c r="G19" i="6" a="1"/>
  <c r="F19" i="6"/>
  <c r="F19" i="6" a="1"/>
  <c r="K18" i="6" a="1"/>
  <c r="K18" i="6" s="1"/>
  <c r="K25" i="9" s="1"/>
  <c r="J18" i="6" a="1"/>
  <c r="J18" i="6" s="1"/>
  <c r="G18" i="6" a="1"/>
  <c r="G18" i="6" s="1"/>
  <c r="G25" i="9" s="1"/>
  <c r="F18" i="6"/>
  <c r="F18" i="6" a="1"/>
  <c r="K17" i="6" a="1"/>
  <c r="K17" i="6" s="1"/>
  <c r="K24" i="9" s="1"/>
  <c r="J17" i="6" a="1"/>
  <c r="J17" i="6" s="1"/>
  <c r="J24" i="9" s="1"/>
  <c r="G17" i="6" a="1"/>
  <c r="G17" i="6" s="1"/>
  <c r="F17" i="6" a="1"/>
  <c r="F17" i="6" s="1"/>
  <c r="F24" i="9" s="1"/>
  <c r="K16" i="6" a="1"/>
  <c r="K16" i="6" s="1"/>
  <c r="K23" i="9" s="1"/>
  <c r="J16" i="6"/>
  <c r="J16" i="6" a="1"/>
  <c r="G16" i="6"/>
  <c r="G16" i="6" a="1"/>
  <c r="F16" i="6" a="1"/>
  <c r="F16" i="6" s="1"/>
  <c r="K15" i="6"/>
  <c r="K15" i="6" a="1"/>
  <c r="J15" i="6" a="1"/>
  <c r="J15" i="6" s="1"/>
  <c r="J22" i="9" s="1"/>
  <c r="G15" i="6"/>
  <c r="G15" i="6" a="1"/>
  <c r="F15" i="6" a="1"/>
  <c r="F15" i="6" s="1"/>
  <c r="F22" i="9" s="1"/>
  <c r="K14" i="6" a="1"/>
  <c r="K14" i="6" s="1"/>
  <c r="J14" i="6"/>
  <c r="J14" i="6" a="1"/>
  <c r="G14" i="6" a="1"/>
  <c r="G14" i="6" s="1"/>
  <c r="G21" i="9" s="1"/>
  <c r="F14" i="6" a="1"/>
  <c r="F14" i="6" s="1"/>
  <c r="F21" i="9" s="1"/>
  <c r="K13" i="6"/>
  <c r="K13" i="6" a="1"/>
  <c r="J13" i="6" a="1"/>
  <c r="J13" i="6" s="1"/>
  <c r="G13" i="6" a="1"/>
  <c r="G13" i="6" s="1"/>
  <c r="G20" i="9" s="1"/>
  <c r="F13" i="6"/>
  <c r="F13" i="6" a="1"/>
  <c r="K12" i="6" a="1"/>
  <c r="K12" i="6" s="1"/>
  <c r="K19" i="9" s="1"/>
  <c r="J12" i="6"/>
  <c r="J12" i="6" a="1"/>
  <c r="G12" i="6" a="1"/>
  <c r="G12" i="6" s="1"/>
  <c r="F12" i="6" a="1"/>
  <c r="F12" i="6" s="1"/>
  <c r="F19" i="9" s="1"/>
  <c r="K11" i="6" a="1"/>
  <c r="K11" i="6" s="1"/>
  <c r="K18" i="9" s="1"/>
  <c r="J11" i="6" a="1"/>
  <c r="J11" i="6" s="1"/>
  <c r="J18" i="9" s="1"/>
  <c r="G11" i="6" a="1"/>
  <c r="G11" i="6" s="1"/>
  <c r="G18" i="9" s="1"/>
  <c r="F11" i="6" a="1"/>
  <c r="F11" i="6" s="1"/>
  <c r="K10" i="6" a="1"/>
  <c r="K10" i="6" s="1"/>
  <c r="K17" i="9" s="1"/>
  <c r="J10" i="6" a="1"/>
  <c r="J10" i="6" s="1"/>
  <c r="J17" i="9" s="1"/>
  <c r="G10" i="6"/>
  <c r="G10" i="6" a="1"/>
  <c r="F10" i="6" a="1"/>
  <c r="F10" i="6" s="1"/>
  <c r="F17" i="9" s="1"/>
  <c r="K9" i="6" a="1"/>
  <c r="K9" i="6" s="1"/>
  <c r="J9" i="6"/>
  <c r="J16" i="9" s="1"/>
  <c r="J9" i="6" a="1"/>
  <c r="G9" i="6"/>
  <c r="G9" i="6" a="1"/>
  <c r="F9" i="6"/>
  <c r="F9" i="6" a="1"/>
  <c r="K8" i="6" a="1"/>
  <c r="K8" i="6" s="1"/>
  <c r="K15" i="9" s="1"/>
  <c r="J8" i="6" a="1"/>
  <c r="J8" i="6" s="1"/>
  <c r="G8" i="6"/>
  <c r="G8" i="6" a="1"/>
  <c r="F8" i="6" a="1"/>
  <c r="F8" i="6" s="1"/>
  <c r="F15" i="9" s="1"/>
  <c r="K7" i="6" a="1"/>
  <c r="K7" i="6" s="1"/>
  <c r="K14" i="9" s="1"/>
  <c r="J7" i="6"/>
  <c r="J7" i="6" a="1"/>
  <c r="G7" i="6" a="1"/>
  <c r="G7" i="6" s="1"/>
  <c r="F7" i="6" a="1"/>
  <c r="F7" i="6" s="1"/>
  <c r="F14" i="9" s="1"/>
  <c r="K6" i="6"/>
  <c r="K6" i="6" a="1"/>
  <c r="J6" i="6" a="1"/>
  <c r="J6" i="6" s="1"/>
  <c r="J13" i="9" s="1"/>
  <c r="G6" i="6"/>
  <c r="G13" i="9" s="1"/>
  <c r="G6" i="6" a="1"/>
  <c r="F6" i="6" a="1"/>
  <c r="F6" i="6" s="1"/>
  <c r="K5" i="6" a="1"/>
  <c r="K5" i="6" s="1"/>
  <c r="K12" i="9" s="1"/>
  <c r="J5" i="6"/>
  <c r="J12" i="9" s="1"/>
  <c r="J5" i="6" a="1"/>
  <c r="G5" i="6" a="1"/>
  <c r="G5" i="6" s="1"/>
  <c r="G12" i="9" s="1"/>
  <c r="F5" i="6" a="1"/>
  <c r="F5" i="6" s="1"/>
  <c r="F12" i="9" s="1"/>
  <c r="U4" i="6" a="1"/>
  <c r="U4" i="6" s="1"/>
  <c r="U11" i="9" s="1"/>
  <c r="T4" i="6" a="1"/>
  <c r="T4" i="6" s="1"/>
  <c r="T11" i="9" s="1"/>
  <c r="S4" i="6" a="1"/>
  <c r="S4" i="6" s="1"/>
  <c r="S11" i="9" s="1"/>
  <c r="R4" i="6"/>
  <c r="R11" i="9" s="1"/>
  <c r="R4" i="6" a="1"/>
  <c r="Q4" i="6" a="1"/>
  <c r="Q4" i="6" s="1"/>
  <c r="Q11" i="9" s="1"/>
  <c r="P4" i="6" a="1"/>
  <c r="P4" i="6" s="1"/>
  <c r="O4" i="6"/>
  <c r="O4" i="6" a="1"/>
  <c r="N4" i="6" a="1"/>
  <c r="N4" i="6" s="1"/>
  <c r="N11" i="9" s="1"/>
  <c r="M4" i="6"/>
  <c r="M11" i="9" s="1"/>
  <c r="M4" i="6" a="1"/>
  <c r="L4" i="6" a="1"/>
  <c r="L4" i="6" s="1"/>
  <c r="L11" i="9" s="1"/>
  <c r="K4" i="6" a="1"/>
  <c r="K4" i="6" s="1"/>
  <c r="K11" i="9" s="1"/>
  <c r="J4" i="6" a="1"/>
  <c r="J4" i="6" s="1"/>
  <c r="J11" i="9" s="1"/>
  <c r="I4" i="6" a="1"/>
  <c r="I4" i="6" s="1"/>
  <c r="I11" i="9" s="1"/>
  <c r="H4" i="6" a="1"/>
  <c r="H4" i="6" s="1"/>
  <c r="H11" i="9" s="1"/>
  <c r="G4" i="6"/>
  <c r="G4" i="6" a="1"/>
  <c r="F4" i="6" a="1"/>
  <c r="F4" i="6" s="1"/>
  <c r="F11" i="9" s="1"/>
  <c r="U3" i="6" a="1"/>
  <c r="U3" i="6" s="1"/>
  <c r="U10" i="9" s="1"/>
  <c r="T3" i="6"/>
  <c r="T3" i="6" a="1"/>
  <c r="S3" i="6" a="1"/>
  <c r="S3" i="6" s="1"/>
  <c r="S10" i="9" s="1"/>
  <c r="R3" i="6" a="1"/>
  <c r="R3" i="6" s="1"/>
  <c r="R10" i="9" s="1"/>
  <c r="Q3" i="6" a="1"/>
  <c r="Q3" i="6" s="1"/>
  <c r="P3" i="6" a="1"/>
  <c r="P3" i="6" s="1"/>
  <c r="P10" i="9" s="1"/>
  <c r="O3" i="6" a="1"/>
  <c r="O3" i="6" s="1"/>
  <c r="O10" i="9" s="1"/>
  <c r="N3" i="6" a="1"/>
  <c r="N3" i="6" s="1"/>
  <c r="N10" i="9" s="1"/>
  <c r="M3" i="6" a="1"/>
  <c r="M3" i="6" s="1"/>
  <c r="M10" i="9" s="1"/>
  <c r="L3" i="6" a="1"/>
  <c r="L3" i="6" s="1"/>
  <c r="L10" i="9" s="1"/>
  <c r="K3" i="6" a="1"/>
  <c r="K3" i="6" s="1"/>
  <c r="K10" i="9" s="1"/>
  <c r="J3" i="6" a="1"/>
  <c r="J3" i="6" s="1"/>
  <c r="J10" i="9" s="1"/>
  <c r="I3" i="6"/>
  <c r="I10" i="9" s="1"/>
  <c r="I3" i="6" a="1"/>
  <c r="G3" i="6" a="1"/>
  <c r="G3" i="6" s="1"/>
  <c r="G10" i="9" s="1"/>
  <c r="F3" i="6" a="1"/>
  <c r="F3" i="6" s="1"/>
  <c r="F10" i="9" s="1"/>
  <c r="U2" i="6"/>
  <c r="U9" i="9" s="1"/>
  <c r="U2" i="6" a="1"/>
  <c r="T2" i="6" a="1"/>
  <c r="T2" i="6" s="1"/>
  <c r="T9" i="9" s="1"/>
  <c r="S2" i="6" a="1"/>
  <c r="S2" i="6" s="1"/>
  <c r="S9" i="9" s="1"/>
  <c r="R2" i="6" a="1"/>
  <c r="R2" i="6" s="1"/>
  <c r="R9" i="9" s="1"/>
  <c r="Q2" i="6" a="1"/>
  <c r="Q2" i="6" s="1"/>
  <c r="P2" i="6" a="1"/>
  <c r="P2" i="6" s="1"/>
  <c r="P9" i="9" s="1"/>
  <c r="O2" i="6" a="1"/>
  <c r="O2" i="6" s="1"/>
  <c r="O9" i="9" s="1"/>
  <c r="N2" i="6" a="1"/>
  <c r="N2" i="6" s="1"/>
  <c r="N9" i="9" s="1"/>
  <c r="M2" i="6"/>
  <c r="M9" i="9" s="1"/>
  <c r="M2" i="6" a="1"/>
  <c r="L2" i="6" a="1"/>
  <c r="L2" i="6" s="1"/>
  <c r="K2" i="6" a="1"/>
  <c r="K2" i="6" s="1"/>
  <c r="K9" i="9" s="1"/>
  <c r="J2" i="6"/>
  <c r="J9" i="9" s="1"/>
  <c r="J2" i="6" a="1"/>
  <c r="G2" i="6" a="1"/>
  <c r="G2" i="6" s="1"/>
  <c r="G9" i="9" s="1"/>
  <c r="F2" i="6" a="1"/>
  <c r="F2" i="6" s="1"/>
  <c r="F9" i="9" s="1"/>
  <c r="U99" i="9"/>
  <c r="T99" i="9"/>
  <c r="S99" i="9"/>
  <c r="R99" i="9"/>
  <c r="Q99" i="9"/>
  <c r="P99" i="9"/>
  <c r="O99" i="9"/>
  <c r="N99" i="9"/>
  <c r="M99" i="9"/>
  <c r="L99" i="9"/>
  <c r="U98" i="9"/>
  <c r="T98" i="9"/>
  <c r="S98" i="9"/>
  <c r="R98" i="9"/>
  <c r="Q98" i="9"/>
  <c r="P98" i="9"/>
  <c r="O98" i="9"/>
  <c r="N98" i="9"/>
  <c r="M98" i="9"/>
  <c r="L98" i="9"/>
  <c r="U97" i="9"/>
  <c r="T97" i="9"/>
  <c r="S97" i="9"/>
  <c r="R97" i="9"/>
  <c r="Q97" i="9"/>
  <c r="P97" i="9"/>
  <c r="O97" i="9"/>
  <c r="N97" i="9"/>
  <c r="M97" i="9"/>
  <c r="L97" i="9"/>
  <c r="T77" i="9"/>
  <c r="S77" i="9"/>
  <c r="R77" i="9"/>
  <c r="Q77" i="9"/>
  <c r="P77" i="9"/>
  <c r="O77" i="9"/>
  <c r="N77" i="9"/>
  <c r="M77" i="9"/>
  <c r="L77" i="9"/>
  <c r="U76" i="9"/>
  <c r="T76" i="9"/>
  <c r="S76" i="9"/>
  <c r="R76" i="9"/>
  <c r="Q76" i="9"/>
  <c r="P76" i="9"/>
  <c r="O76" i="9"/>
  <c r="N76" i="9"/>
  <c r="M76" i="9"/>
  <c r="L76" i="9"/>
  <c r="U75" i="9"/>
  <c r="T75" i="9"/>
  <c r="S75" i="9"/>
  <c r="R75" i="9"/>
  <c r="Q75" i="9"/>
  <c r="P75" i="9"/>
  <c r="O75" i="9"/>
  <c r="N75" i="9"/>
  <c r="M75" i="9"/>
  <c r="L75" i="9"/>
  <c r="T55" i="9"/>
  <c r="S55" i="9"/>
  <c r="R55" i="9"/>
  <c r="Q55" i="9"/>
  <c r="P55" i="9"/>
  <c r="O55" i="9"/>
  <c r="N55" i="9"/>
  <c r="M55" i="9"/>
  <c r="L55" i="9"/>
  <c r="T54" i="9"/>
  <c r="S54" i="9"/>
  <c r="R54" i="9"/>
  <c r="Q54" i="9"/>
  <c r="P54" i="9"/>
  <c r="O54" i="9"/>
  <c r="N54" i="9"/>
  <c r="M54" i="9"/>
  <c r="L54" i="9"/>
  <c r="T53" i="9"/>
  <c r="S53" i="9"/>
  <c r="R53" i="9"/>
  <c r="Q53" i="9"/>
  <c r="P53" i="9"/>
  <c r="O53" i="9"/>
  <c r="N53" i="9"/>
  <c r="M53" i="9"/>
  <c r="L53" i="9"/>
  <c r="T33" i="9"/>
  <c r="R33" i="9"/>
  <c r="Q33" i="9"/>
  <c r="M33" i="9"/>
  <c r="L33" i="9"/>
  <c r="S32" i="9"/>
  <c r="Q32" i="9"/>
  <c r="O32" i="9"/>
  <c r="N32" i="9"/>
  <c r="T31" i="9"/>
  <c r="S31" i="9"/>
  <c r="P31" i="9"/>
  <c r="O31" i="9"/>
  <c r="M31" i="9"/>
  <c r="P11" i="9"/>
  <c r="O11" i="9"/>
  <c r="T10" i="9"/>
  <c r="Q10" i="9"/>
  <c r="Q9" i="9"/>
  <c r="L9" i="9"/>
  <c r="K99" i="9"/>
  <c r="J99" i="9"/>
  <c r="K98" i="9"/>
  <c r="J98" i="9"/>
  <c r="K97" i="9"/>
  <c r="J97" i="9"/>
  <c r="K77" i="9"/>
  <c r="J77" i="9"/>
  <c r="K76" i="9"/>
  <c r="J76" i="9"/>
  <c r="K75" i="9"/>
  <c r="J75" i="9"/>
  <c r="K55" i="9"/>
  <c r="J55" i="9"/>
  <c r="K54" i="9"/>
  <c r="J54" i="9"/>
  <c r="K53" i="9"/>
  <c r="J53" i="9"/>
  <c r="J35" i="9"/>
  <c r="K35" i="9"/>
  <c r="J38" i="9"/>
  <c r="J40" i="9"/>
  <c r="K40" i="9"/>
  <c r="K41" i="9"/>
  <c r="K42" i="9"/>
  <c r="J43" i="9"/>
  <c r="J44" i="9"/>
  <c r="K44" i="9"/>
  <c r="J45" i="9"/>
  <c r="K45" i="9"/>
  <c r="J46" i="9"/>
  <c r="K46" i="9"/>
  <c r="K47" i="9"/>
  <c r="J48" i="9"/>
  <c r="K48" i="9"/>
  <c r="J49" i="9"/>
  <c r="K49" i="9"/>
  <c r="J50" i="9"/>
  <c r="K50" i="9"/>
  <c r="J51" i="9"/>
  <c r="K51" i="9"/>
  <c r="K52" i="9"/>
  <c r="J56" i="9"/>
  <c r="K56" i="9"/>
  <c r="J57" i="9"/>
  <c r="K57" i="9"/>
  <c r="J58" i="9"/>
  <c r="K58" i="9"/>
  <c r="J59" i="9"/>
  <c r="K59" i="9"/>
  <c r="K60" i="9"/>
  <c r="J61" i="9"/>
  <c r="K61" i="9"/>
  <c r="J62" i="9"/>
  <c r="K62" i="9"/>
  <c r="J63" i="9"/>
  <c r="K63" i="9"/>
  <c r="J64" i="9"/>
  <c r="K64" i="9"/>
  <c r="K65" i="9"/>
  <c r="J66" i="9"/>
  <c r="K66" i="9"/>
  <c r="J67" i="9"/>
  <c r="K67" i="9"/>
  <c r="J68" i="9"/>
  <c r="K68" i="9"/>
  <c r="J69" i="9"/>
  <c r="K69" i="9"/>
  <c r="K70" i="9"/>
  <c r="J71" i="9"/>
  <c r="K71" i="9"/>
  <c r="J72" i="9"/>
  <c r="K72" i="9"/>
  <c r="J73" i="9"/>
  <c r="K73" i="9"/>
  <c r="J74" i="9"/>
  <c r="K74" i="9"/>
  <c r="J78" i="9"/>
  <c r="K78" i="9"/>
  <c r="J79" i="9"/>
  <c r="K79" i="9"/>
  <c r="J80" i="9"/>
  <c r="K80" i="9"/>
  <c r="J81" i="9"/>
  <c r="K81" i="9"/>
  <c r="J82" i="9"/>
  <c r="K82" i="9"/>
  <c r="J83" i="9"/>
  <c r="K83" i="9"/>
  <c r="J84" i="9"/>
  <c r="K84" i="9"/>
  <c r="J85" i="9"/>
  <c r="K85" i="9"/>
  <c r="J86" i="9"/>
  <c r="K86" i="9"/>
  <c r="J87" i="9"/>
  <c r="K87" i="9"/>
  <c r="J88" i="9"/>
  <c r="K88" i="9"/>
  <c r="J89" i="9"/>
  <c r="K89" i="9"/>
  <c r="J90" i="9"/>
  <c r="K90" i="9"/>
  <c r="J91" i="9"/>
  <c r="K91" i="9"/>
  <c r="J92" i="9"/>
  <c r="K92" i="9"/>
  <c r="J93" i="9"/>
  <c r="K93" i="9"/>
  <c r="J94" i="9"/>
  <c r="K94" i="9"/>
  <c r="J95" i="9"/>
  <c r="K95" i="9"/>
  <c r="J96" i="9"/>
  <c r="K96" i="9"/>
  <c r="J100" i="9"/>
  <c r="K100" i="9"/>
  <c r="K101" i="9"/>
  <c r="J102" i="9"/>
  <c r="K102" i="9"/>
  <c r="J103" i="9"/>
  <c r="K103" i="9"/>
  <c r="J104" i="9"/>
  <c r="K104" i="9"/>
  <c r="J105" i="9"/>
  <c r="K105" i="9"/>
  <c r="K106" i="9"/>
  <c r="J107" i="9"/>
  <c r="K107" i="9"/>
  <c r="J108" i="9"/>
  <c r="K108" i="9"/>
  <c r="J109" i="9"/>
  <c r="K109" i="9"/>
  <c r="J110" i="9"/>
  <c r="K110" i="9"/>
  <c r="J111" i="9"/>
  <c r="K111" i="9"/>
  <c r="J112" i="9"/>
  <c r="K112" i="9"/>
  <c r="J113" i="9"/>
  <c r="K113" i="9"/>
  <c r="J114" i="9"/>
  <c r="K114" i="9"/>
  <c r="J115" i="9"/>
  <c r="K115" i="9"/>
  <c r="J116" i="9"/>
  <c r="K116" i="9"/>
  <c r="J117" i="9"/>
  <c r="K117" i="9"/>
  <c r="J118" i="9"/>
  <c r="K118" i="9"/>
  <c r="J33" i="9"/>
  <c r="K32" i="9"/>
  <c r="K31" i="9"/>
  <c r="J31" i="9"/>
  <c r="K13" i="9"/>
  <c r="J14" i="9"/>
  <c r="J15" i="9"/>
  <c r="K16" i="9"/>
  <c r="J19" i="9"/>
  <c r="J20" i="9"/>
  <c r="K20" i="9"/>
  <c r="J21" i="9"/>
  <c r="K21" i="9"/>
  <c r="J23" i="9"/>
  <c r="J25" i="9"/>
  <c r="K26" i="9"/>
  <c r="K27" i="9"/>
  <c r="J28" i="9"/>
  <c r="K29" i="9"/>
  <c r="J30" i="9"/>
  <c r="I99" i="9"/>
  <c r="H99" i="9"/>
  <c r="I98" i="9"/>
  <c r="H98" i="9"/>
  <c r="I97" i="9"/>
  <c r="H97" i="9"/>
  <c r="I77" i="9"/>
  <c r="H77" i="9"/>
  <c r="I76" i="9"/>
  <c r="H76" i="9"/>
  <c r="I75" i="9"/>
  <c r="H75" i="9"/>
  <c r="I55" i="9"/>
  <c r="H55" i="9"/>
  <c r="I54" i="9"/>
  <c r="H54" i="9"/>
  <c r="I53" i="9"/>
  <c r="H53" i="9"/>
  <c r="I33" i="9"/>
  <c r="H33" i="9"/>
  <c r="I32" i="9"/>
  <c r="H32" i="9"/>
  <c r="I31" i="9"/>
  <c r="H31" i="9"/>
  <c r="I71" i="6"/>
  <c r="H71" i="6"/>
  <c r="H78" i="9" s="1"/>
  <c r="G99" i="9"/>
  <c r="G98" i="9"/>
  <c r="G97" i="9"/>
  <c r="G77" i="9"/>
  <c r="G76" i="9"/>
  <c r="G75" i="9"/>
  <c r="G55" i="9"/>
  <c r="G54" i="9"/>
  <c r="G53" i="9"/>
  <c r="G31" i="9"/>
  <c r="G36" i="9"/>
  <c r="G39" i="9"/>
  <c r="G41" i="9"/>
  <c r="G42" i="9"/>
  <c r="G45" i="9"/>
  <c r="G46" i="9"/>
  <c r="G47" i="9"/>
  <c r="G49" i="9"/>
  <c r="G50" i="9"/>
  <c r="G51" i="9"/>
  <c r="G52" i="9"/>
  <c r="G56" i="9"/>
  <c r="G57" i="9"/>
  <c r="G59" i="9"/>
  <c r="G60" i="9"/>
  <c r="G61" i="9"/>
  <c r="G62" i="9"/>
  <c r="G63" i="9"/>
  <c r="G65" i="9"/>
  <c r="G66" i="9"/>
  <c r="G67" i="9"/>
  <c r="G68" i="9"/>
  <c r="G69" i="9"/>
  <c r="G70" i="9"/>
  <c r="G71" i="9"/>
  <c r="G72" i="9"/>
  <c r="G73" i="9"/>
  <c r="G78" i="9"/>
  <c r="G79" i="9"/>
  <c r="G80" i="9"/>
  <c r="G81" i="9"/>
  <c r="G82" i="9"/>
  <c r="G83" i="9"/>
  <c r="G85" i="9"/>
  <c r="G86" i="9"/>
  <c r="G87" i="9"/>
  <c r="G88" i="9"/>
  <c r="G89" i="9"/>
  <c r="G90" i="9"/>
  <c r="G91" i="9"/>
  <c r="G93" i="9"/>
  <c r="G95" i="9"/>
  <c r="G96" i="9"/>
  <c r="G100" i="9"/>
  <c r="G103" i="9"/>
  <c r="G104" i="9"/>
  <c r="G105" i="9"/>
  <c r="G107" i="9"/>
  <c r="G109" i="9"/>
  <c r="G111" i="9"/>
  <c r="G113" i="9"/>
  <c r="G114" i="9"/>
  <c r="G118" i="9"/>
  <c r="G34" i="9"/>
  <c r="G14" i="9"/>
  <c r="G15" i="9"/>
  <c r="G16" i="9"/>
  <c r="G17" i="9"/>
  <c r="G19" i="9"/>
  <c r="G22" i="9"/>
  <c r="G23" i="9"/>
  <c r="G24" i="9"/>
  <c r="G26" i="9"/>
  <c r="G29" i="9"/>
  <c r="G11" i="9"/>
  <c r="F97" i="9"/>
  <c r="F99" i="9"/>
  <c r="F98" i="9"/>
  <c r="F77" i="9"/>
  <c r="F76" i="9"/>
  <c r="F75" i="9"/>
  <c r="F78" i="9"/>
  <c r="F55" i="9"/>
  <c r="F54" i="9"/>
  <c r="F53" i="9"/>
  <c r="F33" i="9"/>
  <c r="F32" i="9"/>
  <c r="F37" i="9"/>
  <c r="F39" i="9"/>
  <c r="F40" i="9"/>
  <c r="F41" i="9"/>
  <c r="F42" i="9"/>
  <c r="F44" i="9"/>
  <c r="F45" i="9"/>
  <c r="F46" i="9"/>
  <c r="F48" i="9"/>
  <c r="F49" i="9"/>
  <c r="F50" i="9"/>
  <c r="F51" i="9"/>
  <c r="F52" i="9"/>
  <c r="F56" i="9"/>
  <c r="F59" i="9"/>
  <c r="F60" i="9"/>
  <c r="F61" i="9"/>
  <c r="F62" i="9"/>
  <c r="F63" i="9"/>
  <c r="F64" i="9"/>
  <c r="F65" i="9"/>
  <c r="F66" i="9"/>
  <c r="F68" i="9"/>
  <c r="F69" i="9"/>
  <c r="F70" i="9"/>
  <c r="F71" i="9"/>
  <c r="F72" i="9"/>
  <c r="F73" i="9"/>
  <c r="F74" i="9"/>
  <c r="F79" i="9"/>
  <c r="F80" i="9"/>
  <c r="F81" i="9"/>
  <c r="F82" i="9"/>
  <c r="F83" i="9"/>
  <c r="F84" i="9"/>
  <c r="F85" i="9"/>
  <c r="F86" i="9"/>
  <c r="F88" i="9"/>
  <c r="F89" i="9"/>
  <c r="F90" i="9"/>
  <c r="F91" i="9"/>
  <c r="F92" i="9"/>
  <c r="F93" i="9"/>
  <c r="F100" i="9"/>
  <c r="F103" i="9"/>
  <c r="F104" i="9"/>
  <c r="F107" i="9"/>
  <c r="F108" i="9"/>
  <c r="F109" i="9"/>
  <c r="F110" i="9"/>
  <c r="F113" i="9"/>
  <c r="F114" i="9"/>
  <c r="F118" i="9"/>
  <c r="F13" i="9"/>
  <c r="F16" i="9"/>
  <c r="F18" i="9"/>
  <c r="F23" i="9"/>
  <c r="F25" i="9"/>
  <c r="F26" i="9"/>
  <c r="F27" i="9"/>
  <c r="F28" i="9"/>
  <c r="F29" i="9"/>
  <c r="F38" i="9"/>
  <c r="F58" i="9"/>
  <c r="F20" i="9"/>
  <c r="D161" i="9"/>
  <c r="C161" i="9"/>
  <c r="B161" i="9"/>
  <c r="D160" i="9"/>
  <c r="C160" i="9"/>
  <c r="B160" i="9"/>
  <c r="D159" i="9"/>
  <c r="C159" i="9"/>
  <c r="B159" i="9"/>
  <c r="D158" i="9"/>
  <c r="C158" i="9"/>
  <c r="B158" i="9"/>
  <c r="D157" i="9"/>
  <c r="C157" i="9"/>
  <c r="B157" i="9"/>
  <c r="D156" i="9"/>
  <c r="C156" i="9"/>
  <c r="B156" i="9"/>
  <c r="D155" i="9"/>
  <c r="C155" i="9"/>
  <c r="B155" i="9"/>
  <c r="D154" i="9"/>
  <c r="C154" i="9"/>
  <c r="B154" i="9"/>
  <c r="D153" i="9"/>
  <c r="C153" i="9"/>
  <c r="B153" i="9"/>
  <c r="D152" i="9"/>
  <c r="C152" i="9"/>
  <c r="B152" i="9"/>
  <c r="D151" i="9"/>
  <c r="C151" i="9"/>
  <c r="B151" i="9"/>
  <c r="D150" i="9"/>
  <c r="C150" i="9"/>
  <c r="B150" i="9"/>
  <c r="D149" i="9"/>
  <c r="C149" i="9"/>
  <c r="B149" i="9"/>
  <c r="D148" i="9"/>
  <c r="C148" i="9"/>
  <c r="B148" i="9"/>
  <c r="D147" i="9"/>
  <c r="C147" i="9"/>
  <c r="B147" i="9"/>
  <c r="D146" i="9"/>
  <c r="C146" i="9"/>
  <c r="B146" i="9"/>
  <c r="D145" i="9"/>
  <c r="C145" i="9"/>
  <c r="B145" i="9"/>
  <c r="D144" i="9"/>
  <c r="C144" i="9"/>
  <c r="B144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51" i="9"/>
  <c r="B51" i="9"/>
  <c r="A51" i="9"/>
  <c r="C50" i="9"/>
  <c r="B50" i="9"/>
  <c r="A50" i="9"/>
  <c r="C49" i="9"/>
  <c r="B49" i="9"/>
  <c r="A49" i="9"/>
  <c r="C48" i="9"/>
  <c r="B48" i="9"/>
  <c r="A48" i="9"/>
  <c r="C47" i="9"/>
  <c r="B47" i="9"/>
  <c r="A47" i="9"/>
  <c r="C46" i="9"/>
  <c r="B46" i="9"/>
  <c r="A46" i="9"/>
  <c r="C45" i="9"/>
  <c r="B45" i="9"/>
  <c r="A45" i="9"/>
  <c r="C44" i="9"/>
  <c r="B44" i="9"/>
  <c r="A44" i="9"/>
  <c r="C43" i="9"/>
  <c r="B43" i="9"/>
  <c r="A43" i="9"/>
  <c r="C42" i="9"/>
  <c r="B42" i="9"/>
  <c r="A42" i="9"/>
  <c r="C41" i="9"/>
  <c r="B41" i="9"/>
  <c r="A41" i="9"/>
  <c r="C40" i="9"/>
  <c r="B40" i="9"/>
  <c r="A40" i="9"/>
  <c r="J39" i="9"/>
  <c r="C39" i="9"/>
  <c r="B39" i="9"/>
  <c r="A39" i="9"/>
  <c r="C38" i="9"/>
  <c r="B38" i="9"/>
  <c r="A38" i="9"/>
  <c r="C37" i="9"/>
  <c r="B37" i="9"/>
  <c r="A37" i="9"/>
  <c r="K36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K22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V111" i="6"/>
  <c r="N111" i="6" s="1"/>
  <c r="N118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M111" i="6"/>
  <c r="M118" i="9" s="1"/>
  <c r="L111" i="6"/>
  <c r="L118" i="9" s="1"/>
  <c r="I111" i="6"/>
  <c r="I118" i="9" s="1"/>
  <c r="H111" i="6"/>
  <c r="H118" i="9" s="1"/>
  <c r="E111" i="6"/>
  <c r="E118" i="9" s="1"/>
  <c r="D111" i="6"/>
  <c r="D118" i="9" s="1"/>
  <c r="V110" i="6"/>
  <c r="T110" i="6" s="1"/>
  <c r="T117" i="9" s="1"/>
  <c r="Q110" i="6"/>
  <c r="Q117" i="9" s="1"/>
  <c r="P110" i="6"/>
  <c r="P117" i="9" s="1"/>
  <c r="M110" i="6"/>
  <c r="M117" i="9" s="1"/>
  <c r="L110" i="6"/>
  <c r="L117" i="9" s="1"/>
  <c r="H110" i="6"/>
  <c r="H117" i="9" s="1"/>
  <c r="D110" i="6"/>
  <c r="D117" i="9" s="1"/>
  <c r="V109" i="6"/>
  <c r="U109" i="6" s="1"/>
  <c r="U116" i="9" s="1"/>
  <c r="L109" i="6"/>
  <c r="L116" i="9" s="1"/>
  <c r="I109" i="6"/>
  <c r="I116" i="9" s="1"/>
  <c r="V108" i="6"/>
  <c r="O108" i="6" s="1"/>
  <c r="O115" i="9" s="1"/>
  <c r="R108" i="6"/>
  <c r="R115" i="9" s="1"/>
  <c r="Q108" i="6"/>
  <c r="Q115" i="9" s="1"/>
  <c r="I108" i="6"/>
  <c r="I115" i="9" s="1"/>
  <c r="E108" i="6"/>
  <c r="E115" i="9" s="1"/>
  <c r="D108" i="6"/>
  <c r="D115" i="9" s="1"/>
  <c r="V107" i="6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I107" i="6"/>
  <c r="I114" i="9" s="1"/>
  <c r="H107" i="6"/>
  <c r="H114" i="9" s="1"/>
  <c r="E107" i="6"/>
  <c r="E114" i="9" s="1"/>
  <c r="D107" i="6"/>
  <c r="D114" i="9" s="1"/>
  <c r="V106" i="6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I106" i="6"/>
  <c r="I113" i="9" s="1"/>
  <c r="H106" i="6"/>
  <c r="H113" i="9" s="1"/>
  <c r="E106" i="6"/>
  <c r="E113" i="9" s="1"/>
  <c r="D106" i="6"/>
  <c r="D113" i="9" s="1"/>
  <c r="V105" i="6"/>
  <c r="R105" i="6" s="1"/>
  <c r="R112" i="9" s="1"/>
  <c r="M105" i="6"/>
  <c r="M112" i="9" s="1"/>
  <c r="L105" i="6"/>
  <c r="L112" i="9" s="1"/>
  <c r="V104" i="6"/>
  <c r="R104" i="6" s="1"/>
  <c r="R111" i="9" s="1"/>
  <c r="U104" i="6"/>
  <c r="U111" i="9" s="1"/>
  <c r="T104" i="6"/>
  <c r="T111" i="9" s="1"/>
  <c r="S104" i="6"/>
  <c r="S111" i="9" s="1"/>
  <c r="O104" i="6"/>
  <c r="O111" i="9" s="1"/>
  <c r="N104" i="6"/>
  <c r="N111" i="9" s="1"/>
  <c r="L104" i="6"/>
  <c r="L111" i="9" s="1"/>
  <c r="I104" i="6"/>
  <c r="I111" i="9" s="1"/>
  <c r="H104" i="6"/>
  <c r="H111" i="9" s="1"/>
  <c r="V103" i="6"/>
  <c r="U103" i="6" s="1"/>
  <c r="U110" i="9" s="1"/>
  <c r="R103" i="6"/>
  <c r="R110" i="9" s="1"/>
  <c r="Q103" i="6"/>
  <c r="Q110" i="9" s="1"/>
  <c r="P103" i="6"/>
  <c r="P110" i="9" s="1"/>
  <c r="I103" i="6"/>
  <c r="I110" i="9" s="1"/>
  <c r="E103" i="6"/>
  <c r="E110" i="9" s="1"/>
  <c r="V102" i="6"/>
  <c r="T102" i="6" s="1"/>
  <c r="T109" i="9" s="1"/>
  <c r="U102" i="6"/>
  <c r="U109" i="9" s="1"/>
  <c r="S102" i="6"/>
  <c r="S109" i="9" s="1"/>
  <c r="R102" i="6"/>
  <c r="R109" i="9" s="1"/>
  <c r="P102" i="6"/>
  <c r="P109" i="9" s="1"/>
  <c r="O102" i="6"/>
  <c r="O109" i="9" s="1"/>
  <c r="N102" i="6"/>
  <c r="N109" i="9" s="1"/>
  <c r="M102" i="6"/>
  <c r="M109" i="9" s="1"/>
  <c r="L102" i="6"/>
  <c r="L109" i="9" s="1"/>
  <c r="I102" i="6"/>
  <c r="I109" i="9" s="1"/>
  <c r="D102" i="6"/>
  <c r="D109" i="9" s="1"/>
  <c r="V101" i="6"/>
  <c r="U101" i="6" s="1"/>
  <c r="U108" i="9" s="1"/>
  <c r="R101" i="6"/>
  <c r="R108" i="9" s="1"/>
  <c r="P101" i="6"/>
  <c r="P108" i="9" s="1"/>
  <c r="H101" i="6"/>
  <c r="H108" i="9" s="1"/>
  <c r="V100" i="6"/>
  <c r="T100" i="6"/>
  <c r="T107" i="9" s="1"/>
  <c r="S100" i="6"/>
  <c r="S107" i="9" s="1"/>
  <c r="R100" i="6"/>
  <c r="R107" i="9" s="1"/>
  <c r="O100" i="6"/>
  <c r="O107" i="9" s="1"/>
  <c r="L100" i="6"/>
  <c r="L107" i="9" s="1"/>
  <c r="H100" i="6"/>
  <c r="H107" i="9" s="1"/>
  <c r="E100" i="6"/>
  <c r="E107" i="9" s="1"/>
  <c r="V99" i="6"/>
  <c r="E99" i="6"/>
  <c r="E106" i="9" s="1"/>
  <c r="V98" i="6"/>
  <c r="S98" i="6" s="1"/>
  <c r="S105" i="9" s="1"/>
  <c r="U98" i="6"/>
  <c r="U105" i="9" s="1"/>
  <c r="Q98" i="6"/>
  <c r="Q105" i="9" s="1"/>
  <c r="P98" i="6"/>
  <c r="P105" i="9" s="1"/>
  <c r="N98" i="6"/>
  <c r="N105" i="9" s="1"/>
  <c r="M98" i="6"/>
  <c r="M105" i="9" s="1"/>
  <c r="L98" i="6"/>
  <c r="L105" i="9" s="1"/>
  <c r="I98" i="6"/>
  <c r="I105" i="9" s="1"/>
  <c r="E98" i="6"/>
  <c r="E105" i="9" s="1"/>
  <c r="D98" i="6"/>
  <c r="D105" i="9" s="1"/>
  <c r="V97" i="6"/>
  <c r="O97" i="6" s="1"/>
  <c r="O104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N97" i="6"/>
  <c r="N104" i="9" s="1"/>
  <c r="M97" i="6"/>
  <c r="M104" i="9" s="1"/>
  <c r="L97" i="6"/>
  <c r="L104" i="9" s="1"/>
  <c r="I97" i="6"/>
  <c r="I104" i="9" s="1"/>
  <c r="H97" i="6"/>
  <c r="H104" i="9" s="1"/>
  <c r="E97" i="6"/>
  <c r="E104" i="9" s="1"/>
  <c r="D97" i="6"/>
  <c r="D104" i="9" s="1"/>
  <c r="V96" i="6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I96" i="6"/>
  <c r="I103" i="9" s="1"/>
  <c r="H96" i="6"/>
  <c r="H103" i="9" s="1"/>
  <c r="E96" i="6"/>
  <c r="E103" i="9" s="1"/>
  <c r="D96" i="6"/>
  <c r="D103" i="9" s="1"/>
  <c r="V95" i="6"/>
  <c r="U95" i="6" s="1"/>
  <c r="U102" i="9" s="1"/>
  <c r="T95" i="6"/>
  <c r="T102" i="9" s="1"/>
  <c r="R95" i="6"/>
  <c r="R102" i="9" s="1"/>
  <c r="Q95" i="6"/>
  <c r="Q102" i="9" s="1"/>
  <c r="L95" i="6"/>
  <c r="L102" i="9" s="1"/>
  <c r="I95" i="6"/>
  <c r="I102" i="9" s="1"/>
  <c r="H95" i="6"/>
  <c r="H102" i="9" s="1"/>
  <c r="E95" i="6"/>
  <c r="E102" i="9" s="1"/>
  <c r="V94" i="6"/>
  <c r="Q94" i="6"/>
  <c r="Q101" i="9" s="1"/>
  <c r="O94" i="6"/>
  <c r="O101" i="9" s="1"/>
  <c r="I94" i="6"/>
  <c r="I101" i="9" s="1"/>
  <c r="H94" i="6"/>
  <c r="H101" i="9" s="1"/>
  <c r="V93" i="6"/>
  <c r="Q93" i="6" s="1"/>
  <c r="Q100" i="9" s="1"/>
  <c r="U93" i="6"/>
  <c r="U100" i="9" s="1"/>
  <c r="S93" i="6"/>
  <c r="S100" i="9" s="1"/>
  <c r="R93" i="6"/>
  <c r="R100" i="9" s="1"/>
  <c r="P93" i="6"/>
  <c r="P100" i="9" s="1"/>
  <c r="O93" i="6"/>
  <c r="O100" i="9" s="1"/>
  <c r="N93" i="6"/>
  <c r="N100" i="9" s="1"/>
  <c r="L93" i="6"/>
  <c r="L100" i="9" s="1"/>
  <c r="I93" i="6"/>
  <c r="I100" i="9" s="1"/>
  <c r="E93" i="6"/>
  <c r="E100" i="9" s="1"/>
  <c r="D93" i="6"/>
  <c r="D100" i="9" s="1"/>
  <c r="D92" i="6"/>
  <c r="D99" i="9" s="1"/>
  <c r="E91" i="6"/>
  <c r="E98" i="9" s="1"/>
  <c r="D91" i="6"/>
  <c r="D98" i="9" s="1"/>
  <c r="E90" i="6"/>
  <c r="E97" i="9" s="1"/>
  <c r="D90" i="6"/>
  <c r="D97" i="9" s="1"/>
  <c r="V89" i="6"/>
  <c r="T89" i="6"/>
  <c r="T96" i="9" s="1"/>
  <c r="O89" i="6"/>
  <c r="O96" i="9" s="1"/>
  <c r="N89" i="6"/>
  <c r="N96" i="9" s="1"/>
  <c r="H89" i="6"/>
  <c r="H96" i="9" s="1"/>
  <c r="V88" i="6"/>
  <c r="Q88" i="6" s="1"/>
  <c r="Q95" i="9" s="1"/>
  <c r="U88" i="6"/>
  <c r="U95" i="9" s="1"/>
  <c r="T88" i="6"/>
  <c r="T95" i="9" s="1"/>
  <c r="S88" i="6"/>
  <c r="S95" i="9" s="1"/>
  <c r="P88" i="6"/>
  <c r="P95" i="9" s="1"/>
  <c r="O88" i="6"/>
  <c r="O95" i="9" s="1"/>
  <c r="N88" i="6"/>
  <c r="N95" i="9" s="1"/>
  <c r="M88" i="6"/>
  <c r="M95" i="9" s="1"/>
  <c r="L88" i="6"/>
  <c r="L95" i="9" s="1"/>
  <c r="I88" i="6"/>
  <c r="I95" i="9" s="1"/>
  <c r="H88" i="6"/>
  <c r="H95" i="9" s="1"/>
  <c r="E88" i="6"/>
  <c r="E95" i="9" s="1"/>
  <c r="V87" i="6"/>
  <c r="U87" i="6"/>
  <c r="U94" i="9" s="1"/>
  <c r="P87" i="6"/>
  <c r="P94" i="9" s="1"/>
  <c r="N87" i="6"/>
  <c r="N94" i="9" s="1"/>
  <c r="I87" i="6"/>
  <c r="I94" i="9" s="1"/>
  <c r="H87" i="6"/>
  <c r="H94" i="9" s="1"/>
  <c r="V86" i="6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I86" i="6"/>
  <c r="I93" i="9" s="1"/>
  <c r="H86" i="6"/>
  <c r="H93" i="9" s="1"/>
  <c r="E86" i="6"/>
  <c r="E93" i="9" s="1"/>
  <c r="D86" i="6"/>
  <c r="D93" i="9" s="1"/>
  <c r="V85" i="6"/>
  <c r="O85" i="6" s="1"/>
  <c r="O92" i="9" s="1"/>
  <c r="U85" i="6"/>
  <c r="U92" i="9" s="1"/>
  <c r="T85" i="6"/>
  <c r="T92" i="9" s="1"/>
  <c r="R85" i="6"/>
  <c r="R92" i="9" s="1"/>
  <c r="Q85" i="6"/>
  <c r="Q92" i="9" s="1"/>
  <c r="P85" i="6"/>
  <c r="P92" i="9" s="1"/>
  <c r="N85" i="6"/>
  <c r="N92" i="9" s="1"/>
  <c r="M85" i="6"/>
  <c r="M92" i="9" s="1"/>
  <c r="L85" i="6"/>
  <c r="L92" i="9" s="1"/>
  <c r="I85" i="6"/>
  <c r="I92" i="9" s="1"/>
  <c r="H85" i="6"/>
  <c r="H92" i="9" s="1"/>
  <c r="E85" i="6"/>
  <c r="E92" i="9" s="1"/>
  <c r="D85" i="6"/>
  <c r="D92" i="9" s="1"/>
  <c r="V84" i="6"/>
  <c r="T84" i="6"/>
  <c r="T91" i="9" s="1"/>
  <c r="S84" i="6"/>
  <c r="S91" i="9" s="1"/>
  <c r="R84" i="6"/>
  <c r="R91" i="9" s="1"/>
  <c r="Q84" i="6"/>
  <c r="Q91" i="9" s="1"/>
  <c r="O84" i="6"/>
  <c r="O91" i="9" s="1"/>
  <c r="N84" i="6"/>
  <c r="N91" i="9" s="1"/>
  <c r="M84" i="6"/>
  <c r="M91" i="9" s="1"/>
  <c r="L84" i="6"/>
  <c r="L91" i="9" s="1"/>
  <c r="I84" i="6"/>
  <c r="I91" i="9" s="1"/>
  <c r="E84" i="6"/>
  <c r="E91" i="9" s="1"/>
  <c r="D84" i="6"/>
  <c r="D91" i="9" s="1"/>
  <c r="V83" i="6"/>
  <c r="U83" i="6"/>
  <c r="U90" i="9" s="1"/>
  <c r="T83" i="6"/>
  <c r="T90" i="9" s="1"/>
  <c r="S83" i="6"/>
  <c r="S90" i="9" s="1"/>
  <c r="R83" i="6"/>
  <c r="R90" i="9" s="1"/>
  <c r="P83" i="6"/>
  <c r="P90" i="9" s="1"/>
  <c r="O83" i="6"/>
  <c r="O90" i="9" s="1"/>
  <c r="N83" i="6"/>
  <c r="N90" i="9" s="1"/>
  <c r="M83" i="6"/>
  <c r="M90" i="9" s="1"/>
  <c r="L83" i="6"/>
  <c r="L90" i="9" s="1"/>
  <c r="I83" i="6"/>
  <c r="I90" i="9" s="1"/>
  <c r="H83" i="6"/>
  <c r="H90" i="9" s="1"/>
  <c r="D83" i="6"/>
  <c r="D90" i="9" s="1"/>
  <c r="V82" i="6"/>
  <c r="N82" i="6" s="1"/>
  <c r="N89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M82" i="6"/>
  <c r="M89" i="9" s="1"/>
  <c r="L82" i="6"/>
  <c r="L89" i="9" s="1"/>
  <c r="I82" i="6"/>
  <c r="I89" i="9" s="1"/>
  <c r="H82" i="6"/>
  <c r="H89" i="9" s="1"/>
  <c r="E82" i="6"/>
  <c r="E89" i="9" s="1"/>
  <c r="D82" i="6"/>
  <c r="D89" i="9" s="1"/>
  <c r="V81" i="6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H81" i="6"/>
  <c r="H88" i="9" s="1"/>
  <c r="E81" i="6"/>
  <c r="E88" i="9" s="1"/>
  <c r="D81" i="6"/>
  <c r="D88" i="9" s="1"/>
  <c r="V80" i="6"/>
  <c r="U80" i="6"/>
  <c r="U87" i="9" s="1"/>
  <c r="T80" i="6"/>
  <c r="T87" i="9" s="1"/>
  <c r="S80" i="6"/>
  <c r="S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I80" i="6"/>
  <c r="I87" i="9" s="1"/>
  <c r="H80" i="6"/>
  <c r="H87" i="9" s="1"/>
  <c r="E80" i="6"/>
  <c r="E87" i="9" s="1"/>
  <c r="D80" i="6"/>
  <c r="D87" i="9" s="1"/>
  <c r="V79" i="6"/>
  <c r="O79" i="6" s="1"/>
  <c r="O86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N79" i="6"/>
  <c r="N86" i="9" s="1"/>
  <c r="M79" i="6"/>
  <c r="M86" i="9" s="1"/>
  <c r="L79" i="6"/>
  <c r="L86" i="9" s="1"/>
  <c r="I79" i="6"/>
  <c r="I86" i="9" s="1"/>
  <c r="H79" i="6"/>
  <c r="H86" i="9" s="1"/>
  <c r="E79" i="6"/>
  <c r="E86" i="9" s="1"/>
  <c r="D79" i="6"/>
  <c r="D86" i="9" s="1"/>
  <c r="V78" i="6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I78" i="6"/>
  <c r="I85" i="9" s="1"/>
  <c r="H78" i="6"/>
  <c r="H85" i="9" s="1"/>
  <c r="E78" i="6"/>
  <c r="E85" i="9" s="1"/>
  <c r="D78" i="6"/>
  <c r="D85" i="9" s="1"/>
  <c r="V77" i="6"/>
  <c r="U77" i="6"/>
  <c r="U84" i="9" s="1"/>
  <c r="T77" i="6"/>
  <c r="T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I77" i="6"/>
  <c r="I84" i="9" s="1"/>
  <c r="H77" i="6"/>
  <c r="H84" i="9" s="1"/>
  <c r="E77" i="6"/>
  <c r="E84" i="9" s="1"/>
  <c r="D77" i="6"/>
  <c r="D84" i="9" s="1"/>
  <c r="V76" i="6"/>
  <c r="U76" i="6"/>
  <c r="U83" i="9" s="1"/>
  <c r="T76" i="6"/>
  <c r="T83" i="9" s="1"/>
  <c r="S76" i="6"/>
  <c r="S83" i="9" s="1"/>
  <c r="R76" i="6"/>
  <c r="R83" i="9" s="1"/>
  <c r="Q76" i="6"/>
  <c r="Q83" i="9" s="1"/>
  <c r="O76" i="6"/>
  <c r="O83" i="9" s="1"/>
  <c r="N76" i="6"/>
  <c r="N83" i="9" s="1"/>
  <c r="M76" i="6"/>
  <c r="M83" i="9" s="1"/>
  <c r="L76" i="6"/>
  <c r="L83" i="9" s="1"/>
  <c r="I76" i="6"/>
  <c r="I83" i="9" s="1"/>
  <c r="H76" i="6"/>
  <c r="H83" i="9" s="1"/>
  <c r="E76" i="6"/>
  <c r="E83" i="9" s="1"/>
  <c r="V75" i="6"/>
  <c r="M75" i="6" s="1"/>
  <c r="M82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L75" i="6"/>
  <c r="L82" i="9" s="1"/>
  <c r="I75" i="6"/>
  <c r="I82" i="9" s="1"/>
  <c r="H75" i="6"/>
  <c r="H82" i="9" s="1"/>
  <c r="E75" i="6"/>
  <c r="E82" i="9" s="1"/>
  <c r="D75" i="6"/>
  <c r="D82" i="9" s="1"/>
  <c r="V74" i="6"/>
  <c r="U74" i="6"/>
  <c r="U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I74" i="6"/>
  <c r="I81" i="9" s="1"/>
  <c r="E74" i="6"/>
  <c r="E81" i="9" s="1"/>
  <c r="D74" i="6"/>
  <c r="D81" i="9" s="1"/>
  <c r="V73" i="6"/>
  <c r="U73" i="6"/>
  <c r="U80" i="9" s="1"/>
  <c r="T73" i="6"/>
  <c r="T80" i="9" s="1"/>
  <c r="S73" i="6"/>
  <c r="S80" i="9" s="1"/>
  <c r="R73" i="6"/>
  <c r="R80" i="9" s="1"/>
  <c r="P73" i="6"/>
  <c r="P80" i="9" s="1"/>
  <c r="O73" i="6"/>
  <c r="O80" i="9" s="1"/>
  <c r="N73" i="6"/>
  <c r="N80" i="9" s="1"/>
  <c r="M73" i="6"/>
  <c r="M80" i="9" s="1"/>
  <c r="L73" i="6"/>
  <c r="L80" i="9" s="1"/>
  <c r="I73" i="6"/>
  <c r="I80" i="9" s="1"/>
  <c r="H73" i="6"/>
  <c r="H80" i="9" s="1"/>
  <c r="D73" i="6"/>
  <c r="D80" i="9" s="1"/>
  <c r="V72" i="6"/>
  <c r="N72" i="6" s="1"/>
  <c r="N79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M72" i="6"/>
  <c r="M79" i="9" s="1"/>
  <c r="L72" i="6"/>
  <c r="L79" i="9" s="1"/>
  <c r="I72" i="6"/>
  <c r="I79" i="9" s="1"/>
  <c r="H72" i="6"/>
  <c r="H79" i="9" s="1"/>
  <c r="E72" i="6"/>
  <c r="E79" i="9" s="1"/>
  <c r="D72" i="6"/>
  <c r="D79" i="9" s="1"/>
  <c r="V71" i="6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E71" i="6"/>
  <c r="E78" i="9" s="1"/>
  <c r="D71" i="6"/>
  <c r="D78" i="9" s="1"/>
  <c r="D70" i="6"/>
  <c r="D77" i="9" s="1"/>
  <c r="E69" i="6"/>
  <c r="E76" i="9" s="1"/>
  <c r="D69" i="6"/>
  <c r="D76" i="9" s="1"/>
  <c r="E68" i="6"/>
  <c r="E75" i="9" s="1"/>
  <c r="D68" i="6"/>
  <c r="D75" i="9" s="1"/>
  <c r="V67" i="6"/>
  <c r="U67" i="6"/>
  <c r="U74" i="9" s="1"/>
  <c r="T67" i="6"/>
  <c r="T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I67" i="6"/>
  <c r="I74" i="9" s="1"/>
  <c r="H67" i="6"/>
  <c r="H74" i="9" s="1"/>
  <c r="E67" i="6"/>
  <c r="E74" i="9" s="1"/>
  <c r="D67" i="6"/>
  <c r="D74" i="9" s="1"/>
  <c r="V66" i="6"/>
  <c r="U66" i="6"/>
  <c r="U73" i="9" s="1"/>
  <c r="T66" i="6"/>
  <c r="T73" i="9" s="1"/>
  <c r="S66" i="6"/>
  <c r="S73" i="9" s="1"/>
  <c r="R66" i="6"/>
  <c r="R73" i="9" s="1"/>
  <c r="Q66" i="6"/>
  <c r="Q73" i="9" s="1"/>
  <c r="O66" i="6"/>
  <c r="O73" i="9" s="1"/>
  <c r="N66" i="6"/>
  <c r="N73" i="9" s="1"/>
  <c r="M66" i="6"/>
  <c r="M73" i="9" s="1"/>
  <c r="L66" i="6"/>
  <c r="L73" i="9" s="1"/>
  <c r="I66" i="6"/>
  <c r="I73" i="9" s="1"/>
  <c r="H66" i="6"/>
  <c r="H73" i="9" s="1"/>
  <c r="E66" i="6"/>
  <c r="E73" i="9" s="1"/>
  <c r="V65" i="6"/>
  <c r="M65" i="6" s="1"/>
  <c r="M72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L65" i="6"/>
  <c r="L72" i="9" s="1"/>
  <c r="I65" i="6"/>
  <c r="I72" i="9" s="1"/>
  <c r="H65" i="6"/>
  <c r="H72" i="9" s="1"/>
  <c r="E65" i="6"/>
  <c r="E72" i="9" s="1"/>
  <c r="D65" i="6"/>
  <c r="D72" i="9" s="1"/>
  <c r="V64" i="6"/>
  <c r="U64" i="6"/>
  <c r="U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I64" i="6"/>
  <c r="I71" i="9" s="1"/>
  <c r="E64" i="6"/>
  <c r="E71" i="9" s="1"/>
  <c r="D64" i="6"/>
  <c r="D71" i="9" s="1"/>
  <c r="V63" i="6"/>
  <c r="U63" i="6"/>
  <c r="U70" i="9" s="1"/>
  <c r="T63" i="6"/>
  <c r="T70" i="9" s="1"/>
  <c r="S63" i="6"/>
  <c r="S70" i="9" s="1"/>
  <c r="R63" i="6"/>
  <c r="R70" i="9" s="1"/>
  <c r="P63" i="6"/>
  <c r="P70" i="9" s="1"/>
  <c r="O63" i="6"/>
  <c r="O70" i="9" s="1"/>
  <c r="N63" i="6"/>
  <c r="N70" i="9" s="1"/>
  <c r="M63" i="6"/>
  <c r="M70" i="9" s="1"/>
  <c r="L63" i="6"/>
  <c r="L70" i="9" s="1"/>
  <c r="I63" i="6"/>
  <c r="I70" i="9" s="1"/>
  <c r="H63" i="6"/>
  <c r="H70" i="9" s="1"/>
  <c r="D63" i="6"/>
  <c r="D70" i="9" s="1"/>
  <c r="V62" i="6"/>
  <c r="N62" i="6" s="1"/>
  <c r="N69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M62" i="6"/>
  <c r="M69" i="9" s="1"/>
  <c r="L62" i="6"/>
  <c r="L69" i="9" s="1"/>
  <c r="I62" i="6"/>
  <c r="I69" i="9" s="1"/>
  <c r="H62" i="6"/>
  <c r="H69" i="9" s="1"/>
  <c r="E62" i="6"/>
  <c r="E69" i="9" s="1"/>
  <c r="D62" i="6"/>
  <c r="D69" i="9" s="1"/>
  <c r="V61" i="6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H61" i="6"/>
  <c r="H68" i="9" s="1"/>
  <c r="E61" i="6"/>
  <c r="E68" i="9" s="1"/>
  <c r="D61" i="6"/>
  <c r="D68" i="9" s="1"/>
  <c r="V60" i="6"/>
  <c r="U60" i="6"/>
  <c r="U67" i="9" s="1"/>
  <c r="T60" i="6"/>
  <c r="T67" i="9" s="1"/>
  <c r="S60" i="6"/>
  <c r="S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I60" i="6"/>
  <c r="I67" i="9" s="1"/>
  <c r="H60" i="6"/>
  <c r="H67" i="9" s="1"/>
  <c r="E60" i="6"/>
  <c r="E67" i="9" s="1"/>
  <c r="D60" i="6"/>
  <c r="D67" i="9" s="1"/>
  <c r="V59" i="6"/>
  <c r="O59" i="6" s="1"/>
  <c r="O66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N59" i="6"/>
  <c r="N66" i="9" s="1"/>
  <c r="M59" i="6"/>
  <c r="M66" i="9" s="1"/>
  <c r="L59" i="6"/>
  <c r="L66" i="9" s="1"/>
  <c r="I59" i="6"/>
  <c r="I66" i="9" s="1"/>
  <c r="H59" i="6"/>
  <c r="H66" i="9" s="1"/>
  <c r="E59" i="6"/>
  <c r="E66" i="9" s="1"/>
  <c r="D59" i="6"/>
  <c r="D66" i="9" s="1"/>
  <c r="V58" i="6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I58" i="6"/>
  <c r="I65" i="9" s="1"/>
  <c r="H58" i="6"/>
  <c r="H65" i="9" s="1"/>
  <c r="E58" i="6"/>
  <c r="E65" i="9" s="1"/>
  <c r="D58" i="6"/>
  <c r="D65" i="9" s="1"/>
  <c r="V57" i="6"/>
  <c r="U57" i="6"/>
  <c r="U64" i="9" s="1"/>
  <c r="T57" i="6"/>
  <c r="T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I57" i="6"/>
  <c r="I64" i="9" s="1"/>
  <c r="H57" i="6"/>
  <c r="H64" i="9" s="1"/>
  <c r="E57" i="6"/>
  <c r="E64" i="9" s="1"/>
  <c r="D57" i="6"/>
  <c r="D64" i="9" s="1"/>
  <c r="V56" i="6"/>
  <c r="U56" i="6"/>
  <c r="U63" i="9" s="1"/>
  <c r="T56" i="6"/>
  <c r="T63" i="9" s="1"/>
  <c r="S56" i="6"/>
  <c r="S63" i="9" s="1"/>
  <c r="R56" i="6"/>
  <c r="R63" i="9" s="1"/>
  <c r="Q56" i="6"/>
  <c r="Q63" i="9" s="1"/>
  <c r="O56" i="6"/>
  <c r="O63" i="9" s="1"/>
  <c r="N56" i="6"/>
  <c r="N63" i="9" s="1"/>
  <c r="M56" i="6"/>
  <c r="M63" i="9" s="1"/>
  <c r="L56" i="6"/>
  <c r="L63" i="9" s="1"/>
  <c r="I56" i="6"/>
  <c r="I63" i="9" s="1"/>
  <c r="H56" i="6"/>
  <c r="H63" i="9" s="1"/>
  <c r="E56" i="6"/>
  <c r="E63" i="9" s="1"/>
  <c r="V55" i="6"/>
  <c r="M55" i="6" s="1"/>
  <c r="M62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L55" i="6"/>
  <c r="L62" i="9" s="1"/>
  <c r="I55" i="6"/>
  <c r="I62" i="9" s="1"/>
  <c r="H55" i="6"/>
  <c r="H62" i="9" s="1"/>
  <c r="E55" i="6"/>
  <c r="E62" i="9" s="1"/>
  <c r="D55" i="6"/>
  <c r="D62" i="9" s="1"/>
  <c r="V54" i="6"/>
  <c r="U54" i="6"/>
  <c r="U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I54" i="6"/>
  <c r="I61" i="9" s="1"/>
  <c r="E54" i="6"/>
  <c r="E61" i="9" s="1"/>
  <c r="D54" i="6"/>
  <c r="D61" i="9" s="1"/>
  <c r="V53" i="6"/>
  <c r="U53" i="6"/>
  <c r="U60" i="9" s="1"/>
  <c r="T53" i="6"/>
  <c r="T60" i="9" s="1"/>
  <c r="S53" i="6"/>
  <c r="S60" i="9" s="1"/>
  <c r="R53" i="6"/>
  <c r="R60" i="9" s="1"/>
  <c r="P53" i="6"/>
  <c r="P60" i="9" s="1"/>
  <c r="O53" i="6"/>
  <c r="O60" i="9" s="1"/>
  <c r="N53" i="6"/>
  <c r="N60" i="9" s="1"/>
  <c r="M53" i="6"/>
  <c r="M60" i="9" s="1"/>
  <c r="L53" i="6"/>
  <c r="L60" i="9" s="1"/>
  <c r="I53" i="6"/>
  <c r="I60" i="9" s="1"/>
  <c r="H53" i="6"/>
  <c r="H60" i="9" s="1"/>
  <c r="D53" i="6"/>
  <c r="D60" i="9" s="1"/>
  <c r="V52" i="6"/>
  <c r="N52" i="6" s="1"/>
  <c r="N59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M52" i="6"/>
  <c r="M59" i="9" s="1"/>
  <c r="L52" i="6"/>
  <c r="L59" i="9" s="1"/>
  <c r="I52" i="6"/>
  <c r="I59" i="9" s="1"/>
  <c r="H52" i="6"/>
  <c r="H59" i="9" s="1"/>
  <c r="E52" i="6"/>
  <c r="E59" i="9" s="1"/>
  <c r="D52" i="6"/>
  <c r="D59" i="9" s="1"/>
  <c r="V51" i="6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H51" i="6"/>
  <c r="H58" i="9" s="1"/>
  <c r="G58" i="9"/>
  <c r="E51" i="6"/>
  <c r="E58" i="9" s="1"/>
  <c r="D51" i="6"/>
  <c r="D58" i="9" s="1"/>
  <c r="V50" i="6"/>
  <c r="U50" i="6"/>
  <c r="U57" i="9" s="1"/>
  <c r="T50" i="6"/>
  <c r="T57" i="9" s="1"/>
  <c r="S50" i="6"/>
  <c r="S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I50" i="6"/>
  <c r="I57" i="9" s="1"/>
  <c r="H50" i="6"/>
  <c r="H57" i="9" s="1"/>
  <c r="E50" i="6"/>
  <c r="E57" i="9" s="1"/>
  <c r="D50" i="6"/>
  <c r="D57" i="9" s="1"/>
  <c r="V49" i="6"/>
  <c r="O49" i="6" s="1"/>
  <c r="O56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N49" i="6"/>
  <c r="N56" i="9" s="1"/>
  <c r="M49" i="6"/>
  <c r="M56" i="9" s="1"/>
  <c r="L49" i="6"/>
  <c r="L56" i="9" s="1"/>
  <c r="I49" i="6"/>
  <c r="I56" i="9" s="1"/>
  <c r="H49" i="6"/>
  <c r="H56" i="9" s="1"/>
  <c r="E49" i="6"/>
  <c r="E56" i="9" s="1"/>
  <c r="D49" i="6"/>
  <c r="D56" i="9" s="1"/>
  <c r="D48" i="6"/>
  <c r="D55" i="9" s="1"/>
  <c r="E47" i="6"/>
  <c r="E54" i="9" s="1"/>
  <c r="D47" i="6"/>
  <c r="D54" i="9" s="1"/>
  <c r="E46" i="6"/>
  <c r="E53" i="9" s="1"/>
  <c r="D46" i="6"/>
  <c r="D53" i="9" s="1"/>
  <c r="V45" i="6"/>
  <c r="M45" i="6" s="1"/>
  <c r="M52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L45" i="6"/>
  <c r="L52" i="9" s="1"/>
  <c r="I45" i="6"/>
  <c r="I52" i="9" s="1"/>
  <c r="H45" i="6"/>
  <c r="H52" i="9" s="1"/>
  <c r="E45" i="6"/>
  <c r="E52" i="9" s="1"/>
  <c r="D45" i="6"/>
  <c r="D52" i="9" s="1"/>
  <c r="V44" i="6"/>
  <c r="U44" i="6"/>
  <c r="U51" i="9" s="1"/>
  <c r="S44" i="6"/>
  <c r="S51" i="9" s="1"/>
  <c r="R44" i="6"/>
  <c r="R51" i="9" s="1"/>
  <c r="Q44" i="6"/>
  <c r="Q51" i="9" s="1"/>
  <c r="P44" i="6"/>
  <c r="P51" i="9" s="1"/>
  <c r="O44" i="6"/>
  <c r="O51" i="9" s="1"/>
  <c r="N44" i="6"/>
  <c r="N51" i="9" s="1"/>
  <c r="M44" i="6"/>
  <c r="M51" i="9" s="1"/>
  <c r="L44" i="6"/>
  <c r="L51" i="9" s="1"/>
  <c r="I44" i="6"/>
  <c r="I51" i="9" s="1"/>
  <c r="E44" i="6"/>
  <c r="E51" i="9" s="1"/>
  <c r="D44" i="6"/>
  <c r="D51" i="9" s="1"/>
  <c r="V43" i="6"/>
  <c r="U43" i="6"/>
  <c r="U50" i="9" s="1"/>
  <c r="T43" i="6"/>
  <c r="T50" i="9" s="1"/>
  <c r="S43" i="6"/>
  <c r="S50" i="9" s="1"/>
  <c r="R43" i="6"/>
  <c r="R50" i="9" s="1"/>
  <c r="P43" i="6"/>
  <c r="P50" i="9" s="1"/>
  <c r="O43" i="6"/>
  <c r="O50" i="9" s="1"/>
  <c r="N43" i="6"/>
  <c r="N50" i="9" s="1"/>
  <c r="M43" i="6"/>
  <c r="M50" i="9" s="1"/>
  <c r="L43" i="6"/>
  <c r="L50" i="9" s="1"/>
  <c r="I43" i="6"/>
  <c r="I50" i="9" s="1"/>
  <c r="H43" i="6"/>
  <c r="H50" i="9" s="1"/>
  <c r="D43" i="6"/>
  <c r="D50" i="9" s="1"/>
  <c r="V42" i="6"/>
  <c r="N42" i="6" s="1"/>
  <c r="N49" i="9" s="1"/>
  <c r="U42" i="6"/>
  <c r="U49" i="9" s="1"/>
  <c r="T42" i="6"/>
  <c r="T49" i="9" s="1"/>
  <c r="S42" i="6"/>
  <c r="S49" i="9" s="1"/>
  <c r="R42" i="6"/>
  <c r="R49" i="9" s="1"/>
  <c r="Q42" i="6"/>
  <c r="Q49" i="9" s="1"/>
  <c r="P42" i="6"/>
  <c r="P49" i="9" s="1"/>
  <c r="O42" i="6"/>
  <c r="O49" i="9" s="1"/>
  <c r="M42" i="6"/>
  <c r="M49" i="9" s="1"/>
  <c r="L42" i="6"/>
  <c r="L49" i="9" s="1"/>
  <c r="I42" i="6"/>
  <c r="I49" i="9" s="1"/>
  <c r="H42" i="6"/>
  <c r="H49" i="9" s="1"/>
  <c r="E42" i="6"/>
  <c r="E49" i="9" s="1"/>
  <c r="D42" i="6"/>
  <c r="D49" i="9" s="1"/>
  <c r="V41" i="6"/>
  <c r="T41" i="6"/>
  <c r="T48" i="9" s="1"/>
  <c r="S41" i="6"/>
  <c r="S48" i="9" s="1"/>
  <c r="R41" i="6"/>
  <c r="R48" i="9" s="1"/>
  <c r="Q41" i="6"/>
  <c r="Q48" i="9" s="1"/>
  <c r="P41" i="6"/>
  <c r="P48" i="9" s="1"/>
  <c r="O41" i="6"/>
  <c r="O48" i="9" s="1"/>
  <c r="N41" i="6"/>
  <c r="N48" i="9" s="1"/>
  <c r="M41" i="6"/>
  <c r="M48" i="9" s="1"/>
  <c r="L41" i="6"/>
  <c r="L48" i="9" s="1"/>
  <c r="H41" i="6"/>
  <c r="H48" i="9" s="1"/>
  <c r="G48" i="9"/>
  <c r="E41" i="6"/>
  <c r="E48" i="9" s="1"/>
  <c r="D41" i="6"/>
  <c r="D48" i="9" s="1"/>
  <c r="V40" i="6"/>
  <c r="U40" i="6"/>
  <c r="U47" i="9" s="1"/>
  <c r="T40" i="6"/>
  <c r="T47" i="9" s="1"/>
  <c r="S40" i="6"/>
  <c r="S47" i="9" s="1"/>
  <c r="Q40" i="6"/>
  <c r="Q47" i="9" s="1"/>
  <c r="P40" i="6"/>
  <c r="P47" i="9" s="1"/>
  <c r="O40" i="6"/>
  <c r="O47" i="9" s="1"/>
  <c r="N40" i="6"/>
  <c r="N47" i="9" s="1"/>
  <c r="M40" i="6"/>
  <c r="M47" i="9" s="1"/>
  <c r="L40" i="6"/>
  <c r="L47" i="9" s="1"/>
  <c r="I40" i="6"/>
  <c r="I47" i="9" s="1"/>
  <c r="H40" i="6"/>
  <c r="H47" i="9" s="1"/>
  <c r="E40" i="6"/>
  <c r="E47" i="9" s="1"/>
  <c r="D40" i="6"/>
  <c r="D47" i="9" s="1"/>
  <c r="V39" i="6"/>
  <c r="O39" i="6" s="1"/>
  <c r="O46" i="9" s="1"/>
  <c r="U39" i="6"/>
  <c r="U46" i="9" s="1"/>
  <c r="T39" i="6"/>
  <c r="T46" i="9" s="1"/>
  <c r="S39" i="6"/>
  <c r="S46" i="9" s="1"/>
  <c r="R39" i="6"/>
  <c r="R46" i="9" s="1"/>
  <c r="Q39" i="6"/>
  <c r="Q46" i="9" s="1"/>
  <c r="P39" i="6"/>
  <c r="P46" i="9" s="1"/>
  <c r="N39" i="6"/>
  <c r="N46" i="9" s="1"/>
  <c r="M39" i="6"/>
  <c r="M46" i="9" s="1"/>
  <c r="L39" i="6"/>
  <c r="L46" i="9" s="1"/>
  <c r="I39" i="6"/>
  <c r="I46" i="9" s="1"/>
  <c r="H39" i="6"/>
  <c r="H46" i="9" s="1"/>
  <c r="E39" i="6"/>
  <c r="E46" i="9" s="1"/>
  <c r="D39" i="6"/>
  <c r="D46" i="9" s="1"/>
  <c r="V38" i="6"/>
  <c r="U38" i="6"/>
  <c r="U45" i="9" s="1"/>
  <c r="T38" i="6"/>
  <c r="T45" i="9" s="1"/>
  <c r="S38" i="6"/>
  <c r="S45" i="9" s="1"/>
  <c r="R38" i="6"/>
  <c r="R45" i="9" s="1"/>
  <c r="Q38" i="6"/>
  <c r="Q45" i="9" s="1"/>
  <c r="P38" i="6"/>
  <c r="P45" i="9" s="1"/>
  <c r="O38" i="6"/>
  <c r="O45" i="9" s="1"/>
  <c r="N38" i="6"/>
  <c r="N45" i="9" s="1"/>
  <c r="M38" i="6"/>
  <c r="M45" i="9" s="1"/>
  <c r="L38" i="6"/>
  <c r="L45" i="9" s="1"/>
  <c r="I38" i="6"/>
  <c r="I45" i="9" s="1"/>
  <c r="H38" i="6"/>
  <c r="H45" i="9" s="1"/>
  <c r="E38" i="6"/>
  <c r="E45" i="9" s="1"/>
  <c r="D38" i="6"/>
  <c r="D45" i="9" s="1"/>
  <c r="V37" i="6"/>
  <c r="U37" i="6"/>
  <c r="U44" i="9" s="1"/>
  <c r="T37" i="6"/>
  <c r="T44" i="9" s="1"/>
  <c r="R37" i="6"/>
  <c r="R44" i="9" s="1"/>
  <c r="Q37" i="6"/>
  <c r="Q44" i="9" s="1"/>
  <c r="P37" i="6"/>
  <c r="P44" i="9" s="1"/>
  <c r="O37" i="6"/>
  <c r="O44" i="9" s="1"/>
  <c r="N37" i="6"/>
  <c r="N44" i="9" s="1"/>
  <c r="M37" i="6"/>
  <c r="M44" i="9" s="1"/>
  <c r="L37" i="6"/>
  <c r="L44" i="9" s="1"/>
  <c r="I37" i="6"/>
  <c r="I44" i="9" s="1"/>
  <c r="H37" i="6"/>
  <c r="H44" i="9" s="1"/>
  <c r="E37" i="6"/>
  <c r="E44" i="9" s="1"/>
  <c r="D37" i="6"/>
  <c r="D44" i="9" s="1"/>
  <c r="V36" i="6"/>
  <c r="U36" i="6"/>
  <c r="U43" i="9" s="1"/>
  <c r="T36" i="6"/>
  <c r="T43" i="9" s="1"/>
  <c r="S36" i="6"/>
  <c r="S43" i="9" s="1"/>
  <c r="R36" i="6"/>
  <c r="R43" i="9" s="1"/>
  <c r="Q36" i="6"/>
  <c r="Q43" i="9" s="1"/>
  <c r="O36" i="6"/>
  <c r="O43" i="9" s="1"/>
  <c r="N36" i="6"/>
  <c r="N43" i="9" s="1"/>
  <c r="M36" i="6"/>
  <c r="M43" i="9" s="1"/>
  <c r="L36" i="6"/>
  <c r="L43" i="9" s="1"/>
  <c r="I36" i="6"/>
  <c r="I43" i="9" s="1"/>
  <c r="H36" i="6"/>
  <c r="H43" i="9" s="1"/>
  <c r="G43" i="9"/>
  <c r="E36" i="6"/>
  <c r="E43" i="9" s="1"/>
  <c r="V35" i="6"/>
  <c r="M35" i="6" s="1"/>
  <c r="M4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L35" i="6"/>
  <c r="L42" i="9" s="1"/>
  <c r="I35" i="6"/>
  <c r="I42" i="9" s="1"/>
  <c r="H35" i="6"/>
  <c r="H42" i="9" s="1"/>
  <c r="E35" i="6"/>
  <c r="E42" i="9" s="1"/>
  <c r="D35" i="6"/>
  <c r="D42" i="9" s="1"/>
  <c r="V34" i="6"/>
  <c r="U34" i="6"/>
  <c r="U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I34" i="6"/>
  <c r="I41" i="9" s="1"/>
  <c r="E34" i="6"/>
  <c r="E41" i="9" s="1"/>
  <c r="D34" i="6"/>
  <c r="D41" i="9" s="1"/>
  <c r="V33" i="6"/>
  <c r="Q33" i="6" s="1"/>
  <c r="Q40" i="9" s="1"/>
  <c r="U33" i="6"/>
  <c r="U40" i="9" s="1"/>
  <c r="T33" i="6"/>
  <c r="T40" i="9" s="1"/>
  <c r="S33" i="6"/>
  <c r="S40" i="9" s="1"/>
  <c r="R33" i="6"/>
  <c r="R40" i="9" s="1"/>
  <c r="P33" i="6"/>
  <c r="P40" i="9" s="1"/>
  <c r="O33" i="6"/>
  <c r="O40" i="9" s="1"/>
  <c r="N33" i="6"/>
  <c r="N40" i="9" s="1"/>
  <c r="M33" i="6"/>
  <c r="M40" i="9" s="1"/>
  <c r="L33" i="6"/>
  <c r="L40" i="9" s="1"/>
  <c r="I33" i="6"/>
  <c r="I40" i="9" s="1"/>
  <c r="H33" i="6"/>
  <c r="H40" i="9" s="1"/>
  <c r="E33" i="6"/>
  <c r="E40" i="9" s="1"/>
  <c r="D33" i="6"/>
  <c r="D40" i="9" s="1"/>
  <c r="V32" i="6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I32" i="6"/>
  <c r="I39" i="9" s="1"/>
  <c r="H32" i="6"/>
  <c r="H39" i="9" s="1"/>
  <c r="E32" i="6"/>
  <c r="E39" i="9" s="1"/>
  <c r="D32" i="6"/>
  <c r="D39" i="9" s="1"/>
  <c r="V31" i="6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I31" i="6"/>
  <c r="I38" i="9" s="1"/>
  <c r="H31" i="6"/>
  <c r="H38" i="9" s="1"/>
  <c r="E31" i="6"/>
  <c r="E38" i="9" s="1"/>
  <c r="D31" i="6"/>
  <c r="D38" i="9" s="1"/>
  <c r="V30" i="6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I30" i="6"/>
  <c r="I37" i="9" s="1"/>
  <c r="H30" i="6"/>
  <c r="H37" i="9" s="1"/>
  <c r="E30" i="6"/>
  <c r="E37" i="9" s="1"/>
  <c r="D30" i="6"/>
  <c r="D37" i="9" s="1"/>
  <c r="V29" i="6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I29" i="6"/>
  <c r="I36" i="9" s="1"/>
  <c r="H29" i="6"/>
  <c r="H36" i="9" s="1"/>
  <c r="E29" i="6"/>
  <c r="E36" i="9" s="1"/>
  <c r="D29" i="6"/>
  <c r="D36" i="9" s="1"/>
  <c r="V28" i="6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I28" i="6"/>
  <c r="I35" i="9" s="1"/>
  <c r="H28" i="6"/>
  <c r="H35" i="9" s="1"/>
  <c r="E28" i="6"/>
  <c r="E35" i="9" s="1"/>
  <c r="D28" i="6"/>
  <c r="D35" i="9" s="1"/>
  <c r="V27" i="6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I27" i="6"/>
  <c r="I34" i="9" s="1"/>
  <c r="H27" i="6"/>
  <c r="H34" i="9" s="1"/>
  <c r="E27" i="6"/>
  <c r="E34" i="9" s="1"/>
  <c r="D27" i="6"/>
  <c r="D34" i="9" s="1"/>
  <c r="D26" i="6"/>
  <c r="D33" i="9" s="1"/>
  <c r="E25" i="6"/>
  <c r="E32" i="9" s="1"/>
  <c r="D25" i="6"/>
  <c r="D32" i="9" s="1"/>
  <c r="E24" i="6"/>
  <c r="E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I23" i="6"/>
  <c r="I30" i="9" s="1"/>
  <c r="H23" i="6"/>
  <c r="H30" i="9" s="1"/>
  <c r="E23" i="6"/>
  <c r="E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I22" i="6"/>
  <c r="I29" i="9" s="1"/>
  <c r="H22" i="6"/>
  <c r="H29" i="9" s="1"/>
  <c r="E22" i="6"/>
  <c r="E29" i="9" s="1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I21" i="6"/>
  <c r="I28" i="9" s="1"/>
  <c r="H21" i="6"/>
  <c r="H28" i="9" s="1"/>
  <c r="E21" i="6"/>
  <c r="E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I20" i="6"/>
  <c r="I27" i="9" s="1"/>
  <c r="H20" i="6"/>
  <c r="H27" i="9" s="1"/>
  <c r="E20" i="6"/>
  <c r="E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I19" i="6"/>
  <c r="I26" i="9" s="1"/>
  <c r="H19" i="6"/>
  <c r="H26" i="9" s="1"/>
  <c r="E19" i="6"/>
  <c r="E26" i="9" s="1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I18" i="6"/>
  <c r="I25" i="9" s="1"/>
  <c r="H18" i="6"/>
  <c r="H25" i="9" s="1"/>
  <c r="E18" i="6"/>
  <c r="E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I17" i="6"/>
  <c r="I24" i="9" s="1"/>
  <c r="H17" i="6"/>
  <c r="H24" i="9" s="1"/>
  <c r="E17" i="6"/>
  <c r="E24" i="9" s="1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I16" i="6"/>
  <c r="I23" i="9" s="1"/>
  <c r="H16" i="6"/>
  <c r="H23" i="9" s="1"/>
  <c r="E16" i="6"/>
  <c r="E23" i="9" s="1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I15" i="6"/>
  <c r="I22" i="9" s="1"/>
  <c r="H15" i="6"/>
  <c r="H22" i="9" s="1"/>
  <c r="E15" i="6"/>
  <c r="E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I14" i="6"/>
  <c r="I21" i="9" s="1"/>
  <c r="H14" i="6"/>
  <c r="H21" i="9" s="1"/>
  <c r="E14" i="6"/>
  <c r="E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I13" i="6"/>
  <c r="I20" i="9" s="1"/>
  <c r="H13" i="6"/>
  <c r="H20" i="9" s="1"/>
  <c r="E13" i="6"/>
  <c r="E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I12" i="6"/>
  <c r="I19" i="9" s="1"/>
  <c r="H12" i="6"/>
  <c r="H19" i="9" s="1"/>
  <c r="E12" i="6"/>
  <c r="E19" i="9" s="1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I11" i="6"/>
  <c r="I18" i="9" s="1"/>
  <c r="H11" i="6"/>
  <c r="H18" i="9" s="1"/>
  <c r="E11" i="6"/>
  <c r="E18" i="9" s="1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I10" i="6"/>
  <c r="I17" i="9" s="1"/>
  <c r="H10" i="6"/>
  <c r="H17" i="9" s="1"/>
  <c r="E10" i="6"/>
  <c r="E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I9" i="6"/>
  <c r="I16" i="9" s="1"/>
  <c r="H9" i="6"/>
  <c r="H16" i="9" s="1"/>
  <c r="E9" i="6"/>
  <c r="E16" i="9" s="1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I8" i="6"/>
  <c r="I15" i="9" s="1"/>
  <c r="H8" i="6"/>
  <c r="H15" i="9" s="1"/>
  <c r="E8" i="6"/>
  <c r="E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I7" i="6"/>
  <c r="I14" i="9" s="1"/>
  <c r="H7" i="6"/>
  <c r="H14" i="9" s="1"/>
  <c r="E7" i="6"/>
  <c r="E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I6" i="6"/>
  <c r="I13" i="9" s="1"/>
  <c r="H6" i="6"/>
  <c r="H13" i="9" s="1"/>
  <c r="E6" i="6"/>
  <c r="E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I5" i="6"/>
  <c r="I12" i="9" s="1"/>
  <c r="H5" i="6"/>
  <c r="H12" i="9" s="1"/>
  <c r="E5" i="6"/>
  <c r="E12" i="9" s="1"/>
  <c r="D5" i="6"/>
  <c r="D12" i="9" s="1"/>
  <c r="D4" i="6"/>
  <c r="D11" i="9" s="1"/>
  <c r="H3" i="6"/>
  <c r="H10" i="9" s="1"/>
  <c r="E3" i="6"/>
  <c r="E10" i="9" s="1"/>
  <c r="D3" i="6"/>
  <c r="D10" i="9" s="1"/>
  <c r="I2" i="6"/>
  <c r="I9" i="9" s="1"/>
  <c r="H2" i="6"/>
  <c r="H9" i="9" s="1"/>
  <c r="E2" i="6"/>
  <c r="E9" i="9" s="1"/>
  <c r="D2" i="6"/>
  <c r="D9" i="9" s="1"/>
  <c r="A6" i="7" l="1"/>
  <c r="E6" i="7" s="1" a="1"/>
  <c r="E6" i="7" s="1"/>
  <c r="E7" i="7" a="1"/>
  <c r="E7" i="7" s="1"/>
  <c r="E17" i="7" a="1"/>
  <c r="E17" i="7" s="1"/>
  <c r="E27" i="7" a="1"/>
  <c r="E27" i="7" s="1"/>
  <c r="E37" i="7" a="1"/>
  <c r="E37" i="7" s="1"/>
  <c r="E47" i="7" a="1"/>
  <c r="E47" i="7" s="1"/>
  <c r="E57" i="7" a="1"/>
  <c r="E57" i="7" s="1"/>
  <c r="E67" i="7" a="1"/>
  <c r="E67" i="7" s="1"/>
  <c r="E77" i="7" a="1"/>
  <c r="E77" i="7" s="1"/>
  <c r="E87" i="7" a="1"/>
  <c r="E87" i="7" s="1"/>
  <c r="E8" i="7" a="1"/>
  <c r="E8" i="7" s="1"/>
  <c r="E18" i="7" a="1"/>
  <c r="E18" i="7" s="1"/>
  <c r="E28" i="7" a="1"/>
  <c r="E28" i="7" s="1"/>
  <c r="E38" i="7" a="1"/>
  <c r="E38" i="7" s="1"/>
  <c r="E48" i="7" a="1"/>
  <c r="E48" i="7" s="1"/>
  <c r="E58" i="7" a="1"/>
  <c r="E58" i="7" s="1"/>
  <c r="E68" i="7" a="1"/>
  <c r="E68" i="7" s="1"/>
  <c r="E78" i="7" a="1"/>
  <c r="E78" i="7" s="1"/>
  <c r="E88" i="7" a="1"/>
  <c r="E88" i="7" s="1"/>
  <c r="B85" i="7"/>
  <c r="D84" i="7"/>
  <c r="B80" i="7"/>
  <c r="D79" i="7"/>
  <c r="B75" i="7"/>
  <c r="D74" i="7"/>
  <c r="B70" i="7"/>
  <c r="D69" i="7"/>
  <c r="B65" i="7"/>
  <c r="D64" i="7"/>
  <c r="B60" i="7"/>
  <c r="D59" i="7"/>
  <c r="B55" i="7"/>
  <c r="D54" i="7"/>
  <c r="B50" i="7"/>
  <c r="D49" i="7"/>
  <c r="B45" i="7"/>
  <c r="D44" i="7"/>
  <c r="B40" i="7"/>
  <c r="D39" i="7"/>
  <c r="B35" i="7"/>
  <c r="D34" i="7"/>
  <c r="B30" i="7"/>
  <c r="D29" i="7"/>
  <c r="B25" i="7"/>
  <c r="D24" i="7"/>
  <c r="E9" i="7" a="1"/>
  <c r="E9" i="7" s="1"/>
  <c r="E19" i="7" a="1"/>
  <c r="E19" i="7" s="1"/>
  <c r="E29" i="7" a="1"/>
  <c r="E29" i="7" s="1"/>
  <c r="E39" i="7" a="1"/>
  <c r="E39" i="7" s="1"/>
  <c r="E49" i="7" a="1"/>
  <c r="E49" i="7" s="1"/>
  <c r="E59" i="7" a="1"/>
  <c r="E59" i="7" s="1"/>
  <c r="E69" i="7" a="1"/>
  <c r="E69" i="7" s="1"/>
  <c r="E79" i="7" a="1"/>
  <c r="E79" i="7" s="1"/>
  <c r="E10" i="7" a="1"/>
  <c r="E10" i="7" s="1"/>
  <c r="E20" i="7" a="1"/>
  <c r="E20" i="7" s="1"/>
  <c r="E30" i="7" a="1"/>
  <c r="E30" i="7" s="1"/>
  <c r="E40" i="7" a="1"/>
  <c r="E40" i="7" s="1"/>
  <c r="E50" i="7" a="1"/>
  <c r="E50" i="7" s="1"/>
  <c r="E60" i="7" a="1"/>
  <c r="E60" i="7" s="1"/>
  <c r="E70" i="7" a="1"/>
  <c r="E70" i="7" s="1"/>
  <c r="E80" i="7" a="1"/>
  <c r="E80" i="7" s="1"/>
  <c r="E11" i="7" a="1"/>
  <c r="E11" i="7" s="1"/>
  <c r="E21" i="7" a="1"/>
  <c r="E21" i="7" s="1"/>
  <c r="E31" i="7" a="1"/>
  <c r="E31" i="7" s="1"/>
  <c r="E41" i="7" a="1"/>
  <c r="E41" i="7" s="1"/>
  <c r="E51" i="7" a="1"/>
  <c r="E51" i="7" s="1"/>
  <c r="E61" i="7" a="1"/>
  <c r="E61" i="7" s="1"/>
  <c r="E71" i="7" a="1"/>
  <c r="E71" i="7" s="1"/>
  <c r="E81" i="7" a="1"/>
  <c r="E81" i="7" s="1"/>
  <c r="E12" i="7" a="1"/>
  <c r="E12" i="7" s="1"/>
  <c r="E22" i="7" a="1"/>
  <c r="E22" i="7" s="1"/>
  <c r="E32" i="7" a="1"/>
  <c r="E32" i="7" s="1"/>
  <c r="E42" i="7" a="1"/>
  <c r="E42" i="7" s="1"/>
  <c r="E52" i="7" a="1"/>
  <c r="E52" i="7" s="1"/>
  <c r="E62" i="7" a="1"/>
  <c r="E62" i="7" s="1"/>
  <c r="E72" i="7" a="1"/>
  <c r="E72" i="7" s="1"/>
  <c r="E82" i="7" a="1"/>
  <c r="E82" i="7" s="1"/>
  <c r="E13" i="7" a="1"/>
  <c r="E13" i="7" s="1"/>
  <c r="E23" i="7" a="1"/>
  <c r="E23" i="7" s="1"/>
  <c r="E33" i="7" a="1"/>
  <c r="E33" i="7" s="1"/>
  <c r="E43" i="7" a="1"/>
  <c r="E43" i="7" s="1"/>
  <c r="E53" i="7" a="1"/>
  <c r="E53" i="7" s="1"/>
  <c r="E63" i="7" a="1"/>
  <c r="E63" i="7" s="1"/>
  <c r="E73" i="7" a="1"/>
  <c r="E73" i="7" s="1"/>
  <c r="E83" i="7" a="1"/>
  <c r="E83" i="7" s="1"/>
  <c r="E14" i="7" a="1"/>
  <c r="E14" i="7" s="1"/>
  <c r="E24" i="7" a="1"/>
  <c r="E24" i="7" s="1"/>
  <c r="E34" i="7" a="1"/>
  <c r="E34" i="7" s="1"/>
  <c r="E44" i="7" a="1"/>
  <c r="E44" i="7" s="1"/>
  <c r="E54" i="7" a="1"/>
  <c r="E54" i="7" s="1"/>
  <c r="E64" i="7" a="1"/>
  <c r="E64" i="7" s="1"/>
  <c r="E74" i="7" a="1"/>
  <c r="E74" i="7" s="1"/>
  <c r="E84" i="7" a="1"/>
  <c r="E84" i="7" s="1"/>
  <c r="E15" i="7" a="1"/>
  <c r="E15" i="7" s="1"/>
  <c r="E25" i="7" a="1"/>
  <c r="E25" i="7" s="1"/>
  <c r="E35" i="7" a="1"/>
  <c r="E35" i="7" s="1"/>
  <c r="E45" i="7" a="1"/>
  <c r="E45" i="7" s="1"/>
  <c r="E55" i="7" a="1"/>
  <c r="E55" i="7" s="1"/>
  <c r="E65" i="7" a="1"/>
  <c r="E65" i="7" s="1"/>
  <c r="E75" i="7" a="1"/>
  <c r="E75" i="7" s="1"/>
  <c r="E85" i="7" a="1"/>
  <c r="E85" i="7" s="1"/>
  <c r="E16" i="7" a="1"/>
  <c r="E16" i="7" s="1"/>
  <c r="E26" i="7" a="1"/>
  <c r="E26" i="7" s="1"/>
  <c r="E36" i="7" a="1"/>
  <c r="E36" i="7" s="1"/>
  <c r="E46" i="7" a="1"/>
  <c r="E46" i="7" s="1"/>
  <c r="E56" i="7" a="1"/>
  <c r="E56" i="7" s="1"/>
  <c r="E66" i="7" a="1"/>
  <c r="E66" i="7" s="1"/>
  <c r="E76" i="7" a="1"/>
  <c r="E76" i="7" s="1"/>
  <c r="E86" i="7" a="1"/>
  <c r="E86" i="7" s="1"/>
  <c r="B86" i="7"/>
  <c r="D85" i="7"/>
  <c r="C77" i="7"/>
  <c r="B69" i="7"/>
  <c r="C68" i="7"/>
  <c r="B59" i="7"/>
  <c r="C58" i="7"/>
  <c r="D57" i="7"/>
  <c r="B47" i="7"/>
  <c r="C46" i="7"/>
  <c r="D45" i="7"/>
  <c r="B34" i="7"/>
  <c r="C33" i="7"/>
  <c r="D32" i="7"/>
  <c r="B23" i="7"/>
  <c r="D22" i="7"/>
  <c r="B18" i="7"/>
  <c r="D17" i="7"/>
  <c r="B13" i="7"/>
  <c r="D12" i="7"/>
  <c r="B8" i="7"/>
  <c r="D7" i="7"/>
  <c r="C85" i="7"/>
  <c r="C84" i="7"/>
  <c r="D83" i="7"/>
  <c r="B77" i="7"/>
  <c r="D76" i="7"/>
  <c r="B68" i="7"/>
  <c r="D67" i="7"/>
  <c r="B58" i="7"/>
  <c r="C57" i="7"/>
  <c r="D56" i="7"/>
  <c r="B46" i="7"/>
  <c r="C45" i="7"/>
  <c r="C44" i="7"/>
  <c r="D43" i="7"/>
  <c r="B33" i="7"/>
  <c r="C32" i="7"/>
  <c r="D31" i="7"/>
  <c r="C22" i="7"/>
  <c r="C17" i="7"/>
  <c r="C12" i="7"/>
  <c r="C7" i="7"/>
  <c r="B84" i="7"/>
  <c r="C83" i="7"/>
  <c r="C76" i="7"/>
  <c r="D75" i="7"/>
  <c r="C67" i="7"/>
  <c r="B57" i="7"/>
  <c r="C56" i="7"/>
  <c r="D55" i="7"/>
  <c r="B44" i="7"/>
  <c r="C43" i="7"/>
  <c r="D42" i="7"/>
  <c r="B32" i="7"/>
  <c r="C31" i="7"/>
  <c r="D30" i="7"/>
  <c r="B22" i="7"/>
  <c r="D21" i="7"/>
  <c r="B17" i="7"/>
  <c r="D16" i="7"/>
  <c r="B12" i="7"/>
  <c r="D11" i="7"/>
  <c r="B7" i="7"/>
  <c r="B83" i="7"/>
  <c r="D82" i="7"/>
  <c r="B76" i="7"/>
  <c r="C75" i="7"/>
  <c r="C74" i="7"/>
  <c r="D73" i="7"/>
  <c r="B67" i="7"/>
  <c r="D66" i="7"/>
  <c r="B56" i="7"/>
  <c r="C55" i="7"/>
  <c r="C54" i="7"/>
  <c r="D53" i="7"/>
  <c r="B43" i="7"/>
  <c r="C42" i="7"/>
  <c r="D41" i="7"/>
  <c r="B31" i="7"/>
  <c r="C30" i="7"/>
  <c r="C29" i="7"/>
  <c r="D28" i="7"/>
  <c r="C21" i="7"/>
  <c r="C16" i="7"/>
  <c r="C11" i="7"/>
  <c r="D88" i="7"/>
  <c r="C82" i="7"/>
  <c r="B74" i="7"/>
  <c r="C73" i="7"/>
  <c r="C66" i="7"/>
  <c r="D65" i="7"/>
  <c r="B54" i="7"/>
  <c r="C53" i="7"/>
  <c r="D52" i="7"/>
  <c r="B42" i="7"/>
  <c r="C41" i="7"/>
  <c r="D40" i="7"/>
  <c r="B29" i="7"/>
  <c r="C28" i="7"/>
  <c r="D27" i="7"/>
  <c r="B21" i="7"/>
  <c r="D20" i="7"/>
  <c r="B16" i="7"/>
  <c r="D15" i="7"/>
  <c r="B11" i="7"/>
  <c r="D10" i="7"/>
  <c r="B87" i="7"/>
  <c r="D86" i="7"/>
  <c r="B79" i="7"/>
  <c r="C78" i="7"/>
  <c r="C71" i="7"/>
  <c r="D70" i="7"/>
  <c r="B62" i="7"/>
  <c r="C61" i="7"/>
  <c r="D60" i="7"/>
  <c r="B49" i="7"/>
  <c r="C48" i="7"/>
  <c r="D47" i="7"/>
  <c r="B37" i="7"/>
  <c r="C36" i="7"/>
  <c r="D35" i="7"/>
  <c r="B24" i="7"/>
  <c r="D23" i="7"/>
  <c r="B19" i="7"/>
  <c r="D18" i="7"/>
  <c r="B14" i="7"/>
  <c r="D13" i="7"/>
  <c r="B9" i="7"/>
  <c r="D8" i="7"/>
  <c r="G6" i="7"/>
  <c r="K6" i="7" s="1" a="1"/>
  <c r="K6" i="7" s="1"/>
  <c r="K9" i="7" a="1"/>
  <c r="K9" i="7" s="1"/>
  <c r="K19" i="7" a="1"/>
  <c r="K19" i="7" s="1"/>
  <c r="K28" i="7" a="1"/>
  <c r="K28" i="7" s="1"/>
  <c r="K36" i="7" a="1"/>
  <c r="K36" i="7" s="1"/>
  <c r="K61" i="7" a="1"/>
  <c r="K61" i="7" s="1"/>
  <c r="K70" i="7" a="1"/>
  <c r="K70" i="7" s="1"/>
  <c r="K79" i="7" a="1"/>
  <c r="K79" i="7" s="1"/>
  <c r="K87" i="7" a="1"/>
  <c r="K87" i="7" s="1"/>
  <c r="K10" i="7" a="1"/>
  <c r="K10" i="7" s="1"/>
  <c r="K20" i="7" a="1"/>
  <c r="K20" i="7" s="1"/>
  <c r="K29" i="7" a="1"/>
  <c r="K29" i="7" s="1"/>
  <c r="K37" i="7" a="1"/>
  <c r="K37" i="7" s="1"/>
  <c r="K45" i="7" a="1"/>
  <c r="K45" i="7" s="1"/>
  <c r="K52" i="7" a="1"/>
  <c r="K52" i="7" s="1"/>
  <c r="K62" i="7" a="1"/>
  <c r="K62" i="7" s="1"/>
  <c r="K71" i="7" a="1"/>
  <c r="K71" i="7" s="1"/>
  <c r="K88" i="7" a="1"/>
  <c r="K88" i="7" s="1"/>
  <c r="K11" i="7" a="1"/>
  <c r="K11" i="7" s="1"/>
  <c r="K21" i="7" a="1"/>
  <c r="K21" i="7" s="1"/>
  <c r="K38" i="7" a="1"/>
  <c r="K38" i="7" s="1"/>
  <c r="K46" i="7" a="1"/>
  <c r="K46" i="7" s="1"/>
  <c r="K53" i="7" a="1"/>
  <c r="K53" i="7" s="1"/>
  <c r="K63" i="7" a="1"/>
  <c r="K63" i="7" s="1"/>
  <c r="K72" i="7" a="1"/>
  <c r="K72" i="7" s="1"/>
  <c r="K80" i="7" a="1"/>
  <c r="K80" i="7" s="1"/>
  <c r="K89" i="7" a="1"/>
  <c r="K89" i="7" s="1"/>
  <c r="K12" i="7" a="1"/>
  <c r="K12" i="7" s="1"/>
  <c r="K22" i="7" a="1"/>
  <c r="K22" i="7" s="1"/>
  <c r="K30" i="7" a="1"/>
  <c r="K30" i="7" s="1"/>
  <c r="K39" i="7" a="1"/>
  <c r="K39" i="7" s="1"/>
  <c r="K54" i="7" a="1"/>
  <c r="K54" i="7" s="1"/>
  <c r="K64" i="7" a="1"/>
  <c r="K64" i="7" s="1"/>
  <c r="K73" i="7" a="1"/>
  <c r="K73" i="7" s="1"/>
  <c r="K81" i="7" a="1"/>
  <c r="K81" i="7" s="1"/>
  <c r="K8" i="7" a="1"/>
  <c r="K8" i="7" s="1"/>
  <c r="K18" i="7" a="1"/>
  <c r="K18" i="7" s="1"/>
  <c r="K27" i="7" a="1"/>
  <c r="K27" i="7" s="1"/>
  <c r="K35" i="7" a="1"/>
  <c r="K35" i="7" s="1"/>
  <c r="K44" i="7" a="1"/>
  <c r="K44" i="7" s="1"/>
  <c r="K51" i="7" a="1"/>
  <c r="K51" i="7" s="1"/>
  <c r="K60" i="7" a="1"/>
  <c r="K60" i="7" s="1"/>
  <c r="K78" i="7" a="1"/>
  <c r="K78" i="7" s="1"/>
  <c r="K86" i="7" a="1"/>
  <c r="K86" i="7" s="1"/>
  <c r="K14" i="7" a="1"/>
  <c r="K14" i="7" s="1"/>
  <c r="K32" i="7" a="1"/>
  <c r="K32" i="7" s="1"/>
  <c r="K48" i="7" a="1"/>
  <c r="K48" i="7" s="1"/>
  <c r="K66" i="7" a="1"/>
  <c r="K66" i="7" s="1"/>
  <c r="K83" i="7" a="1"/>
  <c r="K83" i="7" s="1"/>
  <c r="K15" i="7" a="1"/>
  <c r="K15" i="7" s="1"/>
  <c r="K33" i="7" a="1"/>
  <c r="K33" i="7" s="1"/>
  <c r="K49" i="7" a="1"/>
  <c r="K49" i="7" s="1"/>
  <c r="K67" i="7" a="1"/>
  <c r="K67" i="7" s="1"/>
  <c r="K84" i="7" a="1"/>
  <c r="K84" i="7" s="1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K16" i="7" a="1"/>
  <c r="K16" i="7" s="1"/>
  <c r="K34" i="7" a="1"/>
  <c r="K34" i="7" s="1"/>
  <c r="K68" i="7" a="1"/>
  <c r="K68" i="7" s="1"/>
  <c r="K17" i="7" a="1"/>
  <c r="K17" i="7" s="1"/>
  <c r="K50" i="7" a="1"/>
  <c r="K50" i="7" s="1"/>
  <c r="K69" i="7" a="1"/>
  <c r="K69" i="7" s="1"/>
  <c r="K85" i="7" a="1"/>
  <c r="K85" i="7" s="1"/>
  <c r="K23" i="7" a="1"/>
  <c r="K23" i="7" s="1"/>
  <c r="K55" i="7" a="1"/>
  <c r="K55" i="7" s="1"/>
  <c r="K74" i="7" a="1"/>
  <c r="K74" i="7" s="1"/>
  <c r="K90" i="7" a="1"/>
  <c r="K90" i="7" s="1"/>
  <c r="K24" i="7" a="1"/>
  <c r="K24" i="7" s="1"/>
  <c r="K40" i="7" a="1"/>
  <c r="K40" i="7" s="1"/>
  <c r="K56" i="7" a="1"/>
  <c r="K56" i="7" s="1"/>
  <c r="K91" i="7" a="1"/>
  <c r="K91" i="7" s="1"/>
  <c r="K41" i="7" a="1"/>
  <c r="K41" i="7" s="1"/>
  <c r="K57" i="7" a="1"/>
  <c r="K57" i="7" s="1"/>
  <c r="K75" i="7" a="1"/>
  <c r="K75" i="7" s="1"/>
  <c r="K92" i="7" a="1"/>
  <c r="K92" i="7" s="1"/>
  <c r="K25" i="7" a="1"/>
  <c r="K25" i="7" s="1"/>
  <c r="K42" i="7" a="1"/>
  <c r="K42" i="7" s="1"/>
  <c r="K58" i="7" a="1"/>
  <c r="K58" i="7" s="1"/>
  <c r="K76" i="7" a="1"/>
  <c r="K76" i="7" s="1"/>
  <c r="K93" i="7" a="1"/>
  <c r="K93" i="7" s="1"/>
  <c r="K7" i="7" a="1"/>
  <c r="K7" i="7" s="1"/>
  <c r="K26" i="7" a="1"/>
  <c r="K26" i="7" s="1"/>
  <c r="K43" i="7" a="1"/>
  <c r="K43" i="7" s="1"/>
  <c r="K59" i="7" a="1"/>
  <c r="K59" i="7" s="1"/>
  <c r="K77" i="7" a="1"/>
  <c r="K77" i="7" s="1"/>
  <c r="K13" i="7" a="1"/>
  <c r="K13" i="7" s="1"/>
  <c r="K31" i="7" a="1"/>
  <c r="K31" i="7" s="1"/>
  <c r="K47" i="7" a="1"/>
  <c r="K47" i="7" s="1"/>
  <c r="K65" i="7" a="1"/>
  <c r="K65" i="7" s="1"/>
  <c r="K82" i="7" a="1"/>
  <c r="K82" i="7" s="1"/>
  <c r="H90" i="7"/>
  <c r="J89" i="7"/>
  <c r="H84" i="7"/>
  <c r="H83" i="7"/>
  <c r="J82" i="7"/>
  <c r="H76" i="7"/>
  <c r="I75" i="7"/>
  <c r="J74" i="7"/>
  <c r="H67" i="7"/>
  <c r="J66" i="7"/>
  <c r="H56" i="7"/>
  <c r="I55" i="7"/>
  <c r="J54" i="7"/>
  <c r="H44" i="7"/>
  <c r="H43" i="7"/>
  <c r="I42" i="7"/>
  <c r="J41" i="7"/>
  <c r="H31" i="7"/>
  <c r="I30" i="7"/>
  <c r="J29" i="7"/>
  <c r="I21" i="7"/>
  <c r="I16" i="7"/>
  <c r="I11" i="7"/>
  <c r="I89" i="7"/>
  <c r="I82" i="7"/>
  <c r="H75" i="7"/>
  <c r="I74" i="7"/>
  <c r="J73" i="7"/>
  <c r="I66" i="7"/>
  <c r="J65" i="7"/>
  <c r="H55" i="7"/>
  <c r="I54" i="7"/>
  <c r="J53" i="7"/>
  <c r="J52" i="7"/>
  <c r="H42" i="7"/>
  <c r="I41" i="7"/>
  <c r="J40" i="7"/>
  <c r="H30" i="7"/>
  <c r="I29" i="7"/>
  <c r="J28" i="7"/>
  <c r="J27" i="7"/>
  <c r="H21" i="7"/>
  <c r="J20" i="7"/>
  <c r="H16" i="7"/>
  <c r="J15" i="7"/>
  <c r="H11" i="7"/>
  <c r="J10" i="7"/>
  <c r="H89" i="7"/>
  <c r="J88" i="7"/>
  <c r="H82" i="7"/>
  <c r="J81" i="7"/>
  <c r="H74" i="7"/>
  <c r="H73" i="7"/>
  <c r="J72" i="7"/>
  <c r="H66" i="7"/>
  <c r="I65" i="7"/>
  <c r="J64" i="7"/>
  <c r="H54" i="7"/>
  <c r="H53" i="7"/>
  <c r="I52" i="7"/>
  <c r="J51" i="7"/>
  <c r="H41" i="7"/>
  <c r="I40" i="7"/>
  <c r="J39" i="7"/>
  <c r="H29" i="7"/>
  <c r="H28" i="7"/>
  <c r="I27" i="7"/>
  <c r="J26" i="7"/>
  <c r="I20" i="7"/>
  <c r="I15" i="7"/>
  <c r="I10" i="7"/>
  <c r="J93" i="7"/>
  <c r="H88" i="7"/>
  <c r="J87" i="7"/>
  <c r="I81" i="7"/>
  <c r="J80" i="7"/>
  <c r="I72" i="7"/>
  <c r="H65" i="7"/>
  <c r="I64" i="7"/>
  <c r="J63" i="7"/>
  <c r="J62" i="7"/>
  <c r="H52" i="7"/>
  <c r="I51" i="7"/>
  <c r="J50" i="7"/>
  <c r="H40" i="7"/>
  <c r="I39" i="7"/>
  <c r="J38" i="7"/>
  <c r="J37" i="7"/>
  <c r="H27" i="7"/>
  <c r="I26" i="7"/>
  <c r="J25" i="7"/>
  <c r="H20" i="7"/>
  <c r="J19" i="7"/>
  <c r="H15" i="7"/>
  <c r="J14" i="7"/>
  <c r="H10" i="7"/>
  <c r="J9" i="7"/>
  <c r="H93" i="7"/>
  <c r="J92" i="7"/>
  <c r="I87" i="7"/>
  <c r="H81" i="7"/>
  <c r="I80" i="7"/>
  <c r="J79" i="7"/>
  <c r="H72" i="7"/>
  <c r="J71" i="7"/>
  <c r="H64" i="7"/>
  <c r="H63" i="7"/>
  <c r="I62" i="7"/>
  <c r="J61" i="7"/>
  <c r="H51" i="7"/>
  <c r="I50" i="7"/>
  <c r="J49" i="7"/>
  <c r="H39" i="7"/>
  <c r="H38" i="7"/>
  <c r="I37" i="7"/>
  <c r="J36" i="7"/>
  <c r="H26" i="7"/>
  <c r="I25" i="7"/>
  <c r="J24" i="7"/>
  <c r="I19" i="7"/>
  <c r="I14" i="7"/>
  <c r="I9" i="7"/>
  <c r="H91" i="7"/>
  <c r="J90" i="7"/>
  <c r="I85" i="7"/>
  <c r="J84" i="7"/>
  <c r="H77" i="7"/>
  <c r="J76" i="7"/>
  <c r="H69" i="7"/>
  <c r="H68" i="7"/>
  <c r="J67" i="7"/>
  <c r="H59" i="7"/>
  <c r="H58" i="7"/>
  <c r="I57" i="7"/>
  <c r="J56" i="7"/>
  <c r="H46" i="7"/>
  <c r="I45" i="7"/>
  <c r="J44" i="7"/>
  <c r="H34" i="7"/>
  <c r="H33" i="7"/>
  <c r="I32" i="7"/>
  <c r="J31" i="7"/>
  <c r="I22" i="7"/>
  <c r="I17" i="7"/>
  <c r="I12" i="7"/>
  <c r="I7" i="7"/>
  <c r="M6" i="7"/>
  <c r="Q6" i="7" s="1" a="1"/>
  <c r="Q6" i="7" s="1"/>
  <c r="Q10" i="7" a="1"/>
  <c r="Q10" i="7" s="1"/>
  <c r="Q19" i="7" a="1"/>
  <c r="Q19" i="7" s="1"/>
  <c r="Q29" i="7" a="1"/>
  <c r="Q29" i="7" s="1"/>
  <c r="Q39" i="7" a="1"/>
  <c r="Q39" i="7" s="1"/>
  <c r="Q12" i="7" a="1"/>
  <c r="Q12" i="7" s="1"/>
  <c r="Q21" i="7" a="1"/>
  <c r="Q21" i="7" s="1"/>
  <c r="Q31" i="7" a="1"/>
  <c r="Q31" i="7" s="1"/>
  <c r="Q41" i="7" a="1"/>
  <c r="Q41" i="7" s="1"/>
  <c r="Q8" i="7" a="1"/>
  <c r="Q8" i="7" s="1"/>
  <c r="Q18" i="7" a="1"/>
  <c r="Q18" i="7" s="1"/>
  <c r="Q32" i="7" a="1"/>
  <c r="Q32" i="7" s="1"/>
  <c r="Q44" i="7" a="1"/>
  <c r="Q44" i="7" s="1"/>
  <c r="Q54" i="7" a="1"/>
  <c r="Q54" i="7" s="1"/>
  <c r="Q64" i="7" a="1"/>
  <c r="Q64" i="7" s="1"/>
  <c r="Q9" i="7" a="1"/>
  <c r="Q9" i="7" s="1"/>
  <c r="Q20" i="7" a="1"/>
  <c r="Q20" i="7" s="1"/>
  <c r="Q33" i="7" a="1"/>
  <c r="Q33" i="7" s="1"/>
  <c r="Q45" i="7" a="1"/>
  <c r="Q45" i="7" s="1"/>
  <c r="Q55" i="7" a="1"/>
  <c r="Q55" i="7" s="1"/>
  <c r="Q65" i="7" a="1"/>
  <c r="Q65" i="7" s="1"/>
  <c r="Q22" i="7" a="1"/>
  <c r="Q22" i="7" s="1"/>
  <c r="Q34" i="7" a="1"/>
  <c r="Q34" i="7" s="1"/>
  <c r="Q46" i="7" a="1"/>
  <c r="Q46" i="7" s="1"/>
  <c r="Q56" i="7" a="1"/>
  <c r="Q56" i="7" s="1"/>
  <c r="Q11" i="7" a="1"/>
  <c r="Q11" i="7" s="1"/>
  <c r="Q23" i="7" a="1"/>
  <c r="Q23" i="7" s="1"/>
  <c r="Q35" i="7" a="1"/>
  <c r="Q35" i="7" s="1"/>
  <c r="Q47" i="7" a="1"/>
  <c r="Q47" i="7" s="1"/>
  <c r="Q57" i="7" a="1"/>
  <c r="Q57" i="7" s="1"/>
  <c r="Q14" i="7" a="1"/>
  <c r="Q14" i="7" s="1"/>
  <c r="Q25" i="7" a="1"/>
  <c r="Q25" i="7" s="1"/>
  <c r="Q37" i="7" a="1"/>
  <c r="Q37" i="7" s="1"/>
  <c r="Q49" i="7" a="1"/>
  <c r="Q49" i="7" s="1"/>
  <c r="Q59" i="7" a="1"/>
  <c r="Q59" i="7" s="1"/>
  <c r="Q15" i="7" a="1"/>
  <c r="Q15" i="7" s="1"/>
  <c r="Q27" i="7" a="1"/>
  <c r="Q27" i="7" s="1"/>
  <c r="Q40" i="7" a="1"/>
  <c r="Q40" i="7" s="1"/>
  <c r="Q51" i="7" a="1"/>
  <c r="Q51" i="7" s="1"/>
  <c r="Q61" i="7" a="1"/>
  <c r="Q61" i="7" s="1"/>
  <c r="Q7" i="7" a="1"/>
  <c r="Q7" i="7" s="1"/>
  <c r="Q17" i="7" a="1"/>
  <c r="Q17" i="7" s="1"/>
  <c r="Q30" i="7" a="1"/>
  <c r="Q30" i="7" s="1"/>
  <c r="Q43" i="7" a="1"/>
  <c r="Q43" i="7" s="1"/>
  <c r="Q53" i="7" a="1"/>
  <c r="Q53" i="7" s="1"/>
  <c r="Q63" i="7" a="1"/>
  <c r="Q63" i="7" s="1"/>
  <c r="Q24" i="7" a="1"/>
  <c r="Q24" i="7" s="1"/>
  <c r="Q60" i="7" a="1"/>
  <c r="Q60" i="7" s="1"/>
  <c r="Q26" i="7" a="1"/>
  <c r="Q26" i="7" s="1"/>
  <c r="Q62" i="7" a="1"/>
  <c r="Q62" i="7" s="1"/>
  <c r="N62" i="7"/>
  <c r="P61" i="7"/>
  <c r="N57" i="7"/>
  <c r="P56" i="7"/>
  <c r="N52" i="7"/>
  <c r="P51" i="7"/>
  <c r="N47" i="7"/>
  <c r="P46" i="7"/>
  <c r="N42" i="7"/>
  <c r="P41" i="7"/>
  <c r="N37" i="7"/>
  <c r="P36" i="7"/>
  <c r="N32" i="7"/>
  <c r="P31" i="7"/>
  <c r="N27" i="7"/>
  <c r="P26" i="7"/>
  <c r="Q28" i="7" a="1"/>
  <c r="Q28" i="7" s="1"/>
  <c r="Q36" i="7" a="1"/>
  <c r="Q36" i="7" s="1"/>
  <c r="Q38" i="7" a="1"/>
  <c r="Q38" i="7" s="1"/>
  <c r="Q42" i="7" a="1"/>
  <c r="Q42" i="7" s="1"/>
  <c r="Q48" i="7" a="1"/>
  <c r="Q48" i="7" s="1"/>
  <c r="Q13" i="7" a="1"/>
  <c r="Q13" i="7" s="1"/>
  <c r="Q50" i="7" a="1"/>
  <c r="Q50" i="7" s="1"/>
  <c r="Q52" i="7" a="1"/>
  <c r="Q52" i="7" s="1"/>
  <c r="Q16" i="7" a="1"/>
  <c r="Q16" i="7" s="1"/>
  <c r="Q58" i="7" a="1"/>
  <c r="Q58" i="7" s="1"/>
  <c r="N65" i="7"/>
  <c r="O64" i="7"/>
  <c r="P63" i="7"/>
  <c r="N53" i="7"/>
  <c r="O52" i="7"/>
  <c r="O51" i="7"/>
  <c r="P50" i="7"/>
  <c r="N40" i="7"/>
  <c r="O39" i="7"/>
  <c r="P38" i="7"/>
  <c r="N28" i="7"/>
  <c r="O27" i="7"/>
  <c r="O26" i="7"/>
  <c r="P25" i="7"/>
  <c r="N20" i="7"/>
  <c r="P19" i="7"/>
  <c r="N15" i="7"/>
  <c r="P14" i="7"/>
  <c r="N10" i="7"/>
  <c r="P9" i="7"/>
  <c r="N64" i="7"/>
  <c r="O63" i="7"/>
  <c r="P62" i="7"/>
  <c r="N51" i="7"/>
  <c r="O50" i="7"/>
  <c r="P49" i="7"/>
  <c r="N39" i="7"/>
  <c r="O38" i="7"/>
  <c r="P37" i="7"/>
  <c r="N26" i="7"/>
  <c r="O25" i="7"/>
  <c r="P24" i="7"/>
  <c r="O19" i="7"/>
  <c r="O14" i="7"/>
  <c r="O9" i="7"/>
  <c r="N63" i="7"/>
  <c r="O62" i="7"/>
  <c r="O61" i="7"/>
  <c r="P60" i="7"/>
  <c r="N50" i="7"/>
  <c r="O49" i="7"/>
  <c r="P48" i="7"/>
  <c r="N38" i="7"/>
  <c r="O37" i="7"/>
  <c r="O36" i="7"/>
  <c r="P35" i="7"/>
  <c r="N25" i="7"/>
  <c r="O24" i="7"/>
  <c r="P23" i="7"/>
  <c r="N19" i="7"/>
  <c r="P18" i="7"/>
  <c r="N14" i="7"/>
  <c r="P13" i="7"/>
  <c r="N9" i="7"/>
  <c r="P8" i="7"/>
  <c r="N61" i="7"/>
  <c r="O60" i="7"/>
  <c r="P59" i="7"/>
  <c r="N49" i="7"/>
  <c r="O48" i="7"/>
  <c r="P47" i="7"/>
  <c r="N36" i="7"/>
  <c r="O35" i="7"/>
  <c r="P34" i="7"/>
  <c r="N24" i="7"/>
  <c r="O23" i="7"/>
  <c r="O18" i="7"/>
  <c r="O13" i="7"/>
  <c r="O8" i="7"/>
  <c r="N60" i="7"/>
  <c r="O59" i="7"/>
  <c r="P58" i="7"/>
  <c r="N48" i="7"/>
  <c r="O47" i="7"/>
  <c r="O46" i="7"/>
  <c r="P45" i="7"/>
  <c r="N35" i="7"/>
  <c r="O34" i="7"/>
  <c r="P33" i="7"/>
  <c r="N23" i="7"/>
  <c r="P22" i="7"/>
  <c r="N18" i="7"/>
  <c r="P17" i="7"/>
  <c r="N13" i="7"/>
  <c r="P12" i="7"/>
  <c r="N8" i="7"/>
  <c r="P7" i="7"/>
  <c r="S6" i="7"/>
  <c r="W6" i="7" s="1" a="1"/>
  <c r="W6" i="7" s="1"/>
  <c r="W7" i="7" a="1"/>
  <c r="W7" i="7" s="1"/>
  <c r="W16" i="7" a="1"/>
  <c r="W16" i="7" s="1"/>
  <c r="W26" i="7" a="1"/>
  <c r="W26" i="7" s="1"/>
  <c r="W34" i="7" a="1"/>
  <c r="W34" i="7" s="1"/>
  <c r="W44" i="7" a="1"/>
  <c r="W44" i="7" s="1"/>
  <c r="W52" i="7" a="1"/>
  <c r="W52" i="7" s="1"/>
  <c r="W61" i="7" a="1"/>
  <c r="W61" i="7" s="1"/>
  <c r="W71" i="7" a="1"/>
  <c r="W71" i="7" s="1"/>
  <c r="W8" i="7" a="1"/>
  <c r="W8" i="7" s="1"/>
  <c r="W17" i="7" a="1"/>
  <c r="W17" i="7" s="1"/>
  <c r="W27" i="7" a="1"/>
  <c r="W27" i="7" s="1"/>
  <c r="W35" i="7" a="1"/>
  <c r="W35" i="7" s="1"/>
  <c r="W45" i="7" a="1"/>
  <c r="W45" i="7" s="1"/>
  <c r="W53" i="7" a="1"/>
  <c r="W53" i="7" s="1"/>
  <c r="W62" i="7" a="1"/>
  <c r="W62" i="7" s="1"/>
  <c r="W72" i="7" a="1"/>
  <c r="W72" i="7" s="1"/>
  <c r="W9" i="7" a="1"/>
  <c r="W9" i="7" s="1"/>
  <c r="W18" i="7" a="1"/>
  <c r="W18" i="7" s="1"/>
  <c r="W28" i="7" a="1"/>
  <c r="W28" i="7" s="1"/>
  <c r="W36" i="7" a="1"/>
  <c r="W36" i="7" s="1"/>
  <c r="W54" i="7" a="1"/>
  <c r="W54" i="7" s="1"/>
  <c r="W63" i="7" a="1"/>
  <c r="W63" i="7" s="1"/>
  <c r="W73" i="7" a="1"/>
  <c r="W73" i="7" s="1"/>
  <c r="W19" i="7" a="1"/>
  <c r="W19" i="7" s="1"/>
  <c r="W29" i="7" a="1"/>
  <c r="W29" i="7" s="1"/>
  <c r="W37" i="7" a="1"/>
  <c r="W37" i="7" s="1"/>
  <c r="W46" i="7" a="1"/>
  <c r="W46" i="7" s="1"/>
  <c r="W55" i="7" a="1"/>
  <c r="W55" i="7" s="1"/>
  <c r="W64" i="7" a="1"/>
  <c r="W64" i="7" s="1"/>
  <c r="W74" i="7" a="1"/>
  <c r="W74" i="7" s="1"/>
  <c r="W10" i="7" a="1"/>
  <c r="W10" i="7" s="1"/>
  <c r="W20" i="7" a="1"/>
  <c r="W20" i="7" s="1"/>
  <c r="W38" i="7" a="1"/>
  <c r="W38" i="7" s="1"/>
  <c r="W47" i="7" a="1"/>
  <c r="W47" i="7" s="1"/>
  <c r="W56" i="7" a="1"/>
  <c r="W56" i="7" s="1"/>
  <c r="W65" i="7" a="1"/>
  <c r="W65" i="7" s="1"/>
  <c r="W75" i="7" a="1"/>
  <c r="W75" i="7" s="1"/>
  <c r="W11" i="7" a="1"/>
  <c r="W11" i="7" s="1"/>
  <c r="W21" i="7" a="1"/>
  <c r="W21" i="7" s="1"/>
  <c r="W30" i="7" a="1"/>
  <c r="W30" i="7" s="1"/>
  <c r="W39" i="7" a="1"/>
  <c r="W39" i="7" s="1"/>
  <c r="W48" i="7" a="1"/>
  <c r="W48" i="7" s="1"/>
  <c r="W57" i="7" a="1"/>
  <c r="W57" i="7" s="1"/>
  <c r="W66" i="7" a="1"/>
  <c r="W66" i="7" s="1"/>
  <c r="W76" i="7" a="1"/>
  <c r="W76" i="7" s="1"/>
  <c r="W12" i="7" a="1"/>
  <c r="W12" i="7" s="1"/>
  <c r="W22" i="7" a="1"/>
  <c r="W22" i="7" s="1"/>
  <c r="W40" i="7" a="1"/>
  <c r="W40" i="7" s="1"/>
  <c r="W49" i="7" a="1"/>
  <c r="W49" i="7" s="1"/>
  <c r="W58" i="7" a="1"/>
  <c r="W58" i="7" s="1"/>
  <c r="W67" i="7" a="1"/>
  <c r="W67" i="7" s="1"/>
  <c r="W77" i="7" a="1"/>
  <c r="W77" i="7" s="1"/>
  <c r="W13" i="7" a="1"/>
  <c r="W13" i="7" s="1"/>
  <c r="W23" i="7" a="1"/>
  <c r="W23" i="7" s="1"/>
  <c r="W31" i="7" a="1"/>
  <c r="W31" i="7" s="1"/>
  <c r="W41" i="7" a="1"/>
  <c r="W41" i="7" s="1"/>
  <c r="W50" i="7" a="1"/>
  <c r="W50" i="7" s="1"/>
  <c r="W59" i="7" a="1"/>
  <c r="W59" i="7" s="1"/>
  <c r="W68" i="7" a="1"/>
  <c r="W68" i="7" s="1"/>
  <c r="W78" i="7" a="1"/>
  <c r="W78" i="7" s="1"/>
  <c r="W14" i="7" a="1"/>
  <c r="W14" i="7" s="1"/>
  <c r="W24" i="7" a="1"/>
  <c r="W24" i="7" s="1"/>
  <c r="W32" i="7" a="1"/>
  <c r="W32" i="7" s="1"/>
  <c r="W42" i="7" a="1"/>
  <c r="W42" i="7" s="1"/>
  <c r="W69" i="7" a="1"/>
  <c r="W69" i="7" s="1"/>
  <c r="W79" i="7" a="1"/>
  <c r="W79" i="7" s="1"/>
  <c r="W15" i="7" a="1"/>
  <c r="W15" i="7" s="1"/>
  <c r="W25" i="7" a="1"/>
  <c r="W25" i="7" s="1"/>
  <c r="W33" i="7" a="1"/>
  <c r="W33" i="7" s="1"/>
  <c r="W43" i="7" a="1"/>
  <c r="W43" i="7" s="1"/>
  <c r="W51" i="7" a="1"/>
  <c r="W51" i="7" s="1"/>
  <c r="W60" i="7" a="1"/>
  <c r="W60" i="7" s="1"/>
  <c r="W70" i="7" a="1"/>
  <c r="W70" i="7" s="1"/>
  <c r="W80" i="7" a="1"/>
  <c r="W80" i="7" s="1"/>
  <c r="U80" i="7"/>
  <c r="U75" i="7"/>
  <c r="U70" i="7"/>
  <c r="U65" i="7"/>
  <c r="U60" i="7"/>
  <c r="U55" i="7"/>
  <c r="U50" i="7"/>
  <c r="U45" i="7"/>
  <c r="U40" i="7"/>
  <c r="U35" i="7"/>
  <c r="U30" i="7"/>
  <c r="U25" i="7"/>
  <c r="T79" i="7"/>
  <c r="U78" i="7"/>
  <c r="V77" i="7"/>
  <c r="T71" i="7"/>
  <c r="V70" i="7"/>
  <c r="V69" i="7"/>
  <c r="T62" i="7"/>
  <c r="U61" i="7"/>
  <c r="V60" i="7"/>
  <c r="V59" i="7"/>
  <c r="T49" i="7"/>
  <c r="U48" i="7"/>
  <c r="V47" i="7"/>
  <c r="T37" i="7"/>
  <c r="U36" i="7"/>
  <c r="V35" i="7"/>
  <c r="V34" i="7"/>
  <c r="T24" i="7"/>
  <c r="U23" i="7"/>
  <c r="U18" i="7"/>
  <c r="U13" i="7"/>
  <c r="U8" i="7"/>
  <c r="T78" i="7"/>
  <c r="U77" i="7"/>
  <c r="T70" i="7"/>
  <c r="U69" i="7"/>
  <c r="V68" i="7"/>
  <c r="T61" i="7"/>
  <c r="T60" i="7"/>
  <c r="U59" i="7"/>
  <c r="V58" i="7"/>
  <c r="T48" i="7"/>
  <c r="U47" i="7"/>
  <c r="V46" i="7"/>
  <c r="T36" i="7"/>
  <c r="T35" i="7"/>
  <c r="U34" i="7"/>
  <c r="V33" i="7"/>
  <c r="T23" i="7"/>
  <c r="V22" i="7"/>
  <c r="T18" i="7"/>
  <c r="V17" i="7"/>
  <c r="T13" i="7"/>
  <c r="V12" i="7"/>
  <c r="T8" i="7"/>
  <c r="V7" i="7"/>
  <c r="T77" i="7"/>
  <c r="V76" i="7"/>
  <c r="T69" i="7"/>
  <c r="U68" i="7"/>
  <c r="V67" i="7"/>
  <c r="T59" i="7"/>
  <c r="U58" i="7"/>
  <c r="V57" i="7"/>
  <c r="T47" i="7"/>
  <c r="U46" i="7"/>
  <c r="V45" i="7"/>
  <c r="V44" i="7"/>
  <c r="T34" i="7"/>
  <c r="U33" i="7"/>
  <c r="V32" i="7"/>
  <c r="U22" i="7"/>
  <c r="U17" i="7"/>
  <c r="U12" i="7"/>
  <c r="U7" i="7"/>
  <c r="U76" i="7"/>
  <c r="T68" i="7"/>
  <c r="U67" i="7"/>
  <c r="T58" i="7"/>
  <c r="U57" i="7"/>
  <c r="V56" i="7"/>
  <c r="T46" i="7"/>
  <c r="T45" i="7"/>
  <c r="U44" i="7"/>
  <c r="V43" i="7"/>
  <c r="T33" i="7"/>
  <c r="U32" i="7"/>
  <c r="V31" i="7"/>
  <c r="T22" i="7"/>
  <c r="V21" i="7"/>
  <c r="T17" i="7"/>
  <c r="V16" i="7"/>
  <c r="T12" i="7"/>
  <c r="V11" i="7"/>
  <c r="T7" i="7"/>
  <c r="U9" i="7"/>
  <c r="P10" i="7"/>
  <c r="N11" i="7"/>
  <c r="U14" i="7"/>
  <c r="P15" i="7"/>
  <c r="N16" i="7"/>
  <c r="U19" i="7"/>
  <c r="P20" i="7"/>
  <c r="N21" i="7"/>
  <c r="V24" i="7"/>
  <c r="V25" i="7"/>
  <c r="U26" i="7"/>
  <c r="T27" i="7"/>
  <c r="P28" i="7"/>
  <c r="O29" i="7"/>
  <c r="N30" i="7"/>
  <c r="V37" i="7"/>
  <c r="U38" i="7"/>
  <c r="T39" i="7"/>
  <c r="P40" i="7"/>
  <c r="O41" i="7"/>
  <c r="O42" i="7"/>
  <c r="N43" i="7"/>
  <c r="V49" i="7"/>
  <c r="V50" i="7"/>
  <c r="U51" i="7"/>
  <c r="T52" i="7"/>
  <c r="P53" i="7"/>
  <c r="O54" i="7"/>
  <c r="N55" i="7"/>
  <c r="V62" i="7"/>
  <c r="U63" i="7"/>
  <c r="T64" i="7"/>
  <c r="P65" i="7"/>
  <c r="V71" i="7"/>
  <c r="T72" i="7"/>
  <c r="V79" i="7"/>
  <c r="V80" i="7"/>
  <c r="U11" i="7"/>
  <c r="U16" i="7"/>
  <c r="U21" i="7"/>
  <c r="V29" i="7"/>
  <c r="V30" i="7"/>
  <c r="U31" i="7"/>
  <c r="T32" i="7"/>
  <c r="V42" i="7"/>
  <c r="U43" i="7"/>
  <c r="T44" i="7"/>
  <c r="V54" i="7"/>
  <c r="V55" i="7"/>
  <c r="U56" i="7"/>
  <c r="T57" i="7"/>
  <c r="V66" i="7"/>
  <c r="T67" i="7"/>
  <c r="V74" i="7"/>
  <c r="V75" i="7"/>
  <c r="T76" i="7"/>
  <c r="E7" i="8" a="1"/>
  <c r="E7" i="8" s="1"/>
  <c r="J6" i="7"/>
  <c r="I6" i="7"/>
  <c r="D7" i="8" s="1"/>
  <c r="H6" i="7"/>
  <c r="E6" i="8" a="1"/>
  <c r="E6" i="8" s="1"/>
  <c r="E5" i="8" a="1"/>
  <c r="E5" i="8" s="1"/>
  <c r="C6" i="7"/>
  <c r="D4" i="8" s="1"/>
  <c r="B6" i="7"/>
  <c r="E2" i="8" a="1"/>
  <c r="E2" i="8" s="1"/>
  <c r="D6" i="7"/>
  <c r="E4" i="8" a="1"/>
  <c r="E4" i="8" s="1"/>
  <c r="E3" i="8" a="1"/>
  <c r="E3" i="8" s="1"/>
  <c r="E13" i="8" a="1"/>
  <c r="E13" i="8" s="1"/>
  <c r="E8" i="8" a="1"/>
  <c r="E8" i="8" s="1"/>
  <c r="E12" i="8" a="1"/>
  <c r="E12" i="8" s="1"/>
  <c r="E11" i="8" a="1"/>
  <c r="E11" i="8" s="1"/>
  <c r="E10" i="8" a="1"/>
  <c r="E10" i="8" s="1"/>
  <c r="P6" i="7"/>
  <c r="D13" i="8" s="1"/>
  <c r="O6" i="7"/>
  <c r="E9" i="8" a="1"/>
  <c r="E9" i="8" s="1"/>
  <c r="N6" i="7"/>
  <c r="E17" i="8" a="1"/>
  <c r="E17" i="8" s="1"/>
  <c r="V6" i="7"/>
  <c r="D19" i="8" s="1"/>
  <c r="U6" i="7"/>
  <c r="E16" i="8" a="1"/>
  <c r="E16" i="8" s="1"/>
  <c r="T6" i="7"/>
  <c r="E19" i="8" a="1"/>
  <c r="E19" i="8" s="1"/>
  <c r="E15" i="8" a="1"/>
  <c r="E15" i="8" s="1"/>
  <c r="E18" i="8" a="1"/>
  <c r="E18" i="8" s="1"/>
  <c r="E14" i="8" a="1"/>
  <c r="E14" i="8" s="1"/>
  <c r="T34" i="6"/>
  <c r="T41" i="9" s="1"/>
  <c r="H34" i="6"/>
  <c r="H41" i="9" s="1"/>
  <c r="P36" i="6"/>
  <c r="P43" i="9" s="1"/>
  <c r="D36" i="6"/>
  <c r="D43" i="9" s="1"/>
  <c r="S37" i="6"/>
  <c r="S44" i="9" s="1"/>
  <c r="G44" i="9"/>
  <c r="R40" i="6"/>
  <c r="R47" i="9" s="1"/>
  <c r="F47" i="9"/>
  <c r="U41" i="6"/>
  <c r="U48" i="9" s="1"/>
  <c r="I41" i="6"/>
  <c r="I48" i="9" s="1"/>
  <c r="Q43" i="6"/>
  <c r="Q50" i="9" s="1"/>
  <c r="E43" i="6"/>
  <c r="E50" i="9" s="1"/>
  <c r="T44" i="6"/>
  <c r="T51" i="9" s="1"/>
  <c r="H44" i="6"/>
  <c r="H51" i="9" s="1"/>
  <c r="R50" i="6"/>
  <c r="R57" i="9" s="1"/>
  <c r="F57" i="9"/>
  <c r="U51" i="6"/>
  <c r="U58" i="9" s="1"/>
  <c r="I51" i="6"/>
  <c r="I58" i="9" s="1"/>
  <c r="Q53" i="6"/>
  <c r="Q60" i="9" s="1"/>
  <c r="E53" i="6"/>
  <c r="E60" i="9" s="1"/>
  <c r="T54" i="6"/>
  <c r="T61" i="9" s="1"/>
  <c r="H54" i="6"/>
  <c r="H61" i="9" s="1"/>
  <c r="P56" i="6"/>
  <c r="P63" i="9" s="1"/>
  <c r="D56" i="6"/>
  <c r="D63" i="9" s="1"/>
  <c r="S57" i="6"/>
  <c r="S64" i="9" s="1"/>
  <c r="G64" i="9"/>
  <c r="R60" i="6"/>
  <c r="R67" i="9" s="1"/>
  <c r="F67" i="9"/>
  <c r="U61" i="6"/>
  <c r="U68" i="9" s="1"/>
  <c r="I61" i="6"/>
  <c r="I68" i="9" s="1"/>
  <c r="Q63" i="6"/>
  <c r="Q70" i="9" s="1"/>
  <c r="E63" i="6"/>
  <c r="E70" i="9" s="1"/>
  <c r="T64" i="6"/>
  <c r="T71" i="9" s="1"/>
  <c r="H64" i="6"/>
  <c r="H71" i="9" s="1"/>
  <c r="P66" i="6"/>
  <c r="P73" i="9" s="1"/>
  <c r="D66" i="6"/>
  <c r="D73" i="9" s="1"/>
  <c r="S67" i="6"/>
  <c r="S74" i="9" s="1"/>
  <c r="G74" i="9"/>
  <c r="U71" i="6"/>
  <c r="U78" i="9" s="1"/>
  <c r="I78" i="9"/>
  <c r="Q73" i="6"/>
  <c r="Q80" i="9" s="1"/>
  <c r="E73" i="6"/>
  <c r="E80" i="9" s="1"/>
  <c r="T74" i="6"/>
  <c r="T81" i="9" s="1"/>
  <c r="H74" i="6"/>
  <c r="H81" i="9" s="1"/>
  <c r="P76" i="6"/>
  <c r="P83" i="9" s="1"/>
  <c r="D76" i="6"/>
  <c r="D83" i="9" s="1"/>
  <c r="S77" i="6"/>
  <c r="S84" i="9" s="1"/>
  <c r="G84" i="9"/>
  <c r="R80" i="6"/>
  <c r="R87" i="9" s="1"/>
  <c r="F87" i="9"/>
  <c r="U81" i="6"/>
  <c r="U88" i="9" s="1"/>
  <c r="I81" i="6"/>
  <c r="I88" i="9" s="1"/>
  <c r="Q83" i="6"/>
  <c r="Q90" i="9" s="1"/>
  <c r="E83" i="6"/>
  <c r="E90" i="9" s="1"/>
  <c r="P84" i="6"/>
  <c r="P91" i="9" s="1"/>
  <c r="U84" i="6"/>
  <c r="U91" i="9" s="1"/>
  <c r="H84" i="6"/>
  <c r="H91" i="9" s="1"/>
  <c r="O87" i="6"/>
  <c r="O94" i="9" s="1"/>
  <c r="T87" i="6"/>
  <c r="T94" i="9" s="1"/>
  <c r="G94" i="9"/>
  <c r="S87" i="6"/>
  <c r="S94" i="9" s="1"/>
  <c r="F94" i="9"/>
  <c r="R87" i="6"/>
  <c r="R94" i="9" s="1"/>
  <c r="E87" i="6"/>
  <c r="E94" i="9" s="1"/>
  <c r="Q87" i="6"/>
  <c r="Q94" i="9" s="1"/>
  <c r="D87" i="6"/>
  <c r="D94" i="9" s="1"/>
  <c r="M87" i="6"/>
  <c r="M94" i="9" s="1"/>
  <c r="L87" i="6"/>
  <c r="L94" i="9" s="1"/>
  <c r="U89" i="6"/>
  <c r="U96" i="9" s="1"/>
  <c r="I89" i="6"/>
  <c r="I96" i="9" s="1"/>
  <c r="S89" i="6"/>
  <c r="S96" i="9" s="1"/>
  <c r="F96" i="9"/>
  <c r="R89" i="6"/>
  <c r="R96" i="9" s="1"/>
  <c r="E89" i="6"/>
  <c r="E96" i="9" s="1"/>
  <c r="Q89" i="6"/>
  <c r="Q96" i="9" s="1"/>
  <c r="D89" i="6"/>
  <c r="D96" i="9" s="1"/>
  <c r="P89" i="6"/>
  <c r="P96" i="9" s="1"/>
  <c r="M89" i="6"/>
  <c r="M96" i="9" s="1"/>
  <c r="L89" i="6"/>
  <c r="L96" i="9" s="1"/>
  <c r="P94" i="6"/>
  <c r="P101" i="9" s="1"/>
  <c r="D94" i="6"/>
  <c r="D101" i="9" s="1"/>
  <c r="M94" i="6"/>
  <c r="M101" i="9" s="1"/>
  <c r="U94" i="6"/>
  <c r="U101" i="9" s="1"/>
  <c r="G101" i="9"/>
  <c r="T94" i="6"/>
  <c r="T101" i="9" s="1"/>
  <c r="F101" i="9"/>
  <c r="S94" i="6"/>
  <c r="S101" i="9" s="1"/>
  <c r="E94" i="6"/>
  <c r="E101" i="9" s="1"/>
  <c r="R94" i="6"/>
  <c r="R101" i="9" s="1"/>
  <c r="N94" i="6"/>
  <c r="N101" i="9" s="1"/>
  <c r="L94" i="6"/>
  <c r="L101" i="9" s="1"/>
  <c r="M99" i="6"/>
  <c r="M106" i="9" s="1"/>
  <c r="U99" i="6"/>
  <c r="U106" i="9" s="1"/>
  <c r="I99" i="6"/>
  <c r="I106" i="9" s="1"/>
  <c r="R99" i="6"/>
  <c r="R106" i="9" s="1"/>
  <c r="F106" i="9"/>
  <c r="G106" i="9"/>
  <c r="D88" i="6"/>
  <c r="D95" i="9" s="1"/>
  <c r="F102" i="9"/>
  <c r="H99" i="6"/>
  <c r="H106" i="9" s="1"/>
  <c r="P100" i="6"/>
  <c r="P107" i="9" s="1"/>
  <c r="D100" i="6"/>
  <c r="D107" i="9" s="1"/>
  <c r="N100" i="6"/>
  <c r="N107" i="9" s="1"/>
  <c r="U100" i="6"/>
  <c r="U107" i="9" s="1"/>
  <c r="I100" i="6"/>
  <c r="I107" i="9" s="1"/>
  <c r="T101" i="6"/>
  <c r="T108" i="9" s="1"/>
  <c r="L103" i="6"/>
  <c r="L110" i="9" s="1"/>
  <c r="N105" i="6"/>
  <c r="N112" i="9" s="1"/>
  <c r="S95" i="6"/>
  <c r="S102" i="9" s="1"/>
  <c r="G102" i="9"/>
  <c r="P95" i="6"/>
  <c r="P102" i="9" s="1"/>
  <c r="D95" i="6"/>
  <c r="D102" i="9" s="1"/>
  <c r="L99" i="6"/>
  <c r="L106" i="9" s="1"/>
  <c r="D101" i="6"/>
  <c r="D108" i="9" s="1"/>
  <c r="Q105" i="6"/>
  <c r="Q112" i="9" s="1"/>
  <c r="N99" i="6"/>
  <c r="N106" i="9" s="1"/>
  <c r="S101" i="6"/>
  <c r="S108" i="9" s="1"/>
  <c r="G108" i="9"/>
  <c r="Q101" i="6"/>
  <c r="Q108" i="9" s="1"/>
  <c r="E101" i="6"/>
  <c r="E108" i="9" s="1"/>
  <c r="N101" i="6"/>
  <c r="N108" i="9" s="1"/>
  <c r="O99" i="6"/>
  <c r="O106" i="9" s="1"/>
  <c r="U105" i="6"/>
  <c r="U112" i="9" s="1"/>
  <c r="I105" i="6"/>
  <c r="I112" i="9" s="1"/>
  <c r="T105" i="6"/>
  <c r="T112" i="9" s="1"/>
  <c r="H105" i="6"/>
  <c r="H112" i="9" s="1"/>
  <c r="S105" i="6"/>
  <c r="S112" i="9" s="1"/>
  <c r="G112" i="9"/>
  <c r="P105" i="6"/>
  <c r="P112" i="9" s="1"/>
  <c r="D105" i="6"/>
  <c r="D112" i="9" s="1"/>
  <c r="O105" i="6"/>
  <c r="O112" i="9" s="1"/>
  <c r="R88" i="6"/>
  <c r="R95" i="9" s="1"/>
  <c r="F95" i="9"/>
  <c r="M93" i="6"/>
  <c r="M100" i="9" s="1"/>
  <c r="T93" i="6"/>
  <c r="T100" i="9" s="1"/>
  <c r="H93" i="6"/>
  <c r="H100" i="9" s="1"/>
  <c r="M95" i="6"/>
  <c r="M102" i="9" s="1"/>
  <c r="P99" i="6"/>
  <c r="P106" i="9" s="1"/>
  <c r="M100" i="6"/>
  <c r="M107" i="9" s="1"/>
  <c r="I101" i="6"/>
  <c r="I108" i="9" s="1"/>
  <c r="N95" i="6"/>
  <c r="N102" i="9" s="1"/>
  <c r="Q99" i="6"/>
  <c r="Q106" i="9" s="1"/>
  <c r="L101" i="6"/>
  <c r="L108" i="9" s="1"/>
  <c r="O103" i="6"/>
  <c r="O110" i="9" s="1"/>
  <c r="N103" i="6"/>
  <c r="N110" i="9" s="1"/>
  <c r="M103" i="6"/>
  <c r="M110" i="9" s="1"/>
  <c r="T103" i="6"/>
  <c r="T110" i="9" s="1"/>
  <c r="H103" i="6"/>
  <c r="H110" i="9" s="1"/>
  <c r="S103" i="6"/>
  <c r="S110" i="9" s="1"/>
  <c r="G110" i="9"/>
  <c r="S85" i="6"/>
  <c r="S92" i="9" s="1"/>
  <c r="G92" i="9"/>
  <c r="O95" i="6"/>
  <c r="O102" i="9" s="1"/>
  <c r="T98" i="6"/>
  <c r="T105" i="9" s="1"/>
  <c r="H98" i="6"/>
  <c r="H105" i="9" s="1"/>
  <c r="R98" i="6"/>
  <c r="R105" i="9" s="1"/>
  <c r="F105" i="9"/>
  <c r="O98" i="6"/>
  <c r="O105" i="9" s="1"/>
  <c r="S99" i="6"/>
  <c r="S106" i="9" s="1"/>
  <c r="Q100" i="6"/>
  <c r="Q107" i="9" s="1"/>
  <c r="M101" i="6"/>
  <c r="M108" i="9" s="1"/>
  <c r="D103" i="6"/>
  <c r="D110" i="9" s="1"/>
  <c r="E105" i="6"/>
  <c r="E112" i="9" s="1"/>
  <c r="D99" i="6"/>
  <c r="D106" i="9" s="1"/>
  <c r="T99" i="6"/>
  <c r="T106" i="9" s="1"/>
  <c r="O101" i="6"/>
  <c r="O108" i="9" s="1"/>
  <c r="F112" i="9"/>
  <c r="N108" i="6"/>
  <c r="N115" i="9" s="1"/>
  <c r="G116" i="9"/>
  <c r="T109" i="6"/>
  <c r="T116" i="9" s="1"/>
  <c r="N110" i="6"/>
  <c r="N117" i="9" s="1"/>
  <c r="E102" i="6"/>
  <c r="E109" i="9" s="1"/>
  <c r="Q102" i="6"/>
  <c r="Q109" i="9" s="1"/>
  <c r="M104" i="6"/>
  <c r="M111" i="9" s="1"/>
  <c r="P108" i="6"/>
  <c r="P115" i="9" s="1"/>
  <c r="H109" i="6"/>
  <c r="H116" i="9" s="1"/>
  <c r="O110" i="6"/>
  <c r="O117" i="9" s="1"/>
  <c r="R109" i="6"/>
  <c r="R116" i="9" s="1"/>
  <c r="F116" i="9"/>
  <c r="H102" i="6"/>
  <c r="H109" i="9" s="1"/>
  <c r="D104" i="6"/>
  <c r="D111" i="9" s="1"/>
  <c r="P104" i="6"/>
  <c r="P111" i="9" s="1"/>
  <c r="F115" i="9"/>
  <c r="S108" i="6"/>
  <c r="S115" i="9" s="1"/>
  <c r="M109" i="6"/>
  <c r="M116" i="9" s="1"/>
  <c r="E110" i="6"/>
  <c r="E117" i="9" s="1"/>
  <c r="R110" i="6"/>
  <c r="R117" i="9" s="1"/>
  <c r="E104" i="6"/>
  <c r="E111" i="9" s="1"/>
  <c r="Q104" i="6"/>
  <c r="Q111" i="9" s="1"/>
  <c r="G115" i="9"/>
  <c r="T108" i="6"/>
  <c r="T115" i="9" s="1"/>
  <c r="N109" i="6"/>
  <c r="N116" i="9" s="1"/>
  <c r="F117" i="9"/>
  <c r="S110" i="6"/>
  <c r="S117" i="9" s="1"/>
  <c r="F111" i="9"/>
  <c r="H108" i="6"/>
  <c r="H115" i="9" s="1"/>
  <c r="U108" i="6"/>
  <c r="U115" i="9" s="1"/>
  <c r="O109" i="6"/>
  <c r="O116" i="9" s="1"/>
  <c r="G117" i="9"/>
  <c r="P109" i="6"/>
  <c r="P116" i="9" s="1"/>
  <c r="U110" i="6"/>
  <c r="U117" i="9" s="1"/>
  <c r="I110" i="6"/>
  <c r="I117" i="9" s="1"/>
  <c r="L108" i="6"/>
  <c r="L115" i="9" s="1"/>
  <c r="D109" i="6"/>
  <c r="D116" i="9" s="1"/>
  <c r="Q109" i="6"/>
  <c r="Q116" i="9" s="1"/>
  <c r="M108" i="6"/>
  <c r="M115" i="9" s="1"/>
  <c r="E109" i="6"/>
  <c r="E116" i="9" s="1"/>
  <c r="S109" i="6"/>
  <c r="S116" i="9" s="1"/>
  <c r="D16" i="8" l="1"/>
  <c r="D15" i="8"/>
  <c r="D14" i="8"/>
  <c r="D2" i="8"/>
  <c r="D3" i="8"/>
  <c r="D17" i="8"/>
  <c r="D18" i="8"/>
  <c r="D6" i="8"/>
  <c r="D5" i="8"/>
  <c r="D10" i="8"/>
  <c r="D9" i="8"/>
  <c r="D8" i="8"/>
  <c r="D12" i="8"/>
  <c r="D11" i="8"/>
  <c r="E149" i="9"/>
  <c r="F7" i="8" l="1"/>
  <c r="F149" i="9" s="1"/>
  <c r="E146" i="9"/>
  <c r="F6" i="8"/>
  <c r="F148" i="9" s="1"/>
  <c r="E148" i="9"/>
  <c r="E147" i="9"/>
  <c r="F5" i="8"/>
  <c r="F147" i="9" s="1"/>
  <c r="F4" i="8" l="1"/>
  <c r="F146" i="9" s="1"/>
  <c r="F3" i="8"/>
  <c r="F145" i="9" s="1"/>
  <c r="E145" i="9"/>
  <c r="E144" i="9"/>
  <c r="F2" i="8"/>
  <c r="F144" i="9" s="1"/>
  <c r="F14" i="8" l="1"/>
  <c r="F156" i="9" s="1"/>
  <c r="E156" i="9"/>
  <c r="E159" i="9"/>
  <c r="F17" i="8"/>
  <c r="F159" i="9" s="1"/>
  <c r="F16" i="8"/>
  <c r="F158" i="9" s="1"/>
  <c r="E158" i="9"/>
  <c r="F18" i="8"/>
  <c r="F160" i="9" s="1"/>
  <c r="E160" i="9"/>
  <c r="E161" i="9"/>
  <c r="F19" i="8"/>
  <c r="F161" i="9" s="1"/>
  <c r="E157" i="9"/>
  <c r="F15" i="8"/>
  <c r="F157" i="9" s="1"/>
  <c r="E155" i="9" l="1"/>
  <c r="F13" i="8"/>
  <c r="F155" i="9" s="1"/>
  <c r="E154" i="9" l="1"/>
  <c r="F12" i="8"/>
  <c r="F154" i="9" s="1"/>
  <c r="F9" i="8"/>
  <c r="F151" i="9" s="1"/>
  <c r="E151" i="9"/>
  <c r="E153" i="9"/>
  <c r="F11" i="8"/>
  <c r="F153" i="9" s="1"/>
  <c r="E152" i="9"/>
  <c r="F10" i="8"/>
  <c r="F152" i="9" s="1"/>
  <c r="E150" i="9"/>
  <c r="F8" i="8"/>
  <c r="F150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<sst xmlns="http://schemas.openxmlformats.org/spreadsheetml/2006/main" count="831" uniqueCount="191">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</sst>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 x14ac:dyDescent="0.2">
      <c r="A2" s="3">
        <v>1</v>
      </c>
      <c r="B2" s="3" t="s">
        <v>10</v>
      </c>
      <c r="C2" s="3" t="s">
        <v>11</v>
      </c>
      <c r="D2" s="3" t="s">
        <v>12</v>
      </c>
      <c r="E2" s="3"/>
      <c r="F2" s="3" t="s">
        <v>13</v>
      </c>
      <c r="G2" s="3" t="s">
        <v>14</v>
      </c>
      <c r="I2" t="s">
        <v>15</v>
      </c>
      <c r="K2" t="s">
        <v>12</v>
      </c>
    </row>
    <row r="3" spans="1:11" ht="15" customHeight="1" x14ac:dyDescent="0.2">
      <c r="A3" s="3">
        <v>2</v>
      </c>
      <c r="B3" s="3" t="s">
        <v>16</v>
      </c>
      <c r="C3" s="3" t="s">
        <v>11</v>
      </c>
      <c r="D3" s="3" t="s">
        <v>17</v>
      </c>
      <c r="E3" s="3" t="s">
        <v>18</v>
      </c>
      <c r="F3" s="3" t="s">
        <v>13</v>
      </c>
      <c r="G3" s="3" t="s">
        <v>14</v>
      </c>
      <c r="I3" t="s">
        <v>19</v>
      </c>
      <c r="K3" t="s">
        <v>20</v>
      </c>
    </row>
    <row r="4" spans="1:11" ht="15" customHeight="1" x14ac:dyDescent="0.2">
      <c r="A4" s="3">
        <v>3</v>
      </c>
      <c r="B4" s="3" t="s">
        <v>21</v>
      </c>
      <c r="C4" s="3" t="s">
        <v>22</v>
      </c>
      <c r="D4" s="3" t="s">
        <v>17</v>
      </c>
      <c r="E4" s="3"/>
      <c r="F4" s="3" t="s">
        <v>13</v>
      </c>
      <c r="G4" s="3" t="s">
        <v>14</v>
      </c>
      <c r="I4" t="s">
        <v>23</v>
      </c>
      <c r="K4" t="s">
        <v>17</v>
      </c>
    </row>
    <row r="5" spans="1:11" ht="15" customHeight="1" x14ac:dyDescent="0.2">
      <c r="A5" s="3">
        <v>4</v>
      </c>
      <c r="B5" s="3" t="s">
        <v>24</v>
      </c>
      <c r="C5" s="3" t="s">
        <v>11</v>
      </c>
      <c r="D5" s="3" t="s">
        <v>20</v>
      </c>
      <c r="E5" s="3" t="s">
        <v>25</v>
      </c>
      <c r="F5" s="3" t="s">
        <v>14</v>
      </c>
      <c r="G5" s="3" t="s">
        <v>14</v>
      </c>
      <c r="I5" t="s">
        <v>26</v>
      </c>
      <c r="K5" t="s">
        <v>18</v>
      </c>
    </row>
    <row r="6" spans="1:11" ht="15" customHeight="1" x14ac:dyDescent="0.2">
      <c r="A6" s="3">
        <v>5</v>
      </c>
      <c r="B6" s="3" t="s">
        <v>27</v>
      </c>
      <c r="C6" s="3" t="s">
        <v>11</v>
      </c>
      <c r="D6" s="3" t="s">
        <v>20</v>
      </c>
      <c r="E6" s="3" t="s">
        <v>28</v>
      </c>
      <c r="F6" s="3" t="s">
        <v>14</v>
      </c>
      <c r="G6" s="3" t="s">
        <v>14</v>
      </c>
      <c r="K6" t="s">
        <v>25</v>
      </c>
    </row>
    <row r="7" spans="1:11" ht="15" customHeight="1" x14ac:dyDescent="0.2">
      <c r="A7" s="3">
        <v>6</v>
      </c>
      <c r="B7" s="3" t="s">
        <v>29</v>
      </c>
      <c r="C7" s="3" t="s">
        <v>11</v>
      </c>
      <c r="D7" s="3" t="s">
        <v>20</v>
      </c>
      <c r="E7" s="3" t="s">
        <v>25</v>
      </c>
      <c r="F7" s="3" t="s">
        <v>14</v>
      </c>
      <c r="G7" s="3" t="s">
        <v>14</v>
      </c>
      <c r="K7" t="s">
        <v>28</v>
      </c>
    </row>
    <row r="8" spans="1:11" ht="15" customHeight="1" x14ac:dyDescent="0.2">
      <c r="A8" s="3">
        <v>7</v>
      </c>
      <c r="B8" s="3" t="s">
        <v>30</v>
      </c>
      <c r="C8" s="3" t="s">
        <v>11</v>
      </c>
      <c r="D8" s="3" t="s">
        <v>20</v>
      </c>
      <c r="E8" s="3" t="s">
        <v>28</v>
      </c>
      <c r="F8" s="3" t="s">
        <v>14</v>
      </c>
      <c r="G8" s="3" t="s">
        <v>14</v>
      </c>
      <c r="K8" t="s">
        <v>31</v>
      </c>
    </row>
    <row r="9" spans="1:11" ht="15" customHeight="1" x14ac:dyDescent="0.2">
      <c r="A9" s="3">
        <v>8</v>
      </c>
      <c r="B9" s="3" t="s">
        <v>32</v>
      </c>
      <c r="C9" s="3" t="s">
        <v>11</v>
      </c>
      <c r="D9" s="3" t="s">
        <v>20</v>
      </c>
      <c r="E9" s="3" t="s">
        <v>28</v>
      </c>
      <c r="F9" s="3" t="s">
        <v>14</v>
      </c>
      <c r="G9" s="3" t="s">
        <v>14</v>
      </c>
      <c r="K9" t="s">
        <v>33</v>
      </c>
    </row>
    <row r="10" spans="1:11" ht="15" customHeight="1" x14ac:dyDescent="0.2">
      <c r="A10" s="3">
        <v>9</v>
      </c>
      <c r="B10" s="3" t="s">
        <v>34</v>
      </c>
      <c r="C10" s="3" t="s">
        <v>11</v>
      </c>
      <c r="D10" s="3" t="s">
        <v>20</v>
      </c>
      <c r="E10" s="3" t="s">
        <v>25</v>
      </c>
      <c r="F10" s="3" t="s">
        <v>14</v>
      </c>
      <c r="G10" s="3" t="s">
        <v>14</v>
      </c>
    </row>
    <row r="11" spans="1:11" ht="15" customHeight="1" x14ac:dyDescent="0.2">
      <c r="A11" s="3">
        <v>10</v>
      </c>
      <c r="B11" s="3" t="s">
        <v>35</v>
      </c>
      <c r="C11" s="3" t="s">
        <v>11</v>
      </c>
      <c r="D11" s="3" t="s">
        <v>20</v>
      </c>
      <c r="E11" s="3" t="s">
        <v>28</v>
      </c>
      <c r="F11" s="3" t="s">
        <v>14</v>
      </c>
      <c r="G11" s="3" t="s">
        <v>14</v>
      </c>
    </row>
    <row r="12" spans="1:11" ht="15" customHeight="1" x14ac:dyDescent="0.2">
      <c r="A12" s="3">
        <v>11</v>
      </c>
      <c r="B12" s="3" t="s">
        <v>36</v>
      </c>
      <c r="C12" s="3" t="s">
        <v>11</v>
      </c>
      <c r="D12" s="3" t="s">
        <v>20</v>
      </c>
      <c r="E12" s="3" t="s">
        <v>31</v>
      </c>
      <c r="F12" s="3" t="s">
        <v>14</v>
      </c>
      <c r="G12" s="3" t="s">
        <v>14</v>
      </c>
    </row>
    <row r="13" spans="1:11" ht="15" customHeight="1" x14ac:dyDescent="0.2">
      <c r="A13" s="3">
        <v>12</v>
      </c>
      <c r="B13" s="3" t="s">
        <v>37</v>
      </c>
      <c r="C13" s="3" t="s">
        <v>11</v>
      </c>
      <c r="D13" s="3" t="s">
        <v>20</v>
      </c>
      <c r="E13" s="3" t="s">
        <v>33</v>
      </c>
      <c r="F13" s="3" t="s">
        <v>14</v>
      </c>
      <c r="G13" s="3" t="s">
        <v>14</v>
      </c>
    </row>
    <row r="14" spans="1:11" ht="15" customHeight="1" x14ac:dyDescent="0.2">
      <c r="A14" s="3">
        <v>13</v>
      </c>
      <c r="B14" s="3" t="s">
        <v>38</v>
      </c>
      <c r="C14" s="3" t="s">
        <v>11</v>
      </c>
      <c r="D14" s="3" t="s">
        <v>20</v>
      </c>
      <c r="E14" s="3" t="s">
        <v>28</v>
      </c>
      <c r="F14" s="3" t="s">
        <v>14</v>
      </c>
      <c r="G14" s="3" t="s">
        <v>14</v>
      </c>
    </row>
    <row r="15" spans="1:11" ht="15" customHeight="1" x14ac:dyDescent="0.2">
      <c r="A15" s="3">
        <v>14</v>
      </c>
      <c r="B15" s="3" t="s">
        <v>39</v>
      </c>
      <c r="C15" s="3" t="s">
        <v>11</v>
      </c>
      <c r="D15" s="3" t="s">
        <v>20</v>
      </c>
      <c r="E15" s="3" t="s">
        <v>31</v>
      </c>
      <c r="F15" s="3" t="s">
        <v>14</v>
      </c>
      <c r="G15" s="3" t="s">
        <v>14</v>
      </c>
    </row>
    <row r="16" spans="1:11" ht="15" customHeight="1" x14ac:dyDescent="0.2">
      <c r="A16" s="3">
        <v>15</v>
      </c>
      <c r="B16" s="3" t="s">
        <v>40</v>
      </c>
      <c r="C16" s="3" t="s">
        <v>11</v>
      </c>
      <c r="D16" s="3" t="s">
        <v>20</v>
      </c>
      <c r="E16" s="3" t="s">
        <v>31</v>
      </c>
      <c r="F16" s="3" t="s">
        <v>14</v>
      </c>
      <c r="G16" s="3" t="s">
        <v>14</v>
      </c>
    </row>
    <row r="17" spans="1:7" ht="15" customHeight="1" x14ac:dyDescent="0.2">
      <c r="A17" s="3">
        <v>16</v>
      </c>
      <c r="B17" s="3" t="s">
        <v>41</v>
      </c>
      <c r="C17" s="3" t="s">
        <v>11</v>
      </c>
      <c r="D17" s="3" t="s">
        <v>20</v>
      </c>
      <c r="E17" s="3" t="s">
        <v>31</v>
      </c>
      <c r="F17" s="3" t="s">
        <v>14</v>
      </c>
      <c r="G17" s="3" t="s">
        <v>14</v>
      </c>
    </row>
    <row r="18" spans="1:7" ht="15" customHeight="1" x14ac:dyDescent="0.2">
      <c r="A18" s="3">
        <v>17</v>
      </c>
      <c r="B18" s="3" t="s">
        <v>42</v>
      </c>
      <c r="C18" s="3" t="s">
        <v>11</v>
      </c>
      <c r="D18" s="3" t="s">
        <v>20</v>
      </c>
      <c r="E18" s="3" t="s">
        <v>25</v>
      </c>
      <c r="F18" s="3" t="s">
        <v>14</v>
      </c>
      <c r="G18" s="3" t="s">
        <v>14</v>
      </c>
    </row>
    <row r="19" spans="1:7" ht="15" customHeight="1" x14ac:dyDescent="0.2">
      <c r="A19" s="3">
        <v>18</v>
      </c>
      <c r="B19" s="3" t="s">
        <v>43</v>
      </c>
      <c r="C19" s="3" t="s">
        <v>11</v>
      </c>
      <c r="D19" s="3" t="s">
        <v>20</v>
      </c>
      <c r="E19" s="3" t="s">
        <v>25</v>
      </c>
      <c r="F19" s="3" t="s">
        <v>14</v>
      </c>
      <c r="G19" s="3" t="s">
        <v>14</v>
      </c>
    </row>
    <row r="20" spans="1:7" ht="15" customHeight="1" x14ac:dyDescent="0.2">
      <c r="A20" s="3">
        <v>19</v>
      </c>
      <c r="B20" s="3" t="s">
        <v>44</v>
      </c>
      <c r="C20" s="3" t="s">
        <v>11</v>
      </c>
      <c r="D20" s="3" t="s">
        <v>20</v>
      </c>
      <c r="E20" s="3" t="s">
        <v>25</v>
      </c>
      <c r="F20" s="3" t="s">
        <v>14</v>
      </c>
      <c r="G20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11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 ht="15" customHeight="1" x14ac:dyDescent="0.2">
      <c r="A2" t="s">
        <v>96</v>
      </c>
      <c r="B2" t="s">
        <v>97</v>
      </c>
      <c r="C2" t="s">
        <v>97</v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 ht="15" customHeight="1" x14ac:dyDescent="0.2">
      <c r="A3" t="s">
        <v>96</v>
      </c>
      <c r="B3" t="s">
        <v>98</v>
      </c>
      <c r="C3" t="s">
        <v>99</v>
      </c>
      <c r="D3">
        <f>SUMPRODUCT((DATOS!G:G=CONFIG_METADATA!$B$4)*(COUNTIF(CONFIG_ASIGNATURAS!$B$5:$B$20,DATOS!I:I)&gt;0)*1)</f>
        <v>0</v>
      </c>
      <c r="E3" s="14" t="str">
        <f>IFERROR(AVERAGEIFS(DATOS!K:K,DATOS!G:G,CONFIG_METADATA!$B$4,DATOS!I:I,"&lt;&gt;Lenguaje Musical",DATOS!I:I,"&lt;&gt;Coro",DATOS!I:I,"&lt;&gt;Conjunto"),"—")</f>
        <v>—</v>
      </c>
      <c r="F3" s="14" t="str" cm="1">
        <f t="array" ref="F3">IFERROR(_xlfn.STDEV.P(IF((DATOS!$G$2:$G$20000=CONFIG_METADATA!$B$4)*(DATOS!$I$2:$I$20000&lt;&gt;"Lenguaje Musical")*(DATOS!$I$2:$I$20000&lt;&gt;"Coro")*(DATOS!$I$2:$I$20000&lt;&gt;"Conjunto"),DATOS!$K$2:$K$20000)),"—")</f>
        <v>—</v>
      </c>
      <c r="G3" t="str" cm="1">
        <f t="array" ref="G3">IFERROR(_xlfn.MODE.SNGL(IF((DATOS!$G$2:$G$20000=CONFIG_METADATA!$B$4)*(DATOS!$I$2:$I$20000&lt;&gt;"Lenguaje Musical")*(DATOS!$I$2:$I$20000&lt;&gt;"Coro")*(DATOS!$I$2:$I$20000&lt;&gt;"Conjunto"),DATOS!$K$2:$K$20000)),"—")</f>
        <v>—</v>
      </c>
      <c r="H3" s="15" t="str">
        <f>IFERROR(COUNTIFS(DATOS!G:G,CONFIG_METADATA!$B$4,DATOS!L:L,"S",DATOS!I:I,"&lt;&gt;Lenguaje Musical",DATOS!I:I,"&lt;&gt;Coro",DATOS!I:I,"&lt;&gt;Conjunto")/COUNTIFS(DATOS!G:G,CONFIG_METADATA!$B$4,DATOS!I:I,"&lt;&gt;Lenguaje Musical",DATOS!I:I,"&lt;&gt;Coro",DATOS!I:I,"&lt;&gt;Conjunto"),"—")</f>
        <v>—</v>
      </c>
      <c r="I3" s="15" t="str" cm="1">
        <f t="array" ref="I3">IFERROR(SUMPRODUCT((DATOS!$G$2:$G$20000=CONFIG_METADATA!$B$4)*(DATOS!$I$2:$I$20000&lt;&gt;"Lenguaje Musical")*(DATOS!$I$2:$I$20000&lt;&gt;"Coro")*(DATOS!$I$2:$I$20000&lt;&gt;"Conjunto")*(DATOS!$L$2:$L$20000="N"))/SUMPRODUCT((DATOS!$G$2:$G$20000=CONFIG_METADATA!$B$4)*(DATOS!$I$2:$I$20000&lt;&gt;"Lenguaje Musical")*(DATOS!$I$2:$I$20000&lt;&gt;"Coro")*(DATOS!$I$2:$I$20000&lt;&gt;"Conjunto")*1),"—")</f>
        <v>—</v>
      </c>
      <c r="J3" t="str" cm="1">
        <f t="array" ref="J3">IFERROR(_xlfn.MODE.SNGL(IF((DATOS!$G$2:$G$20000=CONFIG_METADATA!$B$4)*(DATOS!$I$2:$I$20000&lt;&gt;"Lenguaje Musical")*(DATOS!$I$2:$I$20000&lt;&gt;"Coro")*(DATOS!$I$2:$I$20000&lt;&gt;"Conjunto")*(DATOS!$L$2:$L$20000="S"),DATOS!$K$2:$K$20000)),"—")</f>
        <v>—</v>
      </c>
      <c r="K3" t="str" cm="1">
        <f t="array" ref="K3">IFERROR(_xlfn.MODE.SNGL(IF((DATOS!$G$2:$G$20000=CONFIG_METADATA!$B$4)*(DATOS!$I$2:$I$20000&lt;&gt;"Lenguaje Musical")*(DATOS!$I$2:$I$20000&lt;&gt;"Coro")*(DATOS!$I$2:$I$20000&lt;&gt;"Conjunto")*(DATOS!$L$2:$L$20000="N"),DATOS!$K$2:$K$20000)),"—")</f>
        <v>—</v>
      </c>
      <c r="L3" cm="1">
        <f t="array" ref="L3">SUMPRODUCT((DATOS!$G$2:$G$20000=CONFIG_METADATA!$B$4)*(DATOS!$I$2:$I$20000&lt;&gt;"Lenguaje Musical")*(DATOS!$I$2:$I$20000&lt;&gt;"Coro")*(DATOS!$I$2:$I$20000&lt;&gt;"Conjunto")*(DATOS!$K$2:$K$20000=1))</f>
        <v>0</v>
      </c>
      <c r="M3" cm="1">
        <f t="array" ref="M3">SUMPRODUCT((DATOS!$G$2:$G$20000=CONFIG_METADATA!$B$4)*(DATOS!$I$2:$I$20000&lt;&gt;"Lenguaje Musical")*(DATOS!$I$2:$I$20000&lt;&gt;"Coro")*(DATOS!$I$2:$I$20000&lt;&gt;"Conjunto")*(DATOS!$K$2:$K$20000=2))</f>
        <v>0</v>
      </c>
      <c r="N3" cm="1">
        <f t="array" ref="N3">SUMPRODUCT((DATOS!$G$2:$G$20000=CONFIG_METADATA!$B$4)*(DATOS!$I$2:$I$20000&lt;&gt;"Lenguaje Musical")*(DATOS!$I$2:$I$20000&lt;&gt;"Coro")*(DATOS!$I$2:$I$20000&lt;&gt;"Conjunto")*(DATOS!$K$2:$K$20000=3))</f>
        <v>0</v>
      </c>
      <c r="O3" cm="1">
        <f t="array" ref="O3">SUMPRODUCT((DATOS!$G$2:$G$20000=CONFIG_METADATA!$B$4)*(DATOS!$I$2:$I$20000&lt;&gt;"Lenguaje Musical")*(DATOS!$I$2:$I$20000&lt;&gt;"Coro")*(DATOS!$I$2:$I$20000&lt;&gt;"Conjunto")*(DATOS!$K$2:$K$20000=4))</f>
        <v>0</v>
      </c>
      <c r="P3" cm="1">
        <f t="array" ref="P3">SUMPRODUCT((DATOS!$G$2:$G$20000=CONFIG_METADATA!$B$4)*(DATOS!$I$2:$I$20000&lt;&gt;"Lenguaje Musical")*(DATOS!$I$2:$I$20000&lt;&gt;"Coro")*(DATOS!$I$2:$I$20000&lt;&gt;"Conjunto")*(DATOS!$K$2:$K$20000=5))</f>
        <v>0</v>
      </c>
      <c r="Q3" cm="1">
        <f t="array" ref="Q3">SUMPRODUCT((DATOS!$G$2:$G$20000=CONFIG_METADATA!$B$4)*(DATOS!$I$2:$I$20000&lt;&gt;"Lenguaje Musical")*(DATOS!$I$2:$I$20000&lt;&gt;"Coro")*(DATOS!$I$2:$I$20000&lt;&gt;"Conjunto")*(DATOS!$K$2:$K$20000=6))</f>
        <v>0</v>
      </c>
      <c r="R3" cm="1">
        <f t="array" ref="R3">SUMPRODUCT((DATOS!$G$2:$G$20000=CONFIG_METADATA!$B$4)*(DATOS!$I$2:$I$20000&lt;&gt;"Lenguaje Musical")*(DATOS!$I$2:$I$20000&lt;&gt;"Coro")*(DATOS!$I$2:$I$20000&lt;&gt;"Conjunto")*(DATOS!$K$2:$K$20000=7))</f>
        <v>0</v>
      </c>
      <c r="S3" cm="1">
        <f t="array" ref="S3">SUMPRODUCT((DATOS!$G$2:$G$20000=CONFIG_METADATA!$B$4)*(DATOS!$I$2:$I$20000&lt;&gt;"Lenguaje Musical")*(DATOS!$I$2:$I$20000&lt;&gt;"Coro")*(DATOS!$I$2:$I$20000&lt;&gt;"Conjunto")*(DATOS!$K$2:$K$20000=8))</f>
        <v>0</v>
      </c>
      <c r="T3" cm="1">
        <f t="array" ref="T3">SUMPRODUCT((DATOS!$G$2:$G$20000=CONFIG_METADATA!$B$4)*(DATOS!$I$2:$I$20000&lt;&gt;"Lenguaje Musical")*(DATOS!$I$2:$I$20000&lt;&gt;"Coro")*(DATOS!$I$2:$I$20000&lt;&gt;"Conjunto")*(DATOS!$K$2:$K$20000=9))</f>
        <v>0</v>
      </c>
      <c r="U3" cm="1">
        <f t="array" ref="U3">SUMPRODUCT((DATOS!$G$2:$G$20000=CONFIG_METADATA!$B$4)*(DATOS!$I$2:$I$20000&lt;&gt;"Lenguaje Musical")*(DATOS!$I$2:$I$20000&lt;&gt;"Coro")*(DATOS!$I$2:$I$20000&lt;&gt;"Conjunto")*(DATOS!$K$2:$K$20000=10))</f>
        <v>0</v>
      </c>
    </row>
    <row r="4" spans="1:22" ht="15" customHeight="1" x14ac:dyDescent="0.2">
      <c r="A4" t="s">
        <v>96</v>
      </c>
      <c r="B4" t="s">
        <v>100</v>
      </c>
      <c r="C4" t="s">
        <v>101</v>
      </c>
      <c r="D4">
        <f>SUMPRODUCT((DATOS!G:G=CONFIG_METADATA!$B$4)*((DATOS!I:I="Lenguaje Musical")+(DATOS!I:I="Coro")+(DATOS!I:I="Conjunto")))</f>
        <v>0</v>
      </c>
      <c r="E4" s="14" t="str" cm="1">
        <f t="array" ref="E4">IFERROR(AVERAGE(IF((DATOS!$G$2:$G$20000=CONFIG_METADATA!$B$4)*((DATOS!$I$2:$I$20000="Lenguaje Musical")+(DATOS!$I$2:$I$20000="Coro")+(DATOS!$I$2:$I$20000="Conjunto")),DATOS!$K$2:$K$20000)),"—")</f>
        <v>—</v>
      </c>
      <c r="F4" s="14" t="str" cm="1">
        <f t="array" ref="F4">IFERROR(_xlfn.STDEV.P(IF((DATOS!$G$2:$G$20000=CONFIG_METADATA!$B$4)*((DATOS!$I$2:$I$20000="Lenguaje Musical")+(DATOS!$I$2:$I$20000="Coro")+(DATOS!$I$2:$I$20000="Conjunto")),DATOS!$K$2:$K$20000)),"—")</f>
        <v>—</v>
      </c>
      <c r="G4" t="str" cm="1">
        <f t="array" ref="G4">IFERROR(_xlfn.MODE.SNGL(IF((DATOS!$G$2:$G$20000=CONFIG_METADATA!$B$4)*((DATOS!$I$2:$I$20000="Lenguaje Musical")+(DATOS!$I$2:$I$20000="Coro")+(DATOS!$I$2:$I$20000="Conjunto")),DATOS!$K$2:$K$20000)),"—")</f>
        <v>—</v>
      </c>
      <c r="H4" s="15" t="str" cm="1">
        <f t="array" ref="H4">IFERROR(SUMPRODUCT((DATOS!$G$2:$G$20000=CONFIG_METADATA!$B$4)*((DATOS!$I$2:$I$20000="Lenguaje Musical")+(DATOS!$I$2:$I$20000="Coro")+(DATOS!$I$2:$I$20000="Conjunto"))*(DATOS!$L$2:$L$20000="S"))/SUMPRODUCT((DATOS!$G$2:$G$20000=CONFIG_METADATA!$B$4)*((DATOS!$I$2:$I$20000="Lenguaje Musical")+(DATOS!$I$2:$I$20000="Coro")+(DATOS!$I$2:$I$20000="Conjunto"))*1),"—")</f>
        <v>—</v>
      </c>
      <c r="I4" s="15" t="str" cm="1">
        <f t="array" ref="I4">IFERROR(SUMPRODUCT((DATOS!$G$2:$G$20000=CONFIG_METADATA!$B$4)*((DATOS!$I$2:$I$20000="Lenguaje Musical")+(DATOS!$I$2:$I$20000="Coro")+(DATOS!$I$2:$I$20000="Conjunto"))*(DATOS!$L$2:$L$20000="N"))/SUMPRODUCT((DATOS!$G$2:$G$20000=CONFIG_METADATA!$B$4)*((DATOS!$I$2:$I$20000="Lenguaje Musical")+(DATOS!$I$2:$I$20000="Coro")+(DATOS!$I$2:$I$20000="Conjunto"))*1),"—")</f>
        <v>—</v>
      </c>
      <c r="J4" t="str" cm="1">
        <f t="array" ref="J4">IFERROR(_xlfn.MODE.SNGL(IF((DATOS!$G$2:$G$20000=CONFIG_METADATA!$B$4)*((DATOS!$I$2:$I$20000="Lenguaje Musical")+(DATOS!$I$2:$I$20000="Coro")+(DATOS!$I$2:$I$20000="Conjunto"))*(DATOS!$L$2:$L$20000="S"),DATOS!$K$2:$K$20000)),"—")</f>
        <v>—</v>
      </c>
      <c r="K4" t="str" cm="1">
        <f t="array" ref="K4">IFERROR(_xlfn.MODE.SNGL(IF((DATOS!$G$2:$G$20000=CONFIG_METADATA!$B$4)*((DATOS!$I$2:$I$20000="Lenguaje Musical")+(DATOS!$I$2:$I$20000="Coro")+(DATOS!$I$2:$I$20000="Conjunto"))*(DATOS!$L$2:$L$20000="N"),DATOS!$K$2:$K$20000)),"—")</f>
        <v>—</v>
      </c>
      <c r="L4" cm="1">
        <f t="array" ref="L4">SUMPRODUCT((DATOS!$G$2:$G$20000=CONFIG_METADATA!$B$4)*((DATOS!$I$2:$I$20000="Lenguaje Musical")+(DATOS!$I$2:$I$20000="Coro")+(DATOS!$I$2:$I$20000="Conjunto"))*(DATOS!$K$2:$K$20000=1))</f>
        <v>0</v>
      </c>
      <c r="M4" cm="1">
        <f t="array" ref="M4">SUMPRODUCT((DATOS!$G$2:$G$20000=CONFIG_METADATA!$B$4)*((DATOS!$I$2:$I$20000="Lenguaje Musical")+(DATOS!$I$2:$I$20000="Coro")+(DATOS!$I$2:$I$20000="Conjunto"))*(DATOS!$K$2:$K$20000=2))</f>
        <v>0</v>
      </c>
      <c r="N4" cm="1">
        <f t="array" ref="N4">SUMPRODUCT((DATOS!$G$2:$G$20000=CONFIG_METADATA!$B$4)*((DATOS!$I$2:$I$20000="Lenguaje Musical")+(DATOS!$I$2:$I$20000="Coro")+(DATOS!$I$2:$I$20000="Conjunto"))*(DATOS!$K$2:$K$20000=3))</f>
        <v>0</v>
      </c>
      <c r="O4" cm="1">
        <f t="array" ref="O4">SUMPRODUCT((DATOS!$G$2:$G$20000=CONFIG_METADATA!$B$4)*((DATOS!$I$2:$I$20000="Lenguaje Musical")+(DATOS!$I$2:$I$20000="Coro")+(DATOS!$I$2:$I$20000="Conjunto"))*(DATOS!$K$2:$K$20000=4))</f>
        <v>0</v>
      </c>
      <c r="P4" cm="1">
        <f t="array" ref="P4">SUMPRODUCT((DATOS!$G$2:$G$20000=CONFIG_METADATA!$B$4)*((DATOS!$I$2:$I$20000="Lenguaje Musical")+(DATOS!$I$2:$I$20000="Coro")+(DATOS!$I$2:$I$20000="Conjunto"))*(DATOS!$K$2:$K$20000=5))</f>
        <v>0</v>
      </c>
      <c r="Q4" cm="1">
        <f t="array" ref="Q4">SUMPRODUCT((DATOS!$G$2:$G$20000=CONFIG_METADATA!$B$4)*((DATOS!$I$2:$I$20000="Lenguaje Musical")+(DATOS!$I$2:$I$20000="Coro")+(DATOS!$I$2:$I$20000="Conjunto"))*(DATOS!$K$2:$K$20000=6))</f>
        <v>0</v>
      </c>
      <c r="R4" cm="1">
        <f t="array" ref="R4">SUMPRODUCT((DATOS!$G$2:$G$20000=CONFIG_METADATA!$B$4)*((DATOS!$I$2:$I$20000="Lenguaje Musical")+(DATOS!$I$2:$I$20000="Coro")+(DATOS!$I$2:$I$20000="Conjunto"))*(DATOS!$K$2:$K$20000=7))</f>
        <v>0</v>
      </c>
      <c r="S4" cm="1">
        <f t="array" ref="S4">SUMPRODUCT((DATOS!$G$2:$G$20000=CONFIG_METADATA!$B$4)*((DATOS!$I$2:$I$20000="Lenguaje Musical")+(DATOS!$I$2:$I$20000="Coro")+(DATOS!$I$2:$I$20000="Conjunto"))*(DATOS!$K$2:$K$20000=8))</f>
        <v>0</v>
      </c>
      <c r="T4" cm="1">
        <f t="array" ref="T4">SUMPRODUCT((DATOS!$G$2:$G$20000=CONFIG_METADATA!$B$4)*((DATOS!$I$2:$I$20000="Lenguaje Musical")+(DATOS!$I$2:$I$20000="Coro")+(DATOS!$I$2:$I$20000="Conjunto"))*(DATOS!$K$2:$K$20000=9))</f>
        <v>0</v>
      </c>
      <c r="U4" cm="1">
        <f t="array" ref="U4">SUMPRODUCT((DATOS!$G$2:$G$20000=CONFIG_METADATA!$B$4)*((DATOS!$I$2:$I$20000="Lenguaje Musical")+(DATOS!$I$2:$I$20000="Coro")+(DATOS!$I$2:$I$20000="Conjunto"))*(DATOS!$K$2:$K$20000=10))</f>
        <v>0</v>
      </c>
    </row>
    <row r="5" spans="1:22" ht="15" customHeight="1" x14ac:dyDescent="0.2">
      <c r="A5" t="s">
        <v>96</v>
      </c>
      <c r="B5" t="s">
        <v>10</v>
      </c>
      <c r="C5" t="s">
        <v>2</v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 ht="15" customHeight="1" x14ac:dyDescent="0.2">
      <c r="A6" t="s">
        <v>96</v>
      </c>
      <c r="B6" t="s">
        <v>16</v>
      </c>
      <c r="C6" t="s">
        <v>2</v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 ht="15" customHeight="1" x14ac:dyDescent="0.2">
      <c r="A7" t="s">
        <v>96</v>
      </c>
      <c r="B7" t="s">
        <v>21</v>
      </c>
      <c r="C7" t="s">
        <v>2</v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 ht="15" customHeight="1" x14ac:dyDescent="0.2">
      <c r="A8" t="s">
        <v>96</v>
      </c>
      <c r="B8" t="s">
        <v>24</v>
      </c>
      <c r="C8" t="s">
        <v>20</v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 ht="15" customHeight="1" x14ac:dyDescent="0.2">
      <c r="A9" t="s">
        <v>96</v>
      </c>
      <c r="B9" t="s">
        <v>27</v>
      </c>
      <c r="C9" t="s">
        <v>20</v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 ht="15" customHeight="1" x14ac:dyDescent="0.2">
      <c r="A10" t="s">
        <v>96</v>
      </c>
      <c r="B10" t="s">
        <v>29</v>
      </c>
      <c r="C10" t="s">
        <v>20</v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 ht="15" customHeight="1" x14ac:dyDescent="0.2">
      <c r="A11" t="s">
        <v>96</v>
      </c>
      <c r="B11" t="s">
        <v>30</v>
      </c>
      <c r="C11" t="s">
        <v>20</v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 ht="15" customHeight="1" x14ac:dyDescent="0.2">
      <c r="A12" t="s">
        <v>96</v>
      </c>
      <c r="B12" t="s">
        <v>32</v>
      </c>
      <c r="C12" t="s">
        <v>20</v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 ht="15" customHeight="1" x14ac:dyDescent="0.2">
      <c r="A13" t="s">
        <v>96</v>
      </c>
      <c r="B13" t="s">
        <v>34</v>
      </c>
      <c r="C13" t="s">
        <v>20</v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 ht="15" customHeight="1" x14ac:dyDescent="0.2">
      <c r="A14" t="s">
        <v>96</v>
      </c>
      <c r="B14" t="s">
        <v>35</v>
      </c>
      <c r="C14" t="s">
        <v>20</v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 ht="15" customHeight="1" x14ac:dyDescent="0.2">
      <c r="A15" t="s">
        <v>96</v>
      </c>
      <c r="B15" t="s">
        <v>36</v>
      </c>
      <c r="C15" t="s">
        <v>20</v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 ht="15" customHeight="1" x14ac:dyDescent="0.2">
      <c r="A16" t="s">
        <v>96</v>
      </c>
      <c r="B16" t="s">
        <v>37</v>
      </c>
      <c r="C16" t="s">
        <v>20</v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 ht="15" customHeight="1" x14ac:dyDescent="0.2">
      <c r="A17" t="s">
        <v>96</v>
      </c>
      <c r="B17" t="s">
        <v>38</v>
      </c>
      <c r="C17" t="s">
        <v>20</v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 ht="15" customHeight="1" x14ac:dyDescent="0.2">
      <c r="A18" t="s">
        <v>96</v>
      </c>
      <c r="B18" t="s">
        <v>39</v>
      </c>
      <c r="C18" t="s">
        <v>20</v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 ht="15" customHeight="1" x14ac:dyDescent="0.2">
      <c r="A19" t="s">
        <v>96</v>
      </c>
      <c r="B19" t="s">
        <v>40</v>
      </c>
      <c r="C19" t="s">
        <v>20</v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 ht="15" customHeight="1" x14ac:dyDescent="0.2">
      <c r="A20" t="s">
        <v>96</v>
      </c>
      <c r="B20" t="s">
        <v>41</v>
      </c>
      <c r="C20" t="s">
        <v>20</v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 ht="15" customHeight="1" x14ac:dyDescent="0.2">
      <c r="A21" t="s">
        <v>96</v>
      </c>
      <c r="B21" t="s">
        <v>42</v>
      </c>
      <c r="C21" t="s">
        <v>20</v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 ht="15" customHeight="1" x14ac:dyDescent="0.2">
      <c r="A22" t="s">
        <v>96</v>
      </c>
      <c r="B22" t="s">
        <v>43</v>
      </c>
      <c r="C22" t="s">
        <v>20</v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 ht="15" customHeight="1" x14ac:dyDescent="0.2">
      <c r="A23" t="s">
        <v>96</v>
      </c>
      <c r="B23" t="s">
        <v>44</v>
      </c>
      <c r="C23" t="s">
        <v>20</v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 ht="15" customHeight="1" x14ac:dyDescent="0.2">
      <c r="A24" t="s">
        <v>15</v>
      </c>
      <c r="B24" t="s">
        <v>97</v>
      </c>
      <c r="C24" t="s">
        <v>97</v>
      </c>
      <c r="D24">
        <f>COUNTIFS(DATOS!G:G,CONFIG_METADATA!$B$4,DATOS!D:D,A24)</f>
        <v>0</v>
      </c>
      <c r="E24" s="14" t="str">
        <f>IFERROR(AVERAGEIFS(DATOS!K:K,DATOS!G:G,CONFIG_METADATA!$B$4,DATOS!D:D,A24),"—")</f>
        <v>—</v>
      </c>
      <c r="F24" s="14" t="str" cm="1">
        <f t="array" ref="F24">IFERROR(_xlfn.STDEV.P(IF((DATOS!$G$2:$G$20000=CONFIG_METADATA!$B$4)*(DATOS!$D$2:$D$20000=A24),DATOS!$K$2:$K$20000)),"—")</f>
        <v>—</v>
      </c>
      <c r="G24" t="str" cm="1">
        <f t="array" ref="G24">IFERROR(_xlfn.MODE.SNGL(IF((DATOS!$G$2:$G$20000=CONFIG_METADATA!$B$4)*(DATOS!$D$2:$D$20000=A24),DATOS!$K$2:$K$20000)),"—")</f>
        <v>—</v>
      </c>
      <c r="H24" s="15" t="str">
        <f>IFERROR(COUNTIFS(DATOS!$G$2:$G$20000,CONFIG_METADATA!$B$4,DATOS!$D$2:$D$20000,A24,DATOS!$L$2:$L$20000,"S")/COUNTIFS(DATOS!$G$2:$G$20000,CONFIG_METADATA!$B$4,DATOS!$D$2:$D$20000,A24),"—")</f>
        <v>—</v>
      </c>
      <c r="I24" s="15" t="str">
        <f>IFERROR(COUNTIFS(DATOS!$G$2:$G$20000,CONFIG_METADATA!$B$4,DATOS!$D$2:$D$20000,A24,DATOS!$L$2:$L$20000,"N")/COUNTIFS(DATOS!$G$2:$G$20000,CONFIG_METADATA!$B$4,DATOS!$D$2:$D$20000,A24),"—")</f>
        <v>—</v>
      </c>
      <c r="J24" t="str" cm="1">
        <f t="array" ref="J24">IFERROR(_xlfn.MODE.SNGL(IF((DATOS!$G$2:$G$20000=CONFIG_METADATA!$B$4)*(DATOS!$D$2:$D$20000=A24)*(DATOS!$L$2:$L$20000="S"),DATOS!$K$2:$K$20000)),"—")</f>
        <v>—</v>
      </c>
      <c r="K24" t="str" cm="1">
        <f t="array" ref="K24">IFERROR(_xlfn.MODE.SNGL(IF((DATOS!$G$2:$G$20000=CONFIG_METADATA!$B$4)*(DATOS!$D$2:$D$20000=A24)*(DATOS!$L$2:$L$20000="N"),DATOS!$K$2:$K$20000)),"—")</f>
        <v>—</v>
      </c>
      <c r="L24" cm="1">
        <f t="array" ref="L24">SUMPRODUCT((DATOS!$G$2:$G$20000=CONFIG_METADATA!$B$4)*(DATOS!$D$2:$D$20000=A24)*(DATOS!$K$2:$K$20000=1))</f>
        <v>0</v>
      </c>
      <c r="M24" cm="1">
        <f t="array" ref="M24">SUMPRODUCT((DATOS!$G$2:$G$20000=CONFIG_METADATA!$B$4)*(DATOS!$D$2:$D$20000=A24)*(DATOS!$K$2:$K$20000=2))</f>
        <v>0</v>
      </c>
      <c r="N24" cm="1">
        <f t="array" ref="N24">SUMPRODUCT((DATOS!$G$2:$G$20000=CONFIG_METADATA!$B$4)*(DATOS!$D$2:$D$20000=A24)*(DATOS!$K$2:$K$20000=3))</f>
        <v>0</v>
      </c>
      <c r="O24" cm="1">
        <f t="array" ref="O24">SUMPRODUCT((DATOS!$G$2:$G$20000=CONFIG_METADATA!$B$4)*(DATOS!$D$2:$D$20000=A24)*(DATOS!$K$2:$K$20000=4))</f>
        <v>0</v>
      </c>
      <c r="P24" cm="1">
        <f t="array" ref="P24">SUMPRODUCT((DATOS!$G$2:$G$20000=CONFIG_METADATA!$B$4)*(DATOS!$D$2:$D$20000=A24)*(DATOS!$K$2:$K$20000=5))</f>
        <v>0</v>
      </c>
      <c r="Q24" cm="1">
        <f t="array" ref="Q24">SUMPRODUCT((DATOS!$G$2:$G$20000=CONFIG_METADATA!$B$4)*(DATOS!$D$2:$D$20000=A24)*(DATOS!$K$2:$K$20000=6))</f>
        <v>0</v>
      </c>
      <c r="R24" cm="1">
        <f t="array" ref="R24">SUMPRODUCT((DATOS!$G$2:$G$20000=CONFIG_METADATA!$B$4)*(DATOS!$D$2:$D$20000=A24)*(DATOS!$K$2:$K$20000=7))</f>
        <v>0</v>
      </c>
      <c r="S24" cm="1">
        <f t="array" ref="S24">SUMPRODUCT((DATOS!$G$2:$G$20000=CONFIG_METADATA!$B$4)*(DATOS!$D$2:$D$20000=A24)*(DATOS!$K$2:$K$20000=8))</f>
        <v>0</v>
      </c>
      <c r="T24" cm="1">
        <f t="array" ref="T24">SUMPRODUCT((DATOS!$G$2:$G$20000=CONFIG_METADATA!$B$4)*(DATOS!$D$2:$D$20000=A24)*(DATOS!$K$2:$K$20000=9))</f>
        <v>0</v>
      </c>
      <c r="U24" cm="1">
        <f t="array" ref="U24">SUMPRODUCT((DATOS!$G$2:$G$20000=CONFIG_METADATA!$B$4)*(DATOS!$D$2:$D$20000=A24)*(DATOS!$K$2:$K$20000=10))</f>
        <v>0</v>
      </c>
    </row>
    <row r="25" spans="1:22" ht="15" customHeight="1" x14ac:dyDescent="0.2">
      <c r="A25" t="s">
        <v>15</v>
      </c>
      <c r="B25" t="s">
        <v>98</v>
      </c>
      <c r="C25" t="s">
        <v>99</v>
      </c>
      <c r="D25">
        <f>COUNTIFS(DATOS!G:G,CONFIG_METADATA!$B$4,DATOS!D:D,A25,DATOS!I:I,"&lt;&gt;Lenguaje Musical",DATOS!I:I,"&lt;&gt;Coro",DATOS!I:I,"&lt;&gt;Conjunto")</f>
        <v>0</v>
      </c>
      <c r="E25" s="14" t="str">
        <f>IFERROR(AVERAGEIFS(DATOS!K:K,DATOS!G:G,CONFIG_METADATA!$B$4,DATOS!D:D,A25,DATOS!I:I,"&lt;&gt;Lenguaje Musical",DATOS!I:I,"&lt;&gt;Coro",DATOS!I:I,"&lt;&gt;Conjunto"),"—")</f>
        <v>—</v>
      </c>
      <c r="F25" s="14" t="str" cm="1">
        <f t="array" ref="F25">IFERROR(_xlfn.STDEV.P(IF((DATOS!$G$2:$G$20000=CONFIG_METADATA!$B$4)*(DATOS!$D$2:$D$20000=A25)*(DATOS!$I$2:$I$20000&lt;&gt;"Lenguaje Musical")*(DATOS!$I$2:$I$20000&lt;&gt;"Coro")*(DATOS!$I$2:$I$20000&lt;&gt;"Conjunto"),DATOS!$K$2:$K$20000)),"—")</f>
        <v>—</v>
      </c>
      <c r="G25" t="str" cm="1">
        <f t="array" ref="G25">IFERROR(_xlfn.MODE.SNGL(IF((DATOS!$G$2:$G$20000=CONFIG_METADATA!$B$4)*(DATOS!$D$2:$D$20000=A25)*(DATOS!$I$2:$I$20000&lt;&gt;"Lenguaje Musical")*(DATOS!$I$2:$I$20000&lt;&gt;"Coro")*(DATOS!$I$2:$I$20000&lt;&gt;"Conjunto"),DATOS!$K$2:$K$20000)),"—")</f>
        <v>—</v>
      </c>
      <c r="H25" s="15" t="str" cm="1">
        <f t="array" ref="H25">IFERROR(SUMPRODUCT((DATOS!$G$2:$G$20000=CONFIG_METADATA!$B$4)*(DATOS!$D$2:$D$20000=A25)*(DATOS!$I$2:$I$20000&lt;&gt;"Lenguaje Musical")*(DATOS!$I$2:$I$20000&lt;&gt;"Coro")*(DATOS!$I$2:$I$20000&lt;&gt;"Conjunto")*(DATOS!$L$2:$L$20000="S"))/SUMPRODUCT((DATOS!$G$2:$G$20000=CONFIG_METADATA!$B$4)*(DATOS!$D$2:$D$20000=A25)*(DATOS!$I$2:$I$20000&lt;&gt;"Lenguaje Musical")*(DATOS!$I$2:$I$20000&lt;&gt;"Coro")*(DATOS!$I$2:$I$20000&lt;&gt;"Conjunto")*1),"—")</f>
        <v>—</v>
      </c>
      <c r="I25" s="15" t="str" cm="1">
        <f t="array" ref="I25">IFERROR(SUMPRODUCT((DATOS!$G$2:$G$20000=CONFIG_METADATA!$B$4)*(DATOS!$D$2:$D$20000=A25)*(DATOS!$I$2:$I$20000&lt;&gt;"Lenguaje Musical")*(DATOS!$I$2:$I$20000&lt;&gt;"Coro")*(DATOS!$I$2:$I$20000&lt;&gt;"Conjunto")*(DATOS!$L$2:$L$20000="N"))/SUMPRODUCT((DATOS!$G$2:$G$20000=CONFIG_METADATA!$B$4)*(DATOS!$D$2:$D$20000=A25)*(DATOS!$I$2:$I$20000&lt;&gt;"Lenguaje Musical")*(DATOS!$I$2:$I$20000&lt;&gt;"Coro")*(DATOS!$I$2:$I$20000&lt;&gt;"Conjunto")*1),"—")</f>
        <v>—</v>
      </c>
      <c r="J25" t="str" cm="1">
        <f t="array" ref="J25">IFERROR(_xlfn.MODE.SNGL(IF((DATOS!$G$2:$G$20000=CONFIG_METADATA!$B$4)*(DATOS!$D$2:$D$20000=A25)*(DATOS!$I$2:$I$20000&lt;&gt;"Lenguaje Musical")*(DATOS!$I$2:$I$20000&lt;&gt;"Coro")*(DATOS!$I$2:$I$20000&lt;&gt;"Conjunto")*(DATOS!$L$2:$L$20000="S"),DATOS!$K$2:$K$20000)),"—")</f>
        <v>—</v>
      </c>
      <c r="K25" t="str" cm="1">
        <f t="array" ref="K25">IFERROR(_xlfn.MODE.SNGL(IF((DATOS!$G$2:$G$20000=CONFIG_METADATA!$B$4)*(DATOS!$D$2:$D$20000=A25)*(DATOS!$I$2:$I$20000&lt;&gt;"Lenguaje Musical")*(DATOS!$I$2:$I$20000&lt;&gt;"Coro")*(DATOS!$I$2:$I$20000&lt;&gt;"Conjunto")*(DATOS!$L$2:$L$20000="N"),DATOS!$K$2:$K$20000)),"—")</f>
        <v>—</v>
      </c>
      <c r="L25" cm="1">
        <f t="array" ref="L25">SUMPRODUCT((DATOS!$G$2:$G$20000=CONFIG_METADATA!$B$4)*(DATOS!$D$2:$D$20000=A25)*(DATOS!$I$2:$I$20000&lt;&gt;"Lenguaje Musical")*(DATOS!$I$2:$I$20000&lt;&gt;"Coro")*(DATOS!$I$2:$I$20000&lt;&gt;"Conjunto")*(DATOS!$K$2:$K$20000=1))</f>
        <v>0</v>
      </c>
      <c r="M25" cm="1">
        <f t="array" ref="M25">SUMPRODUCT((DATOS!$G$2:$G$20000=CONFIG_METADATA!$B$4)*(DATOS!$D$2:$D$20000=A25)*(DATOS!$I$2:$I$20000&lt;&gt;"Lenguaje Musical")*(DATOS!$I$2:$I$20000&lt;&gt;"Coro")*(DATOS!$I$2:$I$20000&lt;&gt;"Conjunto")*(DATOS!$K$2:$K$20000=2))</f>
        <v>0</v>
      </c>
      <c r="N25" cm="1">
        <f t="array" ref="N25">SUMPRODUCT((DATOS!$G$2:$G$20000=CONFIG_METADATA!$B$4)*(DATOS!$D$2:$D$20000=A25)*(DATOS!$I$2:$I$20000&lt;&gt;"Lenguaje Musical")*(DATOS!$I$2:$I$20000&lt;&gt;"Coro")*(DATOS!$I$2:$I$20000&lt;&gt;"Conjunto")*(DATOS!$K$2:$K$20000=3))</f>
        <v>0</v>
      </c>
      <c r="O25" cm="1">
        <f t="array" ref="O25">SUMPRODUCT((DATOS!$G$2:$G$20000=CONFIG_METADATA!$B$4)*(DATOS!$D$2:$D$20000=A25)*(DATOS!$I$2:$I$20000&lt;&gt;"Lenguaje Musical")*(DATOS!$I$2:$I$20000&lt;&gt;"Coro")*(DATOS!$I$2:$I$20000&lt;&gt;"Conjunto")*(DATOS!$K$2:$K$20000=4))</f>
        <v>0</v>
      </c>
      <c r="P25" cm="1">
        <f t="array" ref="P25">SUMPRODUCT((DATOS!$G$2:$G$20000=CONFIG_METADATA!$B$4)*(DATOS!$D$2:$D$20000=A25)*(DATOS!$I$2:$I$20000&lt;&gt;"Lenguaje Musical")*(DATOS!$I$2:$I$20000&lt;&gt;"Coro")*(DATOS!$I$2:$I$20000&lt;&gt;"Conjunto")*(DATOS!$K$2:$K$20000=5))</f>
        <v>0</v>
      </c>
      <c r="Q25" cm="1">
        <f t="array" ref="Q25">SUMPRODUCT((DATOS!$G$2:$G$20000=CONFIG_METADATA!$B$4)*(DATOS!$D$2:$D$20000=A25)*(DATOS!$I$2:$I$20000&lt;&gt;"Lenguaje Musical")*(DATOS!$I$2:$I$20000&lt;&gt;"Coro")*(DATOS!$I$2:$I$20000&lt;&gt;"Conjunto")*(DATOS!$K$2:$K$20000=6))</f>
        <v>0</v>
      </c>
      <c r="R25" cm="1">
        <f t="array" ref="R25">SUMPRODUCT((DATOS!$G$2:$G$20000=CONFIG_METADATA!$B$4)*(DATOS!$D$2:$D$20000=A25)*(DATOS!$I$2:$I$20000&lt;&gt;"Lenguaje Musical")*(DATOS!$I$2:$I$20000&lt;&gt;"Coro")*(DATOS!$I$2:$I$20000&lt;&gt;"Conjunto")*(DATOS!$K$2:$K$20000=7))</f>
        <v>0</v>
      </c>
      <c r="S25" cm="1">
        <f t="array" ref="S25">SUMPRODUCT((DATOS!$G$2:$G$20000=CONFIG_METADATA!$B$4)*(DATOS!$D$2:$D$20000=A25)*(DATOS!$I$2:$I$20000&lt;&gt;"Lenguaje Musical")*(DATOS!$I$2:$I$20000&lt;&gt;"Coro")*(DATOS!$I$2:$I$20000&lt;&gt;"Conjunto")*(DATOS!$K$2:$K$20000=8))</f>
        <v>0</v>
      </c>
      <c r="T25" cm="1">
        <f t="array" ref="T25">SUMPRODUCT((DATOS!$G$2:$G$20000=CONFIG_METADATA!$B$4)*(DATOS!$D$2:$D$20000=A25)*(DATOS!$I$2:$I$20000&lt;&gt;"Lenguaje Musical")*(DATOS!$I$2:$I$20000&lt;&gt;"Coro")*(DATOS!$I$2:$I$20000&lt;&gt;"Conjunto")*(DATOS!$K$2:$K$20000=9))</f>
        <v>0</v>
      </c>
      <c r="U25" cm="1">
        <f t="array" ref="U25">SUMPRODUCT((DATOS!$G$2:$G$20000=CONFIG_METADATA!$B$4)*(DATOS!$D$2:$D$20000=A25)*(DATOS!$I$2:$I$20000&lt;&gt;"Lenguaje Musical")*(DATOS!$I$2:$I$20000&lt;&gt;"Coro")*(DATOS!$I$2:$I$20000&lt;&gt;"Conjunto")*(DATOS!$K$2:$K$20000=10))</f>
        <v>0</v>
      </c>
    </row>
    <row r="26" spans="1:22" ht="15" customHeight="1" x14ac:dyDescent="0.2">
      <c r="A26" t="s">
        <v>15</v>
      </c>
      <c r="B26" t="s">
        <v>100</v>
      </c>
      <c r="C26" t="s">
        <v>101</v>
      </c>
      <c r="D26">
        <f>SUMPRODUCT((DATOS!G:G=CONFIG_METADATA!$B$4)*(DATOS!D:D=A26)*((DATOS!I:I="Lenguaje Musical")+(DATOS!I:I="Coro")+(DATOS!I:I="Conjunto")))</f>
        <v>0</v>
      </c>
      <c r="E26" s="14" t="str" cm="1">
        <f t="array" ref="E26">IFERROR(AVERAGE(IF((DATOS!$G$2:$G$20000=CONFIG_METADATA!$B$4)*(DATOS!$D$2:$D$20000=A26)*((DATOS!$I$2:$I$20000="Lenguaje Musical")+(DATOS!$I$2:$I$20000="Coro")+(DATOS!$I$2:$I$20000="Conjunto")),DATOS!$K$2:$K$20000)),"—")</f>
        <v>—</v>
      </c>
      <c r="F26" s="14" t="str" cm="1">
        <f t="array" ref="F26">IFERROR(_xlfn.STDEV.P(IF((DATOS!$G$2:$G$20000=CONFIG_METADATA!$B$4)*(DATOS!$D$2:$D$20000=A26)*((DATOS!$I$2:$I$20000="Lenguaje Musical")+(DATOS!$I$2:$I$20000="Coro")+(DATOS!$I$2:$I$20000="Conjunto")),DATOS!$K$2:$K$20000)),"—")</f>
        <v>—</v>
      </c>
      <c r="G26" t="str" cm="1">
        <f t="array" ref="G26">IFERROR(_xlfn.MODE.SNGL(IF((DATOS!$G$2:$G$20000=CONFIG_METADATA!$B$4)*(DATOS!$D$2:$D$20000=A26)*((DATOS!$I$2:$I$20000="Lenguaje Musical")+(DATOS!$I$2:$I$20000="Coro")+(DATOS!$I$2:$I$20000="Conjunto")),DATOS!$K$2:$K$20000)),"—")</f>
        <v>—</v>
      </c>
      <c r="H26" s="15" t="str" cm="1">
        <f t="array" ref="H26">IFERROR(SUMPRODUCT((DATOS!$G$2:$G$20000=CONFIG_METADATA!$B$4)*(DATOS!$D$2:$D$20000=A26)*((DATOS!$I$2:$I$20000="Lenguaje Musical")+(DATOS!$I$2:$I$20000="Coro")+(DATOS!$I$2:$I$20000="Conjunto"))*(DATOS!$L$2:$L$20000="S"))/SUMPRODUCT((DATOS!$G$2:$G$20000=CONFIG_METADATA!$B$4)*(DATOS!$D$2:$D$20000=A26)*((DATOS!$I$2:$I$20000="Lenguaje Musical")+(DATOS!$I$2:$I$20000="Coro")+(DATOS!$I$2:$I$20000="Conjunto"))*1),"—")</f>
        <v>—</v>
      </c>
      <c r="I26" s="15" t="str" cm="1">
        <f t="array" ref="I26">IFERROR(SUMPRODUCT((DATOS!$G$2:$G$20000=CONFIG_METADATA!$B$4)*(DATOS!$D$2:$D$20000=A26)*((DATOS!$I$2:$I$20000="Lenguaje Musical")+(DATOS!$I$2:$I$20000="Coro")+(DATOS!$I$2:$I$20000="Conjunto"))*(DATOS!$L$2:$L$20000="N"))/SUMPRODUCT((DATOS!$G$2:$G$20000=CONFIG_METADATA!$B$4)*(DATOS!$D$2:$D$20000=A26)*((DATOS!$I$2:$I$20000="Lenguaje Musical")+(DATOS!$I$2:$I$20000="Coro")+(DATOS!$I$2:$I$20000="Conjunto"))*1),"—")</f>
        <v>—</v>
      </c>
      <c r="J26" t="str" cm="1">
        <f t="array" ref="J26">IFERROR(_xlfn.MODE.SNGL(IF((DATOS!$G$2:$G$20000=CONFIG_METADATA!$B$4)*(DATOS!$D$2:$D$20000=A26)*((DATOS!$I$2:$I$20000="Lenguaje Musical")+(DATOS!$I$2:$I$20000="Coro")+(DATOS!$I$2:$I$20000="Conjunto"))*(DATOS!$L$2:$L$20000="S"),DATOS!$K$2:$K$20000)),"—")</f>
        <v>—</v>
      </c>
      <c r="K26" t="str" cm="1">
        <f t="array" ref="K26">IFERROR(_xlfn.MODE.SNGL(IF((DATOS!$G$2:$G$20000=CONFIG_METADATA!$B$4)*(DATOS!$D$2:$D$20000=A26)*((DATOS!$I$2:$I$20000="Lenguaje Musical")+(DATOS!$I$2:$I$20000="Coro")+(DATOS!$I$2:$I$20000="Conjunto"))*(DATOS!$L$2:$L$20000="N"),DATOS!$K$2:$K$20000)),"—")</f>
        <v>—</v>
      </c>
      <c r="L26" cm="1">
        <f t="array" ref="L26">SUMPRODUCT((DATOS!$G$2:$G$20000=CONFIG_METADATA!$B$4)*(DATOS!$D$2:$D$20000=A26)*((DATOS!$I$2:$I$20000="Lenguaje Musical")+(DATOS!$I$2:$I$20000="Coro")+(DATOS!$I$2:$I$20000="Conjunto"))*(DATOS!$K$2:$K$20000=1))</f>
        <v>0</v>
      </c>
      <c r="M26" cm="1">
        <f t="array" ref="M26">SUMPRODUCT((DATOS!$G$2:$G$20000=CONFIG_METADATA!$B$4)*(DATOS!$D$2:$D$20000=A26)*((DATOS!$I$2:$I$20000="Lenguaje Musical")+(DATOS!$I$2:$I$20000="Coro")+(DATOS!$I$2:$I$20000="Conjunto"))*(DATOS!$K$2:$K$20000=2))</f>
        <v>0</v>
      </c>
      <c r="N26" cm="1">
        <f t="array" ref="N26">SUMPRODUCT((DATOS!$G$2:$G$20000=CONFIG_METADATA!$B$4)*(DATOS!$D$2:$D$20000=A26)*((DATOS!$I$2:$I$20000="Lenguaje Musical")+(DATOS!$I$2:$I$20000="Coro")+(DATOS!$I$2:$I$20000="Conjunto"))*(DATOS!$K$2:$K$20000=3))</f>
        <v>0</v>
      </c>
      <c r="O26" cm="1">
        <f t="array" ref="O26">SUMPRODUCT((DATOS!$G$2:$G$20000=CONFIG_METADATA!$B$4)*(DATOS!$D$2:$D$20000=A26)*((DATOS!$I$2:$I$20000="Lenguaje Musical")+(DATOS!$I$2:$I$20000="Coro")+(DATOS!$I$2:$I$20000="Conjunto"))*(DATOS!$K$2:$K$20000=4))</f>
        <v>0</v>
      </c>
      <c r="P26" cm="1">
        <f t="array" ref="P26">SUMPRODUCT((DATOS!$G$2:$G$20000=CONFIG_METADATA!$B$4)*(DATOS!$D$2:$D$20000=A26)*((DATOS!$I$2:$I$20000="Lenguaje Musical")+(DATOS!$I$2:$I$20000="Coro")+(DATOS!$I$2:$I$20000="Conjunto"))*(DATOS!$K$2:$K$20000=5))</f>
        <v>0</v>
      </c>
      <c r="Q26" cm="1">
        <f t="array" ref="Q26">SUMPRODUCT((DATOS!$G$2:$G$20000=CONFIG_METADATA!$B$4)*(DATOS!$D$2:$D$20000=A26)*((DATOS!$I$2:$I$20000="Lenguaje Musical")+(DATOS!$I$2:$I$20000="Coro")+(DATOS!$I$2:$I$20000="Conjunto"))*(DATOS!$K$2:$K$20000=6))</f>
        <v>0</v>
      </c>
      <c r="R26" cm="1">
        <f t="array" ref="R26">SUMPRODUCT((DATOS!$G$2:$G$20000=CONFIG_METADATA!$B$4)*(DATOS!$D$2:$D$20000=A26)*((DATOS!$I$2:$I$20000="Lenguaje Musical")+(DATOS!$I$2:$I$20000="Coro")+(DATOS!$I$2:$I$20000="Conjunto"))*(DATOS!$K$2:$K$20000=7))</f>
        <v>0</v>
      </c>
      <c r="S26" cm="1">
        <f t="array" ref="S26">SUMPRODUCT((DATOS!$G$2:$G$20000=CONFIG_METADATA!$B$4)*(DATOS!$D$2:$D$20000=A26)*((DATOS!$I$2:$I$20000="Lenguaje Musical")+(DATOS!$I$2:$I$20000="Coro")+(DATOS!$I$2:$I$20000="Conjunto"))*(DATOS!$K$2:$K$20000=8))</f>
        <v>0</v>
      </c>
      <c r="T26" cm="1">
        <f t="array" ref="T26">SUMPRODUCT((DATOS!$G$2:$G$20000=CONFIG_METADATA!$B$4)*(DATOS!$D$2:$D$20000=A26)*((DATOS!$I$2:$I$20000="Lenguaje Musical")+(DATOS!$I$2:$I$20000="Coro")+(DATOS!$I$2:$I$20000="Conjunto"))*(DATOS!$K$2:$K$20000=9))</f>
        <v>0</v>
      </c>
      <c r="U26" cm="1">
        <f t="array" ref="U26">SUMPRODUCT((DATOS!$G$2:$G$20000=CONFIG_METADATA!$B$4)*(DATOS!$D$2:$D$20000=A26)*((DATOS!$I$2:$I$20000="Lenguaje Musical")+(DATOS!$I$2:$I$20000="Coro")+(DATOS!$I$2:$I$20000="Conjunto"))*(DATOS!$K$2:$K$20000=10))</f>
        <v>0</v>
      </c>
    </row>
    <row r="27" spans="1:22" ht="15" customHeight="1" x14ac:dyDescent="0.2">
      <c r="A27" t="s">
        <v>15</v>
      </c>
      <c r="B27" t="s">
        <v>10</v>
      </c>
      <c r="C27" t="s">
        <v>2</v>
      </c>
      <c r="D27">
        <f>IF(V27="Sí",COUNTIFS(DATOS!G:G,CONFIG_METADATA!$B$4,DATOS!D:D,A27,DATOS!I:I,B27),"")</f>
        <v>0</v>
      </c>
      <c r="E27" s="14" t="str">
        <f>IF(V27="Sí",IFERROR(AVERAGEIFS(DATOS!K:K,DATOS!G:G,CONFIG_METADATA!$B$4,DATOS!D:D,A27,DATOS!I:I,B27),"—"),"")</f>
        <v>—</v>
      </c>
      <c r="F27" s="14" t="str" cm="1">
        <f t="array" ref="F27">IF(V27="Sí",IFERROR(_xlfn.STDEV.P(IF((DATOS!$G$2:$G$20000=CONFIG_METADATA!$B$4)*(DATOS!$D$2:$D$20000=A27)*(DATOS!$I$2:$I$20000=B27),DATOS!$K$2:$K$20000)),"—"),"")</f>
        <v>—</v>
      </c>
      <c r="G27" t="str" cm="1">
        <f t="array" ref="G27">IF(V27="Sí",IFERROR(_xlfn.MODE.SNGL(IF((DATOS!$G$2:$G$20000=CONFIG_METADATA!$B$4)*(DATOS!$D$2:$D$20000=A27)*(DATOS!$I$2:$I$20000=B27),DATOS!$K$2:$K$20000)),"—"),"")</f>
        <v>—</v>
      </c>
      <c r="H27" s="15" t="str">
        <f>IF(V27="Sí",IFERROR(COUNTIFS(DATOS!G:G,CONFIG_METADATA!$B$4,DATOS!D:D,A27,DATOS!I:I,B27,DATOS!L:L,"S")/COUNTIFS(DATOS!G:G,CONFIG_METADATA!$B$4,DATOS!D:D,A27,DATOS!I:I,B27),"—"),"")</f>
        <v>—</v>
      </c>
      <c r="I27" s="15" t="str">
        <f>IF(V27="Sí",IFERROR(COUNTIFS(DATOS!G:G,CONFIG_METADATA!$B$4,DATOS!D:D,A27,DATOS!I:I,B27,DATOS!L:L,"N")/COUNTIFS(DATOS!G:G,CONFIG_METADATA!$B$4,DATOS!D:D,A27,DATOS!I:I,B27),"—"),"")</f>
        <v>—</v>
      </c>
      <c r="J27" t="str" cm="1">
        <f t="array" ref="J27">IF(V27="Sí",IFERROR(_xlfn.MODE.SNGL(IF((DATOS!$G$2:$G$20000=CONFIG_METADATA!$B$4)*(DATOS!$D$2:$D$20000=A27)*(DATOS!$I$2:$I$20000=B27)*(DATOS!$L$2:$L$20000="S"),DATOS!$K$2:$K$20000)),"—"),"")</f>
        <v>—</v>
      </c>
      <c r="K27" t="str" cm="1">
        <f t="array" ref="K27">IF(V27="Sí",IFERROR(_xlfn.MODE.SNGL(IF((DATOS!$G$2:$G$20000=CONFIG_METADATA!$B$4)*(DATOS!$D$2:$D$20000=A27)*(DATOS!$I$2:$I$20000=B27)*(DATOS!$L$2:$L$20000="N"),DATOS!$K$2:$K$20000)),"—"),"")</f>
        <v>—</v>
      </c>
      <c r="L27">
        <f>IF(V27="Sí",COUNTIFS(DATOS!G:G,CONFIG_METADATA!$B$4,DATOS!D:D,A27,DATOS!I:I,B27,DATOS!K:K,1),"")</f>
        <v>0</v>
      </c>
      <c r="M27">
        <f>IF(V27="Sí",COUNTIFS(DATOS!G:G,CONFIG_METADATA!$B$4,DATOS!D:D,A27,DATOS!I:I,B27,DATOS!K:K,2),"")</f>
        <v>0</v>
      </c>
      <c r="N27">
        <f>IF(V27="Sí",COUNTIFS(DATOS!G:G,CONFIG_METADATA!$B$4,DATOS!D:D,A27,DATOS!I:I,B27,DATOS!K:K,3),"")</f>
        <v>0</v>
      </c>
      <c r="O27">
        <f>IF(V27="Sí",COUNTIFS(DATOS!G:G,CONFIG_METADATA!$B$4,DATOS!D:D,A27,DATOS!I:I,B27,DATOS!K:K,4),"")</f>
        <v>0</v>
      </c>
      <c r="P27">
        <f>IF(V27="Sí",COUNTIFS(DATOS!G:G,CONFIG_METADATA!$B$4,DATOS!D:D,A27,DATOS!I:I,B27,DATOS!K:K,5),"")</f>
        <v>0</v>
      </c>
      <c r="Q27">
        <f>IF(V27="Sí",COUNTIFS(DATOS!G:G,CONFIG_METADATA!$B$4,DATOS!D:D,A27,DATOS!I:I,B27,DATOS!K:K,6),"")</f>
        <v>0</v>
      </c>
      <c r="R27">
        <f>IF(V27="Sí",COUNTIFS(DATOS!G:G,CONFIG_METADATA!$B$4,DATOS!D:D,A27,DATOS!I:I,B27,DATOS!K:K,7),"")</f>
        <v>0</v>
      </c>
      <c r="S27">
        <f>IF(V27="Sí",COUNTIFS(DATOS!G:G,CONFIG_METADATA!$B$4,DATOS!D:D,A27,DATOS!I:I,B27,DATOS!K:K,8),"")</f>
        <v>0</v>
      </c>
      <c r="T27">
        <f>IF(V27="Sí",COUNTIFS(DATOS!G:G,CONFIG_METADATA!$B$4,DATOS!D:D,A27,DATOS!I:I,B27,DATOS!K:K,9),"")</f>
        <v>0</v>
      </c>
      <c r="U27">
        <f>IF(V27="Sí",COUNTIFS(DATOS!G:G,CONFIG_METADATA!$B$4,DATOS!D:D,A27,DATOS!I:I,B27,DATOS!K:K,10),"")</f>
        <v>0</v>
      </c>
      <c r="V27" t="str">
        <f>IFERROR(IF(ISERROR(FIND(A27,VLOOKUP(B27,CONFIG_ASIGNATURAS!B:C,2,FALSE()))),"No","Sí"),"No")</f>
        <v>Sí</v>
      </c>
    </row>
    <row r="28" spans="1:22" ht="15" customHeight="1" x14ac:dyDescent="0.2">
      <c r="A28" t="s">
        <v>15</v>
      </c>
      <c r="B28" t="s">
        <v>16</v>
      </c>
      <c r="C28" t="s">
        <v>2</v>
      </c>
      <c r="D28">
        <f>IF(V28="Sí",COUNTIFS(DATOS!G:G,CONFIG_METADATA!$B$4,DATOS!D:D,A28,DATOS!I:I,B28),"")</f>
        <v>0</v>
      </c>
      <c r="E28" s="14" t="str">
        <f>IF(V28="Sí",IFERROR(AVERAGEIFS(DATOS!K:K,DATOS!G:G,CONFIG_METADATA!$B$4,DATOS!D:D,A28,DATOS!I:I,B28),"—"),"")</f>
        <v>—</v>
      </c>
      <c r="F28" s="14" t="str" cm="1">
        <f t="array" ref="F28">IF(V28="Sí",IFERROR(_xlfn.STDEV.P(IF((DATOS!$G$2:$G$20000=CONFIG_METADATA!$B$4)*(DATOS!$D$2:$D$20000=A28)*(DATOS!$I$2:$I$20000=B28),DATOS!$K$2:$K$20000)),"—"),"")</f>
        <v>—</v>
      </c>
      <c r="G28" t="str" cm="1">
        <f t="array" ref="G28">IF(V28="Sí",IFERROR(_xlfn.MODE.SNGL(IF((DATOS!$G$2:$G$20000=CONFIG_METADATA!$B$4)*(DATOS!$D$2:$D$20000=A28)*(DATOS!$I$2:$I$20000=B28),DATOS!$K$2:$K$20000)),"—"),"")</f>
        <v>—</v>
      </c>
      <c r="H28" s="15" t="str">
        <f>IF(V28="Sí",IFERROR(COUNTIFS(DATOS!G:G,CONFIG_METADATA!$B$4,DATOS!D:D,A28,DATOS!I:I,B28,DATOS!L:L,"S")/COUNTIFS(DATOS!G:G,CONFIG_METADATA!$B$4,DATOS!D:D,A28,DATOS!I:I,B28),"—"),"")</f>
        <v>—</v>
      </c>
      <c r="I28" s="15" t="str">
        <f>IF(V28="Sí",IFERROR(COUNTIFS(DATOS!G:G,CONFIG_METADATA!$B$4,DATOS!D:D,A28,DATOS!I:I,B28,DATOS!L:L,"N")/COUNTIFS(DATOS!G:G,CONFIG_METADATA!$B$4,DATOS!D:D,A28,DATOS!I:I,B28),"—"),"")</f>
        <v>—</v>
      </c>
      <c r="J28" t="str" cm="1">
        <f t="array" ref="J28">IF(V28="Sí",IFERROR(_xlfn.MODE.SNGL(IF((DATOS!$G$2:$G$20000=CONFIG_METADATA!$B$4)*(DATOS!$D$2:$D$20000=A28)*(DATOS!$I$2:$I$20000=B28)*(DATOS!$L$2:$L$20000="S"),DATOS!$K$2:$K$20000)),"—"),"")</f>
        <v>—</v>
      </c>
      <c r="K28" t="str" cm="1">
        <f t="array" ref="K28">IF(V28="Sí",IFERROR(_xlfn.MODE.SNGL(IF((DATOS!$G$2:$G$20000=CONFIG_METADATA!$B$4)*(DATOS!$D$2:$D$20000=A28)*(DATOS!$I$2:$I$20000=B28)*(DATOS!$L$2:$L$20000="N"),DATOS!$K$2:$K$20000)),"—"),"")</f>
        <v>—</v>
      </c>
      <c r="L28">
        <f>IF(V28="Sí",COUNTIFS(DATOS!G:G,CONFIG_METADATA!$B$4,DATOS!D:D,A28,DATOS!I:I,B28,DATOS!K:K,1),"")</f>
        <v>0</v>
      </c>
      <c r="M28">
        <f>IF(V28="Sí",COUNTIFS(DATOS!G:G,CONFIG_METADATA!$B$4,DATOS!D:D,A28,DATOS!I:I,B28,DATOS!K:K,2),"")</f>
        <v>0</v>
      </c>
      <c r="N28">
        <f>IF(V28="Sí",COUNTIFS(DATOS!G:G,CONFIG_METADATA!$B$4,DATOS!D:D,A28,DATOS!I:I,B28,DATOS!K:K,3),"")</f>
        <v>0</v>
      </c>
      <c r="O28">
        <f>IF(V28="Sí",COUNTIFS(DATOS!G:G,CONFIG_METADATA!$B$4,DATOS!D:D,A28,DATOS!I:I,B28,DATOS!K:K,4),"")</f>
        <v>0</v>
      </c>
      <c r="P28">
        <f>IF(V28="Sí",COUNTIFS(DATOS!G:G,CONFIG_METADATA!$B$4,DATOS!D:D,A28,DATOS!I:I,B28,DATOS!K:K,5),"")</f>
        <v>0</v>
      </c>
      <c r="Q28">
        <f>IF(V28="Sí",COUNTIFS(DATOS!G:G,CONFIG_METADATA!$B$4,DATOS!D:D,A28,DATOS!I:I,B28,DATOS!K:K,6),"")</f>
        <v>0</v>
      </c>
      <c r="R28">
        <f>IF(V28="Sí",COUNTIFS(DATOS!G:G,CONFIG_METADATA!$B$4,DATOS!D:D,A28,DATOS!I:I,B28,DATOS!K:K,7),"")</f>
        <v>0</v>
      </c>
      <c r="S28">
        <f>IF(V28="Sí",COUNTIFS(DATOS!G:G,CONFIG_METADATA!$B$4,DATOS!D:D,A28,DATOS!I:I,B28,DATOS!K:K,8),"")</f>
        <v>0</v>
      </c>
      <c r="T28">
        <f>IF(V28="Sí",COUNTIFS(DATOS!G:G,CONFIG_METADATA!$B$4,DATOS!D:D,A28,DATOS!I:I,B28,DATOS!K:K,9),"")</f>
        <v>0</v>
      </c>
      <c r="U28">
        <f>IF(V28="Sí",COUNTIFS(DATOS!G:G,CONFIG_METADATA!$B$4,DATOS!D:D,A28,DATOS!I:I,B28,DATOS!K:K,10),"")</f>
        <v>0</v>
      </c>
      <c r="V28" t="str">
        <f>IFERROR(IF(ISERROR(FIND(A28,VLOOKUP(B28,CONFIG_ASIGNATURAS!B:C,2,FALSE()))),"No","Sí"),"No")</f>
        <v>Sí</v>
      </c>
    </row>
    <row r="29" spans="1:22" ht="15" customHeight="1" x14ac:dyDescent="0.2">
      <c r="A29" t="s">
        <v>15</v>
      </c>
      <c r="B29" t="s">
        <v>21</v>
      </c>
      <c r="C29" t="s">
        <v>2</v>
      </c>
      <c r="D29" t="str">
        <f>IF(V29="Sí",COUNTIFS(DATOS!G:G,CONFIG_METADATA!$B$4,DATOS!D:D,A29,DATOS!I:I,B29),"")</f>
        <v/>
      </c>
      <c r="E29" s="14" t="str">
        <f>IF(V29="Sí",IFERROR(AVERAGEIFS(DATOS!K:K,DATOS!G:G,CONFIG_METADATA!$B$4,DATOS!D:D,A29,DATOS!I:I,B29),"—"),"")</f>
        <v/>
      </c>
      <c r="F29" s="14" t="str" cm="1">
        <f t="array" ref="F29">IF(V29="Sí",IFERROR(_xlfn.STDEV.P(IF((DATOS!$G$2:$G$20000=CONFIG_METADATA!$B$4)*(DATOS!$D$2:$D$20000=A29)*(DATOS!$I$2:$I$20000=B29),DATOS!$K$2:$K$20000)),"—"),"")</f>
        <v/>
      </c>
      <c r="G29" t="str" cm="1">
        <f t="array" ref="G29">IF(V29="Sí",IFERROR(_xlfn.MODE.SNGL(IF((DATOS!$G$2:$G$20000=CONFIG_METADATA!$B$4)*(DATOS!$D$2:$D$20000=A29)*(DATOS!$I$2:$I$20000=B29),DATOS!$K$2:$K$20000)),"—"),"")</f>
        <v/>
      </c>
      <c r="H29" s="15" t="str">
        <f>IF(V29="Sí",IFERROR(COUNTIFS(DATOS!G:G,CONFIG_METADATA!$B$4,DATOS!D:D,A29,DATOS!I:I,B29,DATOS!L:L,"S")/COUNTIFS(DATOS!G:G,CONFIG_METADATA!$B$4,DATOS!D:D,A29,DATOS!I:I,B29),"—"),"")</f>
        <v/>
      </c>
      <c r="I29" s="15" t="str">
        <f>IF(V29="Sí",IFERROR(COUNTIFS(DATOS!G:G,CONFIG_METADATA!$B$4,DATOS!D:D,A29,DATOS!I:I,B29,DATOS!L:L,"N")/COUNTIFS(DATOS!G:G,CONFIG_METADATA!$B$4,DATOS!D:D,A29,DATOS!I:I,B29),"—"),"")</f>
        <v/>
      </c>
      <c r="J29" t="str" cm="1">
        <f t="array" ref="J29">IF(V29="Sí",IFERROR(_xlfn.MODE.SNGL(IF((DATOS!$G$2:$G$20000=CONFIG_METADATA!$B$4)*(DATOS!$D$2:$D$20000=A29)*(DATOS!$I$2:$I$20000=B29)*(DATOS!$L$2:$L$20000="S"),DATOS!$K$2:$K$20000)),"—"),"")</f>
        <v/>
      </c>
      <c r="K29" t="str" cm="1">
        <f t="array" ref="K29">IF(V29="Sí",IFERROR(_xlfn.MODE.SNGL(IF((DATOS!$G$2:$G$20000=CONFIG_METADATA!$B$4)*(DATOS!$D$2:$D$20000=A29)*(DATOS!$I$2:$I$20000=B29)*(DATOS!$L$2:$L$20000="N"),DATOS!$K$2:$K$20000)),"—"),"")</f>
        <v/>
      </c>
      <c r="L29" t="str">
        <f>IF(V29="Sí",COUNTIFS(DATOS!G:G,CONFIG_METADATA!$B$4,DATOS!D:D,A29,DATOS!I:I,B29,DATOS!K:K,1),"")</f>
        <v/>
      </c>
      <c r="M29" t="str">
        <f>IF(V29="Sí",COUNTIFS(DATOS!G:G,CONFIG_METADATA!$B$4,DATOS!D:D,A29,DATOS!I:I,B29,DATOS!K:K,2),"")</f>
        <v/>
      </c>
      <c r="N29" t="str">
        <f>IF(V29="Sí",COUNTIFS(DATOS!G:G,CONFIG_METADATA!$B$4,DATOS!D:D,A29,DATOS!I:I,B29,DATOS!K:K,3),"")</f>
        <v/>
      </c>
      <c r="O29" t="str">
        <f>IF(V29="Sí",COUNTIFS(DATOS!G:G,CONFIG_METADATA!$B$4,DATOS!D:D,A29,DATOS!I:I,B29,DATOS!K:K,4),"")</f>
        <v/>
      </c>
      <c r="P29" t="str">
        <f>IF(V29="Sí",COUNTIFS(DATOS!G:G,CONFIG_METADATA!$B$4,DATOS!D:D,A29,DATOS!I:I,B29,DATOS!K:K,5),"")</f>
        <v/>
      </c>
      <c r="Q29" t="str">
        <f>IF(V29="Sí",COUNTIFS(DATOS!G:G,CONFIG_METADATA!$B$4,DATOS!D:D,A29,DATOS!I:I,B29,DATOS!K:K,6),"")</f>
        <v/>
      </c>
      <c r="R29" t="str">
        <f>IF(V29="Sí",COUNTIFS(DATOS!G:G,CONFIG_METADATA!$B$4,DATOS!D:D,A29,DATOS!I:I,B29,DATOS!K:K,7),"")</f>
        <v/>
      </c>
      <c r="S29" t="str">
        <f>IF(V29="Sí",COUNTIFS(DATOS!G:G,CONFIG_METADATA!$B$4,DATOS!D:D,A29,DATOS!I:I,B29,DATOS!K:K,8),"")</f>
        <v/>
      </c>
      <c r="T29" t="str">
        <f>IF(V29="Sí",COUNTIFS(DATOS!G:G,CONFIG_METADATA!$B$4,DATOS!D:D,A29,DATOS!I:I,B29,DATOS!K:K,9),"")</f>
        <v/>
      </c>
      <c r="U29" t="str">
        <f>IF(V29="Sí",COUNTIFS(DATOS!G:G,CONFIG_METADATA!$B$4,DATOS!D:D,A29,DATOS!I:I,B29,DATOS!K:K,10),"")</f>
        <v/>
      </c>
      <c r="V29" t="str">
        <f>IFERROR(IF(ISERROR(FIND(A29,VLOOKUP(B29,CONFIG_ASIGNATURAS!B:C,2,FALSE()))),"No","Sí"),"No")</f>
        <v>No</v>
      </c>
    </row>
    <row r="30" spans="1:22" ht="15" customHeight="1" x14ac:dyDescent="0.2">
      <c r="A30" t="s">
        <v>15</v>
      </c>
      <c r="B30" t="s">
        <v>24</v>
      </c>
      <c r="C30" t="s">
        <v>20</v>
      </c>
      <c r="D30">
        <f>IF(V30="Sí",COUNTIFS(DATOS!G:G,CONFIG_METADATA!$B$4,DATOS!D:D,A30,DATOS!I:I,B30),"")</f>
        <v>0</v>
      </c>
      <c r="E30" s="14" t="str">
        <f>IF(V30="Sí",IFERROR(AVERAGEIFS(DATOS!K:K,DATOS!G:G,CONFIG_METADATA!$B$4,DATOS!D:D,A30,DATOS!I:I,B30),"—"),"")</f>
        <v>—</v>
      </c>
      <c r="F30" s="14" t="str" cm="1">
        <f t="array" ref="F30">IF(V30="Sí",IFERROR(_xlfn.STDEV.P(IF((DATOS!$G$2:$G$20000=CONFIG_METADATA!$B$4)*(DATOS!$D$2:$D$20000=A30)*(DATOS!$I$2:$I$20000=B30),DATOS!$K$2:$K$20000)),"—"),"")</f>
        <v>—</v>
      </c>
      <c r="G30" t="str" cm="1">
        <f t="array" ref="G30">IF(V30="Sí",IFERROR(_xlfn.MODE.SNGL(IF((DATOS!$G$2:$G$20000=CONFIG_METADATA!$B$4)*(DATOS!$D$2:$D$20000=A30)*(DATOS!$I$2:$I$20000=B30),DATOS!$K$2:$K$20000)),"—"),"")</f>
        <v>—</v>
      </c>
      <c r="H30" s="15" t="str">
        <f>IF(V30="Sí",IFERROR(COUNTIFS(DATOS!G:G,CONFIG_METADATA!$B$4,DATOS!D:D,A30,DATOS!I:I,B30,DATOS!L:L,"S")/COUNTIFS(DATOS!G:G,CONFIG_METADATA!$B$4,DATOS!D:D,A30,DATOS!I:I,B30),"—"),"")</f>
        <v>—</v>
      </c>
      <c r="I30" s="15" t="str">
        <f>IF(V30="Sí",IFERROR(COUNTIFS(DATOS!G:G,CONFIG_METADATA!$B$4,DATOS!D:D,A30,DATOS!I:I,B30,DATOS!L:L,"N")/COUNTIFS(DATOS!G:G,CONFIG_METADATA!$B$4,DATOS!D:D,A30,DATOS!I:I,B30),"—"),"")</f>
        <v>—</v>
      </c>
      <c r="J30" t="str" cm="1">
        <f t="array" ref="J30">IF(V30="Sí",IFERROR(_xlfn.MODE.SNGL(IF((DATOS!$G$2:$G$20000=CONFIG_METADATA!$B$4)*(DATOS!$D$2:$D$20000=A30)*(DATOS!$I$2:$I$20000=B30)*(DATOS!$L$2:$L$20000="S"),DATOS!$K$2:$K$20000)),"—"),"")</f>
        <v>—</v>
      </c>
      <c r="K30" t="str" cm="1">
        <f t="array" ref="K30">IF(V30="Sí",IFERROR(_xlfn.MODE.SNGL(IF((DATOS!$G$2:$G$20000=CONFIG_METADATA!$B$4)*(DATOS!$D$2:$D$20000=A30)*(DATOS!$I$2:$I$20000=B30)*(DATOS!$L$2:$L$20000="N"),DATOS!$K$2:$K$20000)),"—"),"")</f>
        <v>—</v>
      </c>
      <c r="L30">
        <f>IF(V30="Sí",COUNTIFS(DATOS!G:G,CONFIG_METADATA!$B$4,DATOS!D:D,A30,DATOS!I:I,B30,DATOS!K:K,1),"")</f>
        <v>0</v>
      </c>
      <c r="M30">
        <f>IF(V30="Sí",COUNTIFS(DATOS!G:G,CONFIG_METADATA!$B$4,DATOS!D:D,A30,DATOS!I:I,B30,DATOS!K:K,2),"")</f>
        <v>0</v>
      </c>
      <c r="N30">
        <f>IF(V30="Sí",COUNTIFS(DATOS!G:G,CONFIG_METADATA!$B$4,DATOS!D:D,A30,DATOS!I:I,B30,DATOS!K:K,3),"")</f>
        <v>0</v>
      </c>
      <c r="O30">
        <f>IF(V30="Sí",COUNTIFS(DATOS!G:G,CONFIG_METADATA!$B$4,DATOS!D:D,A30,DATOS!I:I,B30,DATOS!K:K,4),"")</f>
        <v>0</v>
      </c>
      <c r="P30">
        <f>IF(V30="Sí",COUNTIFS(DATOS!G:G,CONFIG_METADATA!$B$4,DATOS!D:D,A30,DATOS!I:I,B30,DATOS!K:K,5),"")</f>
        <v>0</v>
      </c>
      <c r="Q30">
        <f>IF(V30="Sí",COUNTIFS(DATOS!G:G,CONFIG_METADATA!$B$4,DATOS!D:D,A30,DATOS!I:I,B30,DATOS!K:K,6),"")</f>
        <v>0</v>
      </c>
      <c r="R30">
        <f>IF(V30="Sí",COUNTIFS(DATOS!G:G,CONFIG_METADATA!$B$4,DATOS!D:D,A30,DATOS!I:I,B30,DATOS!K:K,7),"")</f>
        <v>0</v>
      </c>
      <c r="S30">
        <f>IF(V30="Sí",COUNTIFS(DATOS!G:G,CONFIG_METADATA!$B$4,DATOS!D:D,A30,DATOS!I:I,B30,DATOS!K:K,8),"")</f>
        <v>0</v>
      </c>
      <c r="T30">
        <f>IF(V30="Sí",COUNTIFS(DATOS!G:G,CONFIG_METADATA!$B$4,DATOS!D:D,A30,DATOS!I:I,B30,DATOS!K:K,9),"")</f>
        <v>0</v>
      </c>
      <c r="U30">
        <f>IF(V30="Sí",COUNTIFS(DATOS!G:G,CONFIG_METADATA!$B$4,DATOS!D:D,A30,DATOS!I:I,B30,DATOS!K:K,10),"")</f>
        <v>0</v>
      </c>
      <c r="V30" t="str">
        <f>IFERROR(IF(ISERROR(FIND(A30,VLOOKUP(B30,CONFIG_ASIGNATURAS!B:C,2,FALSE()))),"No","Sí"),"No")</f>
        <v>Sí</v>
      </c>
    </row>
    <row r="31" spans="1:22" ht="15" customHeight="1" x14ac:dyDescent="0.2">
      <c r="A31" t="s">
        <v>15</v>
      </c>
      <c r="B31" t="s">
        <v>27</v>
      </c>
      <c r="C31" t="s">
        <v>20</v>
      </c>
      <c r="D31">
        <f>IF(V31="Sí",COUNTIFS(DATOS!G:G,CONFIG_METADATA!$B$4,DATOS!D:D,A31,DATOS!I:I,B31),"")</f>
        <v>0</v>
      </c>
      <c r="E31" s="14" t="str">
        <f>IF(V31="Sí",IFERROR(AVERAGEIFS(DATOS!K:K,DATOS!G:G,CONFIG_METADATA!$B$4,DATOS!D:D,A31,DATOS!I:I,B31),"—"),"")</f>
        <v>—</v>
      </c>
      <c r="F31" s="14" t="str" cm="1">
        <f t="array" ref="F31">IF(V31="Sí",IFERROR(_xlfn.STDEV.P(IF((DATOS!$G$2:$G$20000=CONFIG_METADATA!$B$4)*(DATOS!$D$2:$D$20000=A31)*(DATOS!$I$2:$I$20000=B31),DATOS!$K$2:$K$20000)),"—"),"")</f>
        <v>—</v>
      </c>
      <c r="G31" t="str" cm="1">
        <f t="array" ref="G31">IF(V31="Sí",IFERROR(_xlfn.MODE.SNGL(IF((DATOS!$G$2:$G$20000=CONFIG_METADATA!$B$4)*(DATOS!$D$2:$D$20000=A31)*(DATOS!$I$2:$I$20000=B31),DATOS!$K$2:$K$20000)),"—"),"")</f>
        <v>—</v>
      </c>
      <c r="H31" s="15" t="str">
        <f>IF(V31="Sí",IFERROR(COUNTIFS(DATOS!G:G,CONFIG_METADATA!$B$4,DATOS!D:D,A31,DATOS!I:I,B31,DATOS!L:L,"S")/COUNTIFS(DATOS!G:G,CONFIG_METADATA!$B$4,DATOS!D:D,A31,DATOS!I:I,B31),"—"),"")</f>
        <v>—</v>
      </c>
      <c r="I31" s="15" t="str">
        <f>IF(V31="Sí",IFERROR(COUNTIFS(DATOS!G:G,CONFIG_METADATA!$B$4,DATOS!D:D,A31,DATOS!I:I,B31,DATOS!L:L,"N")/COUNTIFS(DATOS!G:G,CONFIG_METADATA!$B$4,DATOS!D:D,A31,DATOS!I:I,B31),"—"),"")</f>
        <v>—</v>
      </c>
      <c r="J31" t="str" cm="1">
        <f t="array" ref="J31">IF(V31="Sí",IFERROR(_xlfn.MODE.SNGL(IF((DATOS!$G$2:$G$20000=CONFIG_METADATA!$B$4)*(DATOS!$D$2:$D$20000=A31)*(DATOS!$I$2:$I$20000=B31)*(DATOS!$L$2:$L$20000="S"),DATOS!$K$2:$K$20000)),"—"),"")</f>
        <v>—</v>
      </c>
      <c r="K31" t="str" cm="1">
        <f t="array" ref="K31">IF(V31="Sí",IFERROR(_xlfn.MODE.SNGL(IF((DATOS!$G$2:$G$20000=CONFIG_METADATA!$B$4)*(DATOS!$D$2:$D$20000=A31)*(DATOS!$I$2:$I$20000=B31)*(DATOS!$L$2:$L$20000="N"),DATOS!$K$2:$K$20000)),"—"),"")</f>
        <v>—</v>
      </c>
      <c r="L31">
        <f>IF(V31="Sí",COUNTIFS(DATOS!G:G,CONFIG_METADATA!$B$4,DATOS!D:D,A31,DATOS!I:I,B31,DATOS!K:K,1),"")</f>
        <v>0</v>
      </c>
      <c r="M31">
        <f>IF(V31="Sí",COUNTIFS(DATOS!G:G,CONFIG_METADATA!$B$4,DATOS!D:D,A31,DATOS!I:I,B31,DATOS!K:K,2),"")</f>
        <v>0</v>
      </c>
      <c r="N31">
        <f>IF(V31="Sí",COUNTIFS(DATOS!G:G,CONFIG_METADATA!$B$4,DATOS!D:D,A31,DATOS!I:I,B31,DATOS!K:K,3),"")</f>
        <v>0</v>
      </c>
      <c r="O31">
        <f>IF(V31="Sí",COUNTIFS(DATOS!G:G,CONFIG_METADATA!$B$4,DATOS!D:D,A31,DATOS!I:I,B31,DATOS!K:K,4),"")</f>
        <v>0</v>
      </c>
      <c r="P31">
        <f>IF(V31="Sí",COUNTIFS(DATOS!G:G,CONFIG_METADATA!$B$4,DATOS!D:D,A31,DATOS!I:I,B31,DATOS!K:K,5),"")</f>
        <v>0</v>
      </c>
      <c r="Q31">
        <f>IF(V31="Sí",COUNTIFS(DATOS!G:G,CONFIG_METADATA!$B$4,DATOS!D:D,A31,DATOS!I:I,B31,DATOS!K:K,6),"")</f>
        <v>0</v>
      </c>
      <c r="R31">
        <f>IF(V31="Sí",COUNTIFS(DATOS!G:G,CONFIG_METADATA!$B$4,DATOS!D:D,A31,DATOS!I:I,B31,DATOS!K:K,7),"")</f>
        <v>0</v>
      </c>
      <c r="S31">
        <f>IF(V31="Sí",COUNTIFS(DATOS!G:G,CONFIG_METADATA!$B$4,DATOS!D:D,A31,DATOS!I:I,B31,DATOS!K:K,8),"")</f>
        <v>0</v>
      </c>
      <c r="T31">
        <f>IF(V31="Sí",COUNTIFS(DATOS!G:G,CONFIG_METADATA!$B$4,DATOS!D:D,A31,DATOS!I:I,B31,DATOS!K:K,9),"")</f>
        <v>0</v>
      </c>
      <c r="U31">
        <f>IF(V31="Sí",COUNTIFS(DATOS!G:G,CONFIG_METADATA!$B$4,DATOS!D:D,A31,DATOS!I:I,B31,DATOS!K:K,10),"")</f>
        <v>0</v>
      </c>
      <c r="V31" t="str">
        <f>IFERROR(IF(ISERROR(FIND(A31,VLOOKUP(B31,CONFIG_ASIGNATURAS!B:C,2,FALSE()))),"No","Sí"),"No")</f>
        <v>Sí</v>
      </c>
    </row>
    <row r="32" spans="1:22" ht="15" customHeight="1" x14ac:dyDescent="0.2">
      <c r="A32" t="s">
        <v>15</v>
      </c>
      <c r="B32" t="s">
        <v>29</v>
      </c>
      <c r="C32" t="s">
        <v>20</v>
      </c>
      <c r="D32">
        <f>IF(V32="Sí",COUNTIFS(DATOS!G:G,CONFIG_METADATA!$B$4,DATOS!D:D,A32,DATOS!I:I,B32),"")</f>
        <v>0</v>
      </c>
      <c r="E32" s="14" t="str">
        <f>IF(V32="Sí",IFERROR(AVERAGEIFS(DATOS!K:K,DATOS!G:G,CONFIG_METADATA!$B$4,DATOS!D:D,A32,DATOS!I:I,B32),"—"),"")</f>
        <v>—</v>
      </c>
      <c r="F32" s="14" t="str" cm="1">
        <f t="array" ref="F32">IF(V32="Sí",IFERROR(_xlfn.STDEV.P(IF((DATOS!$G$2:$G$20000=CONFIG_METADATA!$B$4)*(DATOS!$D$2:$D$20000=A32)*(DATOS!$I$2:$I$20000=B32),DATOS!$K$2:$K$20000)),"—"),"")</f>
        <v>—</v>
      </c>
      <c r="G32" t="str" cm="1">
        <f t="array" ref="G32">IF(V32="Sí",IFERROR(_xlfn.MODE.SNGL(IF((DATOS!$G$2:$G$20000=CONFIG_METADATA!$B$4)*(DATOS!$D$2:$D$20000=A32)*(DATOS!$I$2:$I$20000=B32),DATOS!$K$2:$K$20000)),"—"),"")</f>
        <v>—</v>
      </c>
      <c r="H32" s="15" t="str">
        <f>IF(V32="Sí",IFERROR(COUNTIFS(DATOS!G:G,CONFIG_METADATA!$B$4,DATOS!D:D,A32,DATOS!I:I,B32,DATOS!L:L,"S")/COUNTIFS(DATOS!G:G,CONFIG_METADATA!$B$4,DATOS!D:D,A32,DATOS!I:I,B32),"—"),"")</f>
        <v>—</v>
      </c>
      <c r="I32" s="15" t="str">
        <f>IF(V32="Sí",IFERROR(COUNTIFS(DATOS!G:G,CONFIG_METADATA!$B$4,DATOS!D:D,A32,DATOS!I:I,B32,DATOS!L:L,"N")/COUNTIFS(DATOS!G:G,CONFIG_METADATA!$B$4,DATOS!D:D,A32,DATOS!I:I,B32),"—"),"")</f>
        <v>—</v>
      </c>
      <c r="J32" t="str" cm="1">
        <f t="array" ref="J32">IF(V32="Sí",IFERROR(_xlfn.MODE.SNGL(IF((DATOS!$G$2:$G$20000=CONFIG_METADATA!$B$4)*(DATOS!$D$2:$D$20000=A32)*(DATOS!$I$2:$I$20000=B32)*(DATOS!$L$2:$L$20000="S"),DATOS!$K$2:$K$20000)),"—"),"")</f>
        <v>—</v>
      </c>
      <c r="K32" t="str" cm="1">
        <f t="array" ref="K32">IF(V32="Sí",IFERROR(_xlfn.MODE.SNGL(IF((DATOS!$G$2:$G$20000=CONFIG_METADATA!$B$4)*(DATOS!$D$2:$D$20000=A32)*(DATOS!$I$2:$I$20000=B32)*(DATOS!$L$2:$L$20000="N"),DATOS!$K$2:$K$20000)),"—"),"")</f>
        <v>—</v>
      </c>
      <c r="L32">
        <f>IF(V32="Sí",COUNTIFS(DATOS!G:G,CONFIG_METADATA!$B$4,DATOS!D:D,A32,DATOS!I:I,B32,DATOS!K:K,1),"")</f>
        <v>0</v>
      </c>
      <c r="M32">
        <f>IF(V32="Sí",COUNTIFS(DATOS!G:G,CONFIG_METADATA!$B$4,DATOS!D:D,A32,DATOS!I:I,B32,DATOS!K:K,2),"")</f>
        <v>0</v>
      </c>
      <c r="N32">
        <f>IF(V32="Sí",COUNTIFS(DATOS!G:G,CONFIG_METADATA!$B$4,DATOS!D:D,A32,DATOS!I:I,B32,DATOS!K:K,3),"")</f>
        <v>0</v>
      </c>
      <c r="O32">
        <f>IF(V32="Sí",COUNTIFS(DATOS!G:G,CONFIG_METADATA!$B$4,DATOS!D:D,A32,DATOS!I:I,B32,DATOS!K:K,4),"")</f>
        <v>0</v>
      </c>
      <c r="P32">
        <f>IF(V32="Sí",COUNTIFS(DATOS!G:G,CONFIG_METADATA!$B$4,DATOS!D:D,A32,DATOS!I:I,B32,DATOS!K:K,5),"")</f>
        <v>0</v>
      </c>
      <c r="Q32">
        <f>IF(V32="Sí",COUNTIFS(DATOS!G:G,CONFIG_METADATA!$B$4,DATOS!D:D,A32,DATOS!I:I,B32,DATOS!K:K,6),"")</f>
        <v>0</v>
      </c>
      <c r="R32">
        <f>IF(V32="Sí",COUNTIFS(DATOS!G:G,CONFIG_METADATA!$B$4,DATOS!D:D,A32,DATOS!I:I,B32,DATOS!K:K,7),"")</f>
        <v>0</v>
      </c>
      <c r="S32">
        <f>IF(V32="Sí",COUNTIFS(DATOS!G:G,CONFIG_METADATA!$B$4,DATOS!D:D,A32,DATOS!I:I,B32,DATOS!K:K,8),"")</f>
        <v>0</v>
      </c>
      <c r="T32">
        <f>IF(V32="Sí",COUNTIFS(DATOS!G:G,CONFIG_METADATA!$B$4,DATOS!D:D,A32,DATOS!I:I,B32,DATOS!K:K,9),"")</f>
        <v>0</v>
      </c>
      <c r="U32">
        <f>IF(V32="Sí",COUNTIFS(DATOS!G:G,CONFIG_METADATA!$B$4,DATOS!D:D,A32,DATOS!I:I,B32,DATOS!K:K,10),"")</f>
        <v>0</v>
      </c>
      <c r="V32" t="str">
        <f>IFERROR(IF(ISERROR(FIND(A32,VLOOKUP(B32,CONFIG_ASIGNATURAS!B:C,2,FALSE()))),"No","Sí"),"No")</f>
        <v>Sí</v>
      </c>
    </row>
    <row r="33" spans="1:22" ht="15" customHeight="1" x14ac:dyDescent="0.2">
      <c r="A33" t="s">
        <v>15</v>
      </c>
      <c r="B33" t="s">
        <v>30</v>
      </c>
      <c r="C33" t="s">
        <v>20</v>
      </c>
      <c r="D33">
        <f>IF(V33="Sí",COUNTIFS(DATOS!G:G,CONFIG_METADATA!$B$4,DATOS!D:D,A33,DATOS!I:I,B33),"")</f>
        <v>0</v>
      </c>
      <c r="E33" s="14" t="str">
        <f>IF(V33="Sí",IFERROR(AVERAGEIFS(DATOS!K:K,DATOS!G:G,CONFIG_METADATA!$B$4,DATOS!D:D,A33,DATOS!I:I,B33),"—"),"")</f>
        <v>—</v>
      </c>
      <c r="F33" s="14" t="str" cm="1">
        <f t="array" ref="F33">IF(V33="Sí",IFERROR(_xlfn.STDEV.P(IF((DATOS!$G$2:$G$20000=CONFIG_METADATA!$B$4)*(DATOS!$D$2:$D$20000=A33)*(DATOS!$I$2:$I$20000=B33),DATOS!$K$2:$K$20000)),"—"),"")</f>
        <v>—</v>
      </c>
      <c r="G33" t="str" cm="1">
        <f t="array" ref="G33">IF(V33="Sí",IFERROR(_xlfn.MODE.SNGL(IF((DATOS!$G$2:$G$20000=CONFIG_METADATA!$B$4)*(DATOS!$D$2:$D$20000=A33)*(DATOS!$I$2:$I$20000=B33),DATOS!$K$2:$K$20000)),"—"),"")</f>
        <v>—</v>
      </c>
      <c r="H33" s="15" t="str">
        <f>IF(V33="Sí",IFERROR(COUNTIFS(DATOS!G:G,CONFIG_METADATA!$B$4,DATOS!D:D,A33,DATOS!I:I,B33,DATOS!L:L,"S")/COUNTIFS(DATOS!G:G,CONFIG_METADATA!$B$4,DATOS!D:D,A33,DATOS!I:I,B33),"—"),"")</f>
        <v>—</v>
      </c>
      <c r="I33" s="15" t="str">
        <f>IF(V33="Sí",IFERROR(COUNTIFS(DATOS!G:G,CONFIG_METADATA!$B$4,DATOS!D:D,A33,DATOS!I:I,B33,DATOS!L:L,"N")/COUNTIFS(DATOS!G:G,CONFIG_METADATA!$B$4,DATOS!D:D,A33,DATOS!I:I,B33),"—"),"")</f>
        <v>—</v>
      </c>
      <c r="J33" t="str" cm="1">
        <f t="array" ref="J33">IF(V33="Sí",IFERROR(_xlfn.MODE.SNGL(IF((DATOS!$G$2:$G$20000=CONFIG_METADATA!$B$4)*(DATOS!$D$2:$D$20000=A33)*(DATOS!$I$2:$I$20000=B33)*(DATOS!$L$2:$L$20000="S"),DATOS!$K$2:$K$20000)),"—"),"")</f>
        <v>—</v>
      </c>
      <c r="K33" t="str" cm="1">
        <f t="array" ref="K33">IF(V33="Sí",IFERROR(_xlfn.MODE.SNGL(IF((DATOS!$G$2:$G$20000=CONFIG_METADATA!$B$4)*(DATOS!$D$2:$D$20000=A33)*(DATOS!$I$2:$I$20000=B33)*(DATOS!$L$2:$L$20000="N"),DATOS!$K$2:$K$20000)),"—"),"")</f>
        <v>—</v>
      </c>
      <c r="L33">
        <f>IF(V33="Sí",COUNTIFS(DATOS!G:G,CONFIG_METADATA!$B$4,DATOS!D:D,A33,DATOS!I:I,B33,DATOS!K:K,1),"")</f>
        <v>0</v>
      </c>
      <c r="M33">
        <f>IF(V33="Sí",COUNTIFS(DATOS!G:G,CONFIG_METADATA!$B$4,DATOS!D:D,A33,DATOS!I:I,B33,DATOS!K:K,2),"")</f>
        <v>0</v>
      </c>
      <c r="N33">
        <f>IF(V33="Sí",COUNTIFS(DATOS!G:G,CONFIG_METADATA!$B$4,DATOS!D:D,A33,DATOS!I:I,B33,DATOS!K:K,3),"")</f>
        <v>0</v>
      </c>
      <c r="O33">
        <f>IF(V33="Sí",COUNTIFS(DATOS!G:G,CONFIG_METADATA!$B$4,DATOS!D:D,A33,DATOS!I:I,B33,DATOS!K:K,4),"")</f>
        <v>0</v>
      </c>
      <c r="P33">
        <f>IF(V33="Sí",COUNTIFS(DATOS!G:G,CONFIG_METADATA!$B$4,DATOS!D:D,A33,DATOS!I:I,B33,DATOS!K:K,5),"")</f>
        <v>0</v>
      </c>
      <c r="Q33">
        <f>IF(V33="Sí",COUNTIFS(DATOS!G:G,CONFIG_METADATA!$B$4,DATOS!D:D,A33,DATOS!I:I,B33,DATOS!K:K,6),"")</f>
        <v>0</v>
      </c>
      <c r="R33">
        <f>IF(V33="Sí",COUNTIFS(DATOS!G:G,CONFIG_METADATA!$B$4,DATOS!D:D,A33,DATOS!I:I,B33,DATOS!K:K,7),"")</f>
        <v>0</v>
      </c>
      <c r="S33">
        <f>IF(V33="Sí",COUNTIFS(DATOS!G:G,CONFIG_METADATA!$B$4,DATOS!D:D,A33,DATOS!I:I,B33,DATOS!K:K,8),"")</f>
        <v>0</v>
      </c>
      <c r="T33">
        <f>IF(V33="Sí",COUNTIFS(DATOS!G:G,CONFIG_METADATA!$B$4,DATOS!D:D,A33,DATOS!I:I,B33,DATOS!K:K,9),"")</f>
        <v>0</v>
      </c>
      <c r="U33">
        <f>IF(V33="Sí",COUNTIFS(DATOS!G:G,CONFIG_METADATA!$B$4,DATOS!D:D,A33,DATOS!I:I,B33,DATOS!K:K,10),"")</f>
        <v>0</v>
      </c>
      <c r="V33" t="str">
        <f>IFERROR(IF(ISERROR(FIND(A33,VLOOKUP(B33,CONFIG_ASIGNATURAS!B:C,2,FALSE()))),"No","Sí"),"No")</f>
        <v>Sí</v>
      </c>
    </row>
    <row r="34" spans="1:22" ht="15" customHeight="1" x14ac:dyDescent="0.2">
      <c r="A34" t="s">
        <v>15</v>
      </c>
      <c r="B34" t="s">
        <v>32</v>
      </c>
      <c r="C34" t="s">
        <v>20</v>
      </c>
      <c r="D34">
        <f>IF(V34="Sí",COUNTIFS(DATOS!G:G,CONFIG_METADATA!$B$4,DATOS!D:D,A34,DATOS!I:I,B34),"")</f>
        <v>0</v>
      </c>
      <c r="E34" s="14" t="str">
        <f>IF(V34="Sí",IFERROR(AVERAGEIFS(DATOS!K:K,DATOS!G:G,CONFIG_METADATA!$B$4,DATOS!D:D,A34,DATOS!I:I,B34),"—"),"")</f>
        <v>—</v>
      </c>
      <c r="F34" s="14" t="str" cm="1">
        <f t="array" ref="F34">IF(V34="Sí",IFERROR(_xlfn.STDEV.P(IF((DATOS!$G$2:$G$20000=CONFIG_METADATA!$B$4)*(DATOS!$D$2:$D$20000=A34)*(DATOS!$I$2:$I$20000=B34),DATOS!$K$2:$K$20000)),"—"),"")</f>
        <v>—</v>
      </c>
      <c r="G34" t="str" cm="1">
        <f t="array" ref="G34">IF(V34="Sí",IFERROR(_xlfn.MODE.SNGL(IF((DATOS!$G$2:$G$20000=CONFIG_METADATA!$B$4)*(DATOS!$D$2:$D$20000=A34)*(DATOS!$I$2:$I$20000=B34),DATOS!$K$2:$K$20000)),"—"),"")</f>
        <v>—</v>
      </c>
      <c r="H34" s="15" t="str">
        <f>IF(V34="Sí",IFERROR(COUNTIFS(DATOS!G:G,CONFIG_METADATA!$B$4,DATOS!D:D,A34,DATOS!I:I,B34,DATOS!L:L,"S")/COUNTIFS(DATOS!G:G,CONFIG_METADATA!$B$4,DATOS!D:D,A34,DATOS!I:I,B34),"—"),"")</f>
        <v>—</v>
      </c>
      <c r="I34" s="15" t="str">
        <f>IF(V34="Sí",IFERROR(COUNTIFS(DATOS!G:G,CONFIG_METADATA!$B$4,DATOS!D:D,A34,DATOS!I:I,B34,DATOS!L:L,"N")/COUNTIFS(DATOS!G:G,CONFIG_METADATA!$B$4,DATOS!D:D,A34,DATOS!I:I,B34),"—"),"")</f>
        <v>—</v>
      </c>
      <c r="J34" t="str" cm="1">
        <f t="array" ref="J34">IF(V34="Sí",IFERROR(_xlfn.MODE.SNGL(IF((DATOS!$G$2:$G$20000=CONFIG_METADATA!$B$4)*(DATOS!$D$2:$D$20000=A34)*(DATOS!$I$2:$I$20000=B34)*(DATOS!$L$2:$L$20000="S"),DATOS!$K$2:$K$20000)),"—"),"")</f>
        <v>—</v>
      </c>
      <c r="K34" t="str" cm="1">
        <f t="array" ref="K34">IF(V34="Sí",IFERROR(_xlfn.MODE.SNGL(IF((DATOS!$G$2:$G$20000=CONFIG_METADATA!$B$4)*(DATOS!$D$2:$D$20000=A34)*(DATOS!$I$2:$I$20000=B34)*(DATOS!$L$2:$L$20000="N"),DATOS!$K$2:$K$20000)),"—"),"")</f>
        <v>—</v>
      </c>
      <c r="L34">
        <f>IF(V34="Sí",COUNTIFS(DATOS!G:G,CONFIG_METADATA!$B$4,DATOS!D:D,A34,DATOS!I:I,B34,DATOS!K:K,1),"")</f>
        <v>0</v>
      </c>
      <c r="M34">
        <f>IF(V34="Sí",COUNTIFS(DATOS!G:G,CONFIG_METADATA!$B$4,DATOS!D:D,A34,DATOS!I:I,B34,DATOS!K:K,2),"")</f>
        <v>0</v>
      </c>
      <c r="N34">
        <f>IF(V34="Sí",COUNTIFS(DATOS!G:G,CONFIG_METADATA!$B$4,DATOS!D:D,A34,DATOS!I:I,B34,DATOS!K:K,3),"")</f>
        <v>0</v>
      </c>
      <c r="O34">
        <f>IF(V34="Sí",COUNTIFS(DATOS!G:G,CONFIG_METADATA!$B$4,DATOS!D:D,A34,DATOS!I:I,B34,DATOS!K:K,4),"")</f>
        <v>0</v>
      </c>
      <c r="P34">
        <f>IF(V34="Sí",COUNTIFS(DATOS!G:G,CONFIG_METADATA!$B$4,DATOS!D:D,A34,DATOS!I:I,B34,DATOS!K:K,5),"")</f>
        <v>0</v>
      </c>
      <c r="Q34">
        <f>IF(V34="Sí",COUNTIFS(DATOS!G:G,CONFIG_METADATA!$B$4,DATOS!D:D,A34,DATOS!I:I,B34,DATOS!K:K,6),"")</f>
        <v>0</v>
      </c>
      <c r="R34">
        <f>IF(V34="Sí",COUNTIFS(DATOS!G:G,CONFIG_METADATA!$B$4,DATOS!D:D,A34,DATOS!I:I,B34,DATOS!K:K,7),"")</f>
        <v>0</v>
      </c>
      <c r="S34">
        <f>IF(V34="Sí",COUNTIFS(DATOS!G:G,CONFIG_METADATA!$B$4,DATOS!D:D,A34,DATOS!I:I,B34,DATOS!K:K,8),"")</f>
        <v>0</v>
      </c>
      <c r="T34">
        <f>IF(V34="Sí",COUNTIFS(DATOS!G:G,CONFIG_METADATA!$B$4,DATOS!D:D,A34,DATOS!I:I,B34,DATOS!K:K,9),"")</f>
        <v>0</v>
      </c>
      <c r="U34">
        <f>IF(V34="Sí",COUNTIFS(DATOS!G:G,CONFIG_METADATA!$B$4,DATOS!D:D,A34,DATOS!I:I,B34,DATOS!K:K,10),"")</f>
        <v>0</v>
      </c>
      <c r="V34" t="str">
        <f>IFERROR(IF(ISERROR(FIND(A34,VLOOKUP(B34,CONFIG_ASIGNATURAS!B:C,2,FALSE()))),"No","Sí"),"No")</f>
        <v>Sí</v>
      </c>
    </row>
    <row r="35" spans="1:22" ht="15" customHeight="1" x14ac:dyDescent="0.2">
      <c r="A35" t="s">
        <v>15</v>
      </c>
      <c r="B35" t="s">
        <v>34</v>
      </c>
      <c r="C35" t="s">
        <v>20</v>
      </c>
      <c r="D35">
        <f>IF(V35="Sí",COUNTIFS(DATOS!G:G,CONFIG_METADATA!$B$4,DATOS!D:D,A35,DATOS!I:I,B35),"")</f>
        <v>0</v>
      </c>
      <c r="E35" s="14" t="str">
        <f>IF(V35="Sí",IFERROR(AVERAGEIFS(DATOS!K:K,DATOS!G:G,CONFIG_METADATA!$B$4,DATOS!D:D,A35,DATOS!I:I,B35),"—"),"")</f>
        <v>—</v>
      </c>
      <c r="F35" s="14" t="str" cm="1">
        <f t="array" ref="F35">IF(V35="Sí",IFERROR(_xlfn.STDEV.P(IF((DATOS!$G$2:$G$20000=CONFIG_METADATA!$B$4)*(DATOS!$D$2:$D$20000=A35)*(DATOS!$I$2:$I$20000=B35),DATOS!$K$2:$K$20000)),"—"),"")</f>
        <v>—</v>
      </c>
      <c r="G35" t="str" cm="1">
        <f t="array" ref="G35">IF(V35="Sí",IFERROR(_xlfn.MODE.SNGL(IF((DATOS!$G$2:$G$20000=CONFIG_METADATA!$B$4)*(DATOS!$D$2:$D$20000=A35)*(DATOS!$I$2:$I$20000=B35),DATOS!$K$2:$K$20000)),"—"),"")</f>
        <v>—</v>
      </c>
      <c r="H35" s="15" t="str">
        <f>IF(V35="Sí",IFERROR(COUNTIFS(DATOS!G:G,CONFIG_METADATA!$B$4,DATOS!D:D,A35,DATOS!I:I,B35,DATOS!L:L,"S")/COUNTIFS(DATOS!G:G,CONFIG_METADATA!$B$4,DATOS!D:D,A35,DATOS!I:I,B35),"—"),"")</f>
        <v>—</v>
      </c>
      <c r="I35" s="15" t="str">
        <f>IF(V35="Sí",IFERROR(COUNTIFS(DATOS!G:G,CONFIG_METADATA!$B$4,DATOS!D:D,A35,DATOS!I:I,B35,DATOS!L:L,"N")/COUNTIFS(DATOS!G:G,CONFIG_METADATA!$B$4,DATOS!D:D,A35,DATOS!I:I,B35),"—"),"")</f>
        <v>—</v>
      </c>
      <c r="J35" t="str" cm="1">
        <f t="array" ref="J35">IF(V35="Sí",IFERROR(_xlfn.MODE.SNGL(IF((DATOS!$G$2:$G$20000=CONFIG_METADATA!$B$4)*(DATOS!$D$2:$D$20000=A35)*(DATOS!$I$2:$I$20000=B35)*(DATOS!$L$2:$L$20000="S"),DATOS!$K$2:$K$20000)),"—"),"")</f>
        <v>—</v>
      </c>
      <c r="K35" t="str" cm="1">
        <f t="array" ref="K35">IF(V35="Sí",IFERROR(_xlfn.MODE.SNGL(IF((DATOS!$G$2:$G$20000=CONFIG_METADATA!$B$4)*(DATOS!$D$2:$D$20000=A35)*(DATOS!$I$2:$I$20000=B35)*(DATOS!$L$2:$L$20000="N"),DATOS!$K$2:$K$20000)),"—"),"")</f>
        <v>—</v>
      </c>
      <c r="L35">
        <f>IF(V35="Sí",COUNTIFS(DATOS!G:G,CONFIG_METADATA!$B$4,DATOS!D:D,A35,DATOS!I:I,B35,DATOS!K:K,1),"")</f>
        <v>0</v>
      </c>
      <c r="M35">
        <f>IF(V35="Sí",COUNTIFS(DATOS!G:G,CONFIG_METADATA!$B$4,DATOS!D:D,A35,DATOS!I:I,B35,DATOS!K:K,2),"")</f>
        <v>0</v>
      </c>
      <c r="N35">
        <f>IF(V35="Sí",COUNTIFS(DATOS!G:G,CONFIG_METADATA!$B$4,DATOS!D:D,A35,DATOS!I:I,B35,DATOS!K:K,3),"")</f>
        <v>0</v>
      </c>
      <c r="O35">
        <f>IF(V35="Sí",COUNTIFS(DATOS!G:G,CONFIG_METADATA!$B$4,DATOS!D:D,A35,DATOS!I:I,B35,DATOS!K:K,4),"")</f>
        <v>0</v>
      </c>
      <c r="P35">
        <f>IF(V35="Sí",COUNTIFS(DATOS!G:G,CONFIG_METADATA!$B$4,DATOS!D:D,A35,DATOS!I:I,B35,DATOS!K:K,5),"")</f>
        <v>0</v>
      </c>
      <c r="Q35">
        <f>IF(V35="Sí",COUNTIFS(DATOS!G:G,CONFIG_METADATA!$B$4,DATOS!D:D,A35,DATOS!I:I,B35,DATOS!K:K,6),"")</f>
        <v>0</v>
      </c>
      <c r="R35">
        <f>IF(V35="Sí",COUNTIFS(DATOS!G:G,CONFIG_METADATA!$B$4,DATOS!D:D,A35,DATOS!I:I,B35,DATOS!K:K,7),"")</f>
        <v>0</v>
      </c>
      <c r="S35">
        <f>IF(V35="Sí",COUNTIFS(DATOS!G:G,CONFIG_METADATA!$B$4,DATOS!D:D,A35,DATOS!I:I,B35,DATOS!K:K,8),"")</f>
        <v>0</v>
      </c>
      <c r="T35">
        <f>IF(V35="Sí",COUNTIFS(DATOS!G:G,CONFIG_METADATA!$B$4,DATOS!D:D,A35,DATOS!I:I,B35,DATOS!K:K,9),"")</f>
        <v>0</v>
      </c>
      <c r="U35">
        <f>IF(V35="Sí",COUNTIFS(DATOS!G:G,CONFIG_METADATA!$B$4,DATOS!D:D,A35,DATOS!I:I,B35,DATOS!K:K,10),"")</f>
        <v>0</v>
      </c>
      <c r="V35" t="str">
        <f>IFERROR(IF(ISERROR(FIND(A35,VLOOKUP(B35,CONFIG_ASIGNATURAS!B:C,2,FALSE()))),"No","Sí"),"No")</f>
        <v>Sí</v>
      </c>
    </row>
    <row r="36" spans="1:22" ht="15" customHeight="1" x14ac:dyDescent="0.2">
      <c r="A36" t="s">
        <v>15</v>
      </c>
      <c r="B36" t="s">
        <v>35</v>
      </c>
      <c r="C36" t="s">
        <v>20</v>
      </c>
      <c r="D36">
        <f>IF(V36="Sí",COUNTIFS(DATOS!G:G,CONFIG_METADATA!$B$4,DATOS!D:D,A36,DATOS!I:I,B36),"")</f>
        <v>0</v>
      </c>
      <c r="E36" s="14" t="str">
        <f>IF(V36="Sí",IFERROR(AVERAGEIFS(DATOS!K:K,DATOS!G:G,CONFIG_METADATA!$B$4,DATOS!D:D,A36,DATOS!I:I,B36),"—"),"")</f>
        <v>—</v>
      </c>
      <c r="F36" s="14" t="str" cm="1">
        <f t="array" ref="F36">IF(V36="Sí",IFERROR(_xlfn.STDEV.P(IF((DATOS!$G$2:$G$20000=CONFIG_METADATA!$B$4)*(DATOS!$D$2:$D$20000=A36)*(DATOS!$I$2:$I$20000=B36),DATOS!$K$2:$K$20000)),"—"),"")</f>
        <v>—</v>
      </c>
      <c r="G36" t="str" cm="1">
        <f t="array" ref="G36">IF(V36="Sí",IFERROR(_xlfn.MODE.SNGL(IF((DATOS!$G$2:$G$20000=CONFIG_METADATA!$B$4)*(DATOS!$D$2:$D$20000=A36)*(DATOS!$I$2:$I$20000=B36),DATOS!$K$2:$K$20000)),"—"),"")</f>
        <v>—</v>
      </c>
      <c r="H36" s="15" t="str">
        <f>IF(V36="Sí",IFERROR(COUNTIFS(DATOS!G:G,CONFIG_METADATA!$B$4,DATOS!D:D,A36,DATOS!I:I,B36,DATOS!L:L,"S")/COUNTIFS(DATOS!G:G,CONFIG_METADATA!$B$4,DATOS!D:D,A36,DATOS!I:I,B36),"—"),"")</f>
        <v>—</v>
      </c>
      <c r="I36" s="15" t="str">
        <f>IF(V36="Sí",IFERROR(COUNTIFS(DATOS!G:G,CONFIG_METADATA!$B$4,DATOS!D:D,A36,DATOS!I:I,B36,DATOS!L:L,"N")/COUNTIFS(DATOS!G:G,CONFIG_METADATA!$B$4,DATOS!D:D,A36,DATOS!I:I,B36),"—"),"")</f>
        <v>—</v>
      </c>
      <c r="J36" t="str" cm="1">
        <f t="array" ref="J36">IF(V36="Sí",IFERROR(_xlfn.MODE.SNGL(IF((DATOS!$G$2:$G$20000=CONFIG_METADATA!$B$4)*(DATOS!$D$2:$D$20000=A36)*(DATOS!$I$2:$I$20000=B36)*(DATOS!$L$2:$L$20000="S"),DATOS!$K$2:$K$20000)),"—"),"")</f>
        <v>—</v>
      </c>
      <c r="K36" t="str" cm="1">
        <f t="array" ref="K36">IF(V36="Sí",IFERROR(_xlfn.MODE.SNGL(IF((DATOS!$G$2:$G$20000=CONFIG_METADATA!$B$4)*(DATOS!$D$2:$D$20000=A36)*(DATOS!$I$2:$I$20000=B36)*(DATOS!$L$2:$L$20000="N"),DATOS!$K$2:$K$20000)),"—"),"")</f>
        <v>—</v>
      </c>
      <c r="L36">
        <f>IF(V36="Sí",COUNTIFS(DATOS!G:G,CONFIG_METADATA!$B$4,DATOS!D:D,A36,DATOS!I:I,B36,DATOS!K:K,1),"")</f>
        <v>0</v>
      </c>
      <c r="M36">
        <f>IF(V36="Sí",COUNTIFS(DATOS!G:G,CONFIG_METADATA!$B$4,DATOS!D:D,A36,DATOS!I:I,B36,DATOS!K:K,2),"")</f>
        <v>0</v>
      </c>
      <c r="N36">
        <f>IF(V36="Sí",COUNTIFS(DATOS!G:G,CONFIG_METADATA!$B$4,DATOS!D:D,A36,DATOS!I:I,B36,DATOS!K:K,3),"")</f>
        <v>0</v>
      </c>
      <c r="O36">
        <f>IF(V36="Sí",COUNTIFS(DATOS!G:G,CONFIG_METADATA!$B$4,DATOS!D:D,A36,DATOS!I:I,B36,DATOS!K:K,4),"")</f>
        <v>0</v>
      </c>
      <c r="P36">
        <f>IF(V36="Sí",COUNTIFS(DATOS!G:G,CONFIG_METADATA!$B$4,DATOS!D:D,A36,DATOS!I:I,B36,DATOS!K:K,5),"")</f>
        <v>0</v>
      </c>
      <c r="Q36">
        <f>IF(V36="Sí",COUNTIFS(DATOS!G:G,CONFIG_METADATA!$B$4,DATOS!D:D,A36,DATOS!I:I,B36,DATOS!K:K,6),"")</f>
        <v>0</v>
      </c>
      <c r="R36">
        <f>IF(V36="Sí",COUNTIFS(DATOS!G:G,CONFIG_METADATA!$B$4,DATOS!D:D,A36,DATOS!I:I,B36,DATOS!K:K,7),"")</f>
        <v>0</v>
      </c>
      <c r="S36">
        <f>IF(V36="Sí",COUNTIFS(DATOS!G:G,CONFIG_METADATA!$B$4,DATOS!D:D,A36,DATOS!I:I,B36,DATOS!K:K,8),"")</f>
        <v>0</v>
      </c>
      <c r="T36">
        <f>IF(V36="Sí",COUNTIFS(DATOS!G:G,CONFIG_METADATA!$B$4,DATOS!D:D,A36,DATOS!I:I,B36,DATOS!K:K,9),"")</f>
        <v>0</v>
      </c>
      <c r="U36">
        <f>IF(V36="Sí",COUNTIFS(DATOS!G:G,CONFIG_METADATA!$B$4,DATOS!D:D,A36,DATOS!I:I,B36,DATOS!K:K,10),"")</f>
        <v>0</v>
      </c>
      <c r="V36" t="str">
        <f>IFERROR(IF(ISERROR(FIND(A36,VLOOKUP(B36,CONFIG_ASIGNATURAS!B:C,2,FALSE()))),"No","Sí"),"No")</f>
        <v>Sí</v>
      </c>
    </row>
    <row r="37" spans="1:22" ht="15" customHeight="1" x14ac:dyDescent="0.2">
      <c r="A37" t="s">
        <v>15</v>
      </c>
      <c r="B37" t="s">
        <v>36</v>
      </c>
      <c r="C37" t="s">
        <v>20</v>
      </c>
      <c r="D37">
        <f>IF(V37="Sí",COUNTIFS(DATOS!G:G,CONFIG_METADATA!$B$4,DATOS!D:D,A37,DATOS!I:I,B37),"")</f>
        <v>0</v>
      </c>
      <c r="E37" s="14" t="str">
        <f>IF(V37="Sí",IFERROR(AVERAGEIFS(DATOS!K:K,DATOS!G:G,CONFIG_METADATA!$B$4,DATOS!D:D,A37,DATOS!I:I,B37),"—"),"")</f>
        <v>—</v>
      </c>
      <c r="F37" s="14" t="str" cm="1">
        <f t="array" ref="F37">IF(V37="Sí",IFERROR(_xlfn.STDEV.P(IF((DATOS!$G$2:$G$20000=CONFIG_METADATA!$B$4)*(DATOS!$D$2:$D$20000=A37)*(DATOS!$I$2:$I$20000=B37),DATOS!$K$2:$K$20000)),"—"),"")</f>
        <v>—</v>
      </c>
      <c r="G37" t="str" cm="1">
        <f t="array" ref="G37">IF(V37="Sí",IFERROR(_xlfn.MODE.SNGL(IF((DATOS!$G$2:$G$20000=CONFIG_METADATA!$B$4)*(DATOS!$D$2:$D$20000=A37)*(DATOS!$I$2:$I$20000=B37),DATOS!$K$2:$K$20000)),"—"),"")</f>
        <v>—</v>
      </c>
      <c r="H37" s="15" t="str">
        <f>IF(V37="Sí",IFERROR(COUNTIFS(DATOS!G:G,CONFIG_METADATA!$B$4,DATOS!D:D,A37,DATOS!I:I,B37,DATOS!L:L,"S")/COUNTIFS(DATOS!G:G,CONFIG_METADATA!$B$4,DATOS!D:D,A37,DATOS!I:I,B37),"—"),"")</f>
        <v>—</v>
      </c>
      <c r="I37" s="15" t="str">
        <f>IF(V37="Sí",IFERROR(COUNTIFS(DATOS!G:G,CONFIG_METADATA!$B$4,DATOS!D:D,A37,DATOS!I:I,B37,DATOS!L:L,"N")/COUNTIFS(DATOS!G:G,CONFIG_METADATA!$B$4,DATOS!D:D,A37,DATOS!I:I,B37),"—"),"")</f>
        <v>—</v>
      </c>
      <c r="J37" t="str" cm="1">
        <f t="array" ref="J37">IF(V37="Sí",IFERROR(_xlfn.MODE.SNGL(IF((DATOS!$G$2:$G$20000=CONFIG_METADATA!$B$4)*(DATOS!$D$2:$D$20000=A37)*(DATOS!$I$2:$I$20000=B37)*(DATOS!$L$2:$L$20000="S"),DATOS!$K$2:$K$20000)),"—"),"")</f>
        <v>—</v>
      </c>
      <c r="K37" t="str" cm="1">
        <f t="array" ref="K37">IF(V37="Sí",IFERROR(_xlfn.MODE.SNGL(IF((DATOS!$G$2:$G$20000=CONFIG_METADATA!$B$4)*(DATOS!$D$2:$D$20000=A37)*(DATOS!$I$2:$I$20000=B37)*(DATOS!$L$2:$L$20000="N"),DATOS!$K$2:$K$20000)),"—"),"")</f>
        <v>—</v>
      </c>
      <c r="L37">
        <f>IF(V37="Sí",COUNTIFS(DATOS!G:G,CONFIG_METADATA!$B$4,DATOS!D:D,A37,DATOS!I:I,B37,DATOS!K:K,1),"")</f>
        <v>0</v>
      </c>
      <c r="M37">
        <f>IF(V37="Sí",COUNTIFS(DATOS!G:G,CONFIG_METADATA!$B$4,DATOS!D:D,A37,DATOS!I:I,B37,DATOS!K:K,2),"")</f>
        <v>0</v>
      </c>
      <c r="N37">
        <f>IF(V37="Sí",COUNTIFS(DATOS!G:G,CONFIG_METADATA!$B$4,DATOS!D:D,A37,DATOS!I:I,B37,DATOS!K:K,3),"")</f>
        <v>0</v>
      </c>
      <c r="O37">
        <f>IF(V37="Sí",COUNTIFS(DATOS!G:G,CONFIG_METADATA!$B$4,DATOS!D:D,A37,DATOS!I:I,B37,DATOS!K:K,4),"")</f>
        <v>0</v>
      </c>
      <c r="P37">
        <f>IF(V37="Sí",COUNTIFS(DATOS!G:G,CONFIG_METADATA!$B$4,DATOS!D:D,A37,DATOS!I:I,B37,DATOS!K:K,5),"")</f>
        <v>0</v>
      </c>
      <c r="Q37">
        <f>IF(V37="Sí",COUNTIFS(DATOS!G:G,CONFIG_METADATA!$B$4,DATOS!D:D,A37,DATOS!I:I,B37,DATOS!K:K,6),"")</f>
        <v>0</v>
      </c>
      <c r="R37">
        <f>IF(V37="Sí",COUNTIFS(DATOS!G:G,CONFIG_METADATA!$B$4,DATOS!D:D,A37,DATOS!I:I,B37,DATOS!K:K,7),"")</f>
        <v>0</v>
      </c>
      <c r="S37">
        <f>IF(V37="Sí",COUNTIFS(DATOS!G:G,CONFIG_METADATA!$B$4,DATOS!D:D,A37,DATOS!I:I,B37,DATOS!K:K,8),"")</f>
        <v>0</v>
      </c>
      <c r="T37">
        <f>IF(V37="Sí",COUNTIFS(DATOS!G:G,CONFIG_METADATA!$B$4,DATOS!D:D,A37,DATOS!I:I,B37,DATOS!K:K,9),"")</f>
        <v>0</v>
      </c>
      <c r="U37">
        <f>IF(V37="Sí",COUNTIFS(DATOS!G:G,CONFIG_METADATA!$B$4,DATOS!D:D,A37,DATOS!I:I,B37,DATOS!K:K,10),"")</f>
        <v>0</v>
      </c>
      <c r="V37" t="str">
        <f>IFERROR(IF(ISERROR(FIND(A37,VLOOKUP(B37,CONFIG_ASIGNATURAS!B:C,2,FALSE()))),"No","Sí"),"No")</f>
        <v>Sí</v>
      </c>
    </row>
    <row r="38" spans="1:22" ht="15" customHeight="1" x14ac:dyDescent="0.2">
      <c r="A38" t="s">
        <v>15</v>
      </c>
      <c r="B38" t="s">
        <v>37</v>
      </c>
      <c r="C38" t="s">
        <v>20</v>
      </c>
      <c r="D38">
        <f>IF(V38="Sí",COUNTIFS(DATOS!G:G,CONFIG_METADATA!$B$4,DATOS!D:D,A38,DATOS!I:I,B38),"")</f>
        <v>0</v>
      </c>
      <c r="E38" s="14" t="str">
        <f>IF(V38="Sí",IFERROR(AVERAGEIFS(DATOS!K:K,DATOS!G:G,CONFIG_METADATA!$B$4,DATOS!D:D,A38,DATOS!I:I,B38),"—"),"")</f>
        <v>—</v>
      </c>
      <c r="F38" s="14" t="str" cm="1">
        <f t="array" ref="F38">IF(V38="Sí",IFERROR(_xlfn.STDEV.P(IF((DATOS!$G$2:$G$20000=CONFIG_METADATA!$B$4)*(DATOS!$D$2:$D$20000=A38)*(DATOS!$I$2:$I$20000=B38),DATOS!$K$2:$K$20000)),"—"),"")</f>
        <v>—</v>
      </c>
      <c r="G38" t="str" cm="1">
        <f t="array" ref="G38">IF(V38="Sí",IFERROR(_xlfn.MODE.SNGL(IF((DATOS!$G$2:$G$20000=CONFIG_METADATA!$B$4)*(DATOS!$D$2:$D$20000=A38)*(DATOS!$I$2:$I$20000=B38),DATOS!$K$2:$K$20000)),"—"),"")</f>
        <v>—</v>
      </c>
      <c r="H38" s="15" t="str">
        <f>IF(V38="Sí",IFERROR(COUNTIFS(DATOS!G:G,CONFIG_METADATA!$B$4,DATOS!D:D,A38,DATOS!I:I,B38,DATOS!L:L,"S")/COUNTIFS(DATOS!G:G,CONFIG_METADATA!$B$4,DATOS!D:D,A38,DATOS!I:I,B38),"—"),"")</f>
        <v>—</v>
      </c>
      <c r="I38" s="15" t="str">
        <f>IF(V38="Sí",IFERROR(COUNTIFS(DATOS!G:G,CONFIG_METADATA!$B$4,DATOS!D:D,A38,DATOS!I:I,B38,DATOS!L:L,"N")/COUNTIFS(DATOS!G:G,CONFIG_METADATA!$B$4,DATOS!D:D,A38,DATOS!I:I,B38),"—"),"")</f>
        <v>—</v>
      </c>
      <c r="J38" t="str" cm="1">
        <f t="array" ref="J38">IF(V38="Sí",IFERROR(_xlfn.MODE.SNGL(IF((DATOS!$G$2:$G$20000=CONFIG_METADATA!$B$4)*(DATOS!$D$2:$D$20000=A38)*(DATOS!$I$2:$I$20000=B38)*(DATOS!$L$2:$L$20000="S"),DATOS!$K$2:$K$20000)),"—"),"")</f>
        <v>—</v>
      </c>
      <c r="K38" t="str" cm="1">
        <f t="array" ref="K38">IF(V38="Sí",IFERROR(_xlfn.MODE.SNGL(IF((DATOS!$G$2:$G$20000=CONFIG_METADATA!$B$4)*(DATOS!$D$2:$D$20000=A38)*(DATOS!$I$2:$I$20000=B38)*(DATOS!$L$2:$L$20000="N"),DATOS!$K$2:$K$20000)),"—"),"")</f>
        <v>—</v>
      </c>
      <c r="L38">
        <f>IF(V38="Sí",COUNTIFS(DATOS!G:G,CONFIG_METADATA!$B$4,DATOS!D:D,A38,DATOS!I:I,B38,DATOS!K:K,1),"")</f>
        <v>0</v>
      </c>
      <c r="M38">
        <f>IF(V38="Sí",COUNTIFS(DATOS!G:G,CONFIG_METADATA!$B$4,DATOS!D:D,A38,DATOS!I:I,B38,DATOS!K:K,2),"")</f>
        <v>0</v>
      </c>
      <c r="N38">
        <f>IF(V38="Sí",COUNTIFS(DATOS!G:G,CONFIG_METADATA!$B$4,DATOS!D:D,A38,DATOS!I:I,B38,DATOS!K:K,3),"")</f>
        <v>0</v>
      </c>
      <c r="O38">
        <f>IF(V38="Sí",COUNTIFS(DATOS!G:G,CONFIG_METADATA!$B$4,DATOS!D:D,A38,DATOS!I:I,B38,DATOS!K:K,4),"")</f>
        <v>0</v>
      </c>
      <c r="P38">
        <f>IF(V38="Sí",COUNTIFS(DATOS!G:G,CONFIG_METADATA!$B$4,DATOS!D:D,A38,DATOS!I:I,B38,DATOS!K:K,5),"")</f>
        <v>0</v>
      </c>
      <c r="Q38">
        <f>IF(V38="Sí",COUNTIFS(DATOS!G:G,CONFIG_METADATA!$B$4,DATOS!D:D,A38,DATOS!I:I,B38,DATOS!K:K,6),"")</f>
        <v>0</v>
      </c>
      <c r="R38">
        <f>IF(V38="Sí",COUNTIFS(DATOS!G:G,CONFIG_METADATA!$B$4,DATOS!D:D,A38,DATOS!I:I,B38,DATOS!K:K,7),"")</f>
        <v>0</v>
      </c>
      <c r="S38">
        <f>IF(V38="Sí",COUNTIFS(DATOS!G:G,CONFIG_METADATA!$B$4,DATOS!D:D,A38,DATOS!I:I,B38,DATOS!K:K,8),"")</f>
        <v>0</v>
      </c>
      <c r="T38">
        <f>IF(V38="Sí",COUNTIFS(DATOS!G:G,CONFIG_METADATA!$B$4,DATOS!D:D,A38,DATOS!I:I,B38,DATOS!K:K,9),"")</f>
        <v>0</v>
      </c>
      <c r="U38">
        <f>IF(V38="Sí",COUNTIFS(DATOS!G:G,CONFIG_METADATA!$B$4,DATOS!D:D,A38,DATOS!I:I,B38,DATOS!K:K,10),"")</f>
        <v>0</v>
      </c>
      <c r="V38" t="str">
        <f>IFERROR(IF(ISERROR(FIND(A38,VLOOKUP(B38,CONFIG_ASIGNATURAS!B:C,2,FALSE()))),"No","Sí"),"No")</f>
        <v>Sí</v>
      </c>
    </row>
    <row r="39" spans="1:22" ht="15" customHeight="1" x14ac:dyDescent="0.2">
      <c r="A39" t="s">
        <v>15</v>
      </c>
      <c r="B39" t="s">
        <v>38</v>
      </c>
      <c r="C39" t="s">
        <v>20</v>
      </c>
      <c r="D39">
        <f>IF(V39="Sí",COUNTIFS(DATOS!G:G,CONFIG_METADATA!$B$4,DATOS!D:D,A39,DATOS!I:I,B39),"")</f>
        <v>0</v>
      </c>
      <c r="E39" s="14" t="str">
        <f>IF(V39="Sí",IFERROR(AVERAGEIFS(DATOS!K:K,DATOS!G:G,CONFIG_METADATA!$B$4,DATOS!D:D,A39,DATOS!I:I,B39),"—"),"")</f>
        <v>—</v>
      </c>
      <c r="F39" s="14" t="str" cm="1">
        <f t="array" ref="F39">IF(V39="Sí",IFERROR(_xlfn.STDEV.P(IF((DATOS!$G$2:$G$20000=CONFIG_METADATA!$B$4)*(DATOS!$D$2:$D$20000=A39)*(DATOS!$I$2:$I$20000=B39),DATOS!$K$2:$K$20000)),"—"),"")</f>
        <v>—</v>
      </c>
      <c r="G39" t="str" cm="1">
        <f t="array" ref="G39">IF(V39="Sí",IFERROR(_xlfn.MODE.SNGL(IF((DATOS!$G$2:$G$20000=CONFIG_METADATA!$B$4)*(DATOS!$D$2:$D$20000=A39)*(DATOS!$I$2:$I$20000=B39),DATOS!$K$2:$K$20000)),"—"),"")</f>
        <v>—</v>
      </c>
      <c r="H39" s="15" t="str">
        <f>IF(V39="Sí",IFERROR(COUNTIFS(DATOS!G:G,CONFIG_METADATA!$B$4,DATOS!D:D,A39,DATOS!I:I,B39,DATOS!L:L,"S")/COUNTIFS(DATOS!G:G,CONFIG_METADATA!$B$4,DATOS!D:D,A39,DATOS!I:I,B39),"—"),"")</f>
        <v>—</v>
      </c>
      <c r="I39" s="15" t="str">
        <f>IF(V39="Sí",IFERROR(COUNTIFS(DATOS!G:G,CONFIG_METADATA!$B$4,DATOS!D:D,A39,DATOS!I:I,B39,DATOS!L:L,"N")/COUNTIFS(DATOS!G:G,CONFIG_METADATA!$B$4,DATOS!D:D,A39,DATOS!I:I,B39),"—"),"")</f>
        <v>—</v>
      </c>
      <c r="J39" t="str" cm="1">
        <f t="array" ref="J39">IF(V39="Sí",IFERROR(_xlfn.MODE.SNGL(IF((DATOS!$G$2:$G$20000=CONFIG_METADATA!$B$4)*(DATOS!$D$2:$D$20000=A39)*(DATOS!$I$2:$I$20000=B39)*(DATOS!$L$2:$L$20000="S"),DATOS!$K$2:$K$20000)),"—"),"")</f>
        <v>—</v>
      </c>
      <c r="K39" t="str" cm="1">
        <f t="array" ref="K39">IF(V39="Sí",IFERROR(_xlfn.MODE.SNGL(IF((DATOS!$G$2:$G$20000=CONFIG_METADATA!$B$4)*(DATOS!$D$2:$D$20000=A39)*(DATOS!$I$2:$I$20000=B39)*(DATOS!$L$2:$L$20000="N"),DATOS!$K$2:$K$20000)),"—"),"")</f>
        <v>—</v>
      </c>
      <c r="L39">
        <f>IF(V39="Sí",COUNTIFS(DATOS!G:G,CONFIG_METADATA!$B$4,DATOS!D:D,A39,DATOS!I:I,B39,DATOS!K:K,1),"")</f>
        <v>0</v>
      </c>
      <c r="M39">
        <f>IF(V39="Sí",COUNTIFS(DATOS!G:G,CONFIG_METADATA!$B$4,DATOS!D:D,A39,DATOS!I:I,B39,DATOS!K:K,2),"")</f>
        <v>0</v>
      </c>
      <c r="N39">
        <f>IF(V39="Sí",COUNTIFS(DATOS!G:G,CONFIG_METADATA!$B$4,DATOS!D:D,A39,DATOS!I:I,B39,DATOS!K:K,3),"")</f>
        <v>0</v>
      </c>
      <c r="O39">
        <f>IF(V39="Sí",COUNTIFS(DATOS!G:G,CONFIG_METADATA!$B$4,DATOS!D:D,A39,DATOS!I:I,B39,DATOS!K:K,4),"")</f>
        <v>0</v>
      </c>
      <c r="P39">
        <f>IF(V39="Sí",COUNTIFS(DATOS!G:G,CONFIG_METADATA!$B$4,DATOS!D:D,A39,DATOS!I:I,B39,DATOS!K:K,5),"")</f>
        <v>0</v>
      </c>
      <c r="Q39">
        <f>IF(V39="Sí",COUNTIFS(DATOS!G:G,CONFIG_METADATA!$B$4,DATOS!D:D,A39,DATOS!I:I,B39,DATOS!K:K,6),"")</f>
        <v>0</v>
      </c>
      <c r="R39">
        <f>IF(V39="Sí",COUNTIFS(DATOS!G:G,CONFIG_METADATA!$B$4,DATOS!D:D,A39,DATOS!I:I,B39,DATOS!K:K,7),"")</f>
        <v>0</v>
      </c>
      <c r="S39">
        <f>IF(V39="Sí",COUNTIFS(DATOS!G:G,CONFIG_METADATA!$B$4,DATOS!D:D,A39,DATOS!I:I,B39,DATOS!K:K,8),"")</f>
        <v>0</v>
      </c>
      <c r="T39">
        <f>IF(V39="Sí",COUNTIFS(DATOS!G:G,CONFIG_METADATA!$B$4,DATOS!D:D,A39,DATOS!I:I,B39,DATOS!K:K,9),"")</f>
        <v>0</v>
      </c>
      <c r="U39">
        <f>IF(V39="Sí",COUNTIFS(DATOS!G:G,CONFIG_METADATA!$B$4,DATOS!D:D,A39,DATOS!I:I,B39,DATOS!K:K,10),"")</f>
        <v>0</v>
      </c>
      <c r="V39" t="str">
        <f>IFERROR(IF(ISERROR(FIND(A39,VLOOKUP(B39,CONFIG_ASIGNATURAS!B:C,2,FALSE()))),"No","Sí"),"No")</f>
        <v>Sí</v>
      </c>
    </row>
    <row r="40" spans="1:22" ht="15" customHeight="1" x14ac:dyDescent="0.2">
      <c r="A40" t="s">
        <v>15</v>
      </c>
      <c r="B40" t="s">
        <v>39</v>
      </c>
      <c r="C40" t="s">
        <v>20</v>
      </c>
      <c r="D40">
        <f>IF(V40="Sí",COUNTIFS(DATOS!G:G,CONFIG_METADATA!$B$4,DATOS!D:D,A40,DATOS!I:I,B40),"")</f>
        <v>0</v>
      </c>
      <c r="E40" s="14" t="str">
        <f>IF(V40="Sí",IFERROR(AVERAGEIFS(DATOS!K:K,DATOS!G:G,CONFIG_METADATA!$B$4,DATOS!D:D,A40,DATOS!I:I,B40),"—"),"")</f>
        <v>—</v>
      </c>
      <c r="F40" s="14" t="str" cm="1">
        <f t="array" ref="F40">IF(V40="Sí",IFERROR(_xlfn.STDEV.P(IF((DATOS!$G$2:$G$20000=CONFIG_METADATA!$B$4)*(DATOS!$D$2:$D$20000=A40)*(DATOS!$I$2:$I$20000=B40),DATOS!$K$2:$K$20000)),"—"),"")</f>
        <v>—</v>
      </c>
      <c r="G40" t="str" cm="1">
        <f t="array" ref="G40">IF(V40="Sí",IFERROR(_xlfn.MODE.SNGL(IF((DATOS!$G$2:$G$20000=CONFIG_METADATA!$B$4)*(DATOS!$D$2:$D$20000=A40)*(DATOS!$I$2:$I$20000=B40),DATOS!$K$2:$K$20000)),"—"),"")</f>
        <v>—</v>
      </c>
      <c r="H40" s="15" t="str">
        <f>IF(V40="Sí",IFERROR(COUNTIFS(DATOS!G:G,CONFIG_METADATA!$B$4,DATOS!D:D,A40,DATOS!I:I,B40,DATOS!L:L,"S")/COUNTIFS(DATOS!G:G,CONFIG_METADATA!$B$4,DATOS!D:D,A40,DATOS!I:I,B40),"—"),"")</f>
        <v>—</v>
      </c>
      <c r="I40" s="15" t="str">
        <f>IF(V40="Sí",IFERROR(COUNTIFS(DATOS!G:G,CONFIG_METADATA!$B$4,DATOS!D:D,A40,DATOS!I:I,B40,DATOS!L:L,"N")/COUNTIFS(DATOS!G:G,CONFIG_METADATA!$B$4,DATOS!D:D,A40,DATOS!I:I,B40),"—"),"")</f>
        <v>—</v>
      </c>
      <c r="J40" t="str" cm="1">
        <f t="array" ref="J40">IF(V40="Sí",IFERROR(_xlfn.MODE.SNGL(IF((DATOS!$G$2:$G$20000=CONFIG_METADATA!$B$4)*(DATOS!$D$2:$D$20000=A40)*(DATOS!$I$2:$I$20000=B40)*(DATOS!$L$2:$L$20000="S"),DATOS!$K$2:$K$20000)),"—"),"")</f>
        <v>—</v>
      </c>
      <c r="K40" t="str" cm="1">
        <f t="array" ref="K40">IF(V40="Sí",IFERROR(_xlfn.MODE.SNGL(IF((DATOS!$G$2:$G$20000=CONFIG_METADATA!$B$4)*(DATOS!$D$2:$D$20000=A40)*(DATOS!$I$2:$I$20000=B40)*(DATOS!$L$2:$L$20000="N"),DATOS!$K$2:$K$20000)),"—"),"")</f>
        <v>—</v>
      </c>
      <c r="L40">
        <f>IF(V40="Sí",COUNTIFS(DATOS!G:G,CONFIG_METADATA!$B$4,DATOS!D:D,A40,DATOS!I:I,B40,DATOS!K:K,1),"")</f>
        <v>0</v>
      </c>
      <c r="M40">
        <f>IF(V40="Sí",COUNTIFS(DATOS!G:G,CONFIG_METADATA!$B$4,DATOS!D:D,A40,DATOS!I:I,B40,DATOS!K:K,2),"")</f>
        <v>0</v>
      </c>
      <c r="N40">
        <f>IF(V40="Sí",COUNTIFS(DATOS!G:G,CONFIG_METADATA!$B$4,DATOS!D:D,A40,DATOS!I:I,B40,DATOS!K:K,3),"")</f>
        <v>0</v>
      </c>
      <c r="O40">
        <f>IF(V40="Sí",COUNTIFS(DATOS!G:G,CONFIG_METADATA!$B$4,DATOS!D:D,A40,DATOS!I:I,B40,DATOS!K:K,4),"")</f>
        <v>0</v>
      </c>
      <c r="P40">
        <f>IF(V40="Sí",COUNTIFS(DATOS!G:G,CONFIG_METADATA!$B$4,DATOS!D:D,A40,DATOS!I:I,B40,DATOS!K:K,5),"")</f>
        <v>0</v>
      </c>
      <c r="Q40">
        <f>IF(V40="Sí",COUNTIFS(DATOS!G:G,CONFIG_METADATA!$B$4,DATOS!D:D,A40,DATOS!I:I,B40,DATOS!K:K,6),"")</f>
        <v>0</v>
      </c>
      <c r="R40">
        <f>IF(V40="Sí",COUNTIFS(DATOS!G:G,CONFIG_METADATA!$B$4,DATOS!D:D,A40,DATOS!I:I,B40,DATOS!K:K,7),"")</f>
        <v>0</v>
      </c>
      <c r="S40">
        <f>IF(V40="Sí",COUNTIFS(DATOS!G:G,CONFIG_METADATA!$B$4,DATOS!D:D,A40,DATOS!I:I,B40,DATOS!K:K,8),"")</f>
        <v>0</v>
      </c>
      <c r="T40">
        <f>IF(V40="Sí",COUNTIFS(DATOS!G:G,CONFIG_METADATA!$B$4,DATOS!D:D,A40,DATOS!I:I,B40,DATOS!K:K,9),"")</f>
        <v>0</v>
      </c>
      <c r="U40">
        <f>IF(V40="Sí",COUNTIFS(DATOS!G:G,CONFIG_METADATA!$B$4,DATOS!D:D,A40,DATOS!I:I,B40,DATOS!K:K,10),"")</f>
        <v>0</v>
      </c>
      <c r="V40" t="str">
        <f>IFERROR(IF(ISERROR(FIND(A40,VLOOKUP(B40,CONFIG_ASIGNATURAS!B:C,2,FALSE()))),"No","Sí"),"No")</f>
        <v>Sí</v>
      </c>
    </row>
    <row r="41" spans="1:22" ht="15" customHeight="1" x14ac:dyDescent="0.2">
      <c r="A41" t="s">
        <v>15</v>
      </c>
      <c r="B41" t="s">
        <v>40</v>
      </c>
      <c r="C41" t="s">
        <v>20</v>
      </c>
      <c r="D41">
        <f>IF(V41="Sí",COUNTIFS(DATOS!G:G,CONFIG_METADATA!$B$4,DATOS!D:D,A41,DATOS!I:I,B41),"")</f>
        <v>0</v>
      </c>
      <c r="E41" s="14" t="str">
        <f>IF(V41="Sí",IFERROR(AVERAGEIFS(DATOS!K:K,DATOS!G:G,CONFIG_METADATA!$B$4,DATOS!D:D,A41,DATOS!I:I,B41),"—"),"")</f>
        <v>—</v>
      </c>
      <c r="F41" s="14" t="str" cm="1">
        <f t="array" ref="F41">IF(V41="Sí",IFERROR(_xlfn.STDEV.P(IF((DATOS!$G$2:$G$20000=CONFIG_METADATA!$B$4)*(DATOS!$D$2:$D$20000=A41)*(DATOS!$I$2:$I$20000=B41),DATOS!$K$2:$K$20000)),"—"),"")</f>
        <v>—</v>
      </c>
      <c r="G41" t="str" cm="1">
        <f t="array" ref="G41">IF(V41="Sí",IFERROR(_xlfn.MODE.SNGL(IF((DATOS!$G$2:$G$20000=CONFIG_METADATA!$B$4)*(DATOS!$D$2:$D$20000=A41)*(DATOS!$I$2:$I$20000=B41),DATOS!$K$2:$K$20000)),"—"),"")</f>
        <v>—</v>
      </c>
      <c r="H41" s="15" t="str">
        <f>IF(V41="Sí",IFERROR(COUNTIFS(DATOS!G:G,CONFIG_METADATA!$B$4,DATOS!D:D,A41,DATOS!I:I,B41,DATOS!L:L,"S")/COUNTIFS(DATOS!G:G,CONFIG_METADATA!$B$4,DATOS!D:D,A41,DATOS!I:I,B41),"—"),"")</f>
        <v>—</v>
      </c>
      <c r="I41" s="15" t="str">
        <f>IF(V41="Sí",IFERROR(COUNTIFS(DATOS!G:G,CONFIG_METADATA!$B$4,DATOS!D:D,A41,DATOS!I:I,B41,DATOS!L:L,"N")/COUNTIFS(DATOS!G:G,CONFIG_METADATA!$B$4,DATOS!D:D,A41,DATOS!I:I,B41),"—"),"")</f>
        <v>—</v>
      </c>
      <c r="J41" t="str" cm="1">
        <f t="array" ref="J41">IF(V41="Sí",IFERROR(_xlfn.MODE.SNGL(IF((DATOS!$G$2:$G$20000=CONFIG_METADATA!$B$4)*(DATOS!$D$2:$D$20000=A41)*(DATOS!$I$2:$I$20000=B41)*(DATOS!$L$2:$L$20000="S"),DATOS!$K$2:$K$20000)),"—"),"")</f>
        <v>—</v>
      </c>
      <c r="K41" t="str" cm="1">
        <f t="array" ref="K41">IF(V41="Sí",IFERROR(_xlfn.MODE.SNGL(IF((DATOS!$G$2:$G$20000=CONFIG_METADATA!$B$4)*(DATOS!$D$2:$D$20000=A41)*(DATOS!$I$2:$I$20000=B41)*(DATOS!$L$2:$L$20000="N"),DATOS!$K$2:$K$20000)),"—"),"")</f>
        <v>—</v>
      </c>
      <c r="L41">
        <f>IF(V41="Sí",COUNTIFS(DATOS!G:G,CONFIG_METADATA!$B$4,DATOS!D:D,A41,DATOS!I:I,B41,DATOS!K:K,1),"")</f>
        <v>0</v>
      </c>
      <c r="M41">
        <f>IF(V41="Sí",COUNTIFS(DATOS!G:G,CONFIG_METADATA!$B$4,DATOS!D:D,A41,DATOS!I:I,B41,DATOS!K:K,2),"")</f>
        <v>0</v>
      </c>
      <c r="N41">
        <f>IF(V41="Sí",COUNTIFS(DATOS!G:G,CONFIG_METADATA!$B$4,DATOS!D:D,A41,DATOS!I:I,B41,DATOS!K:K,3),"")</f>
        <v>0</v>
      </c>
      <c r="O41">
        <f>IF(V41="Sí",COUNTIFS(DATOS!G:G,CONFIG_METADATA!$B$4,DATOS!D:D,A41,DATOS!I:I,B41,DATOS!K:K,4),"")</f>
        <v>0</v>
      </c>
      <c r="P41">
        <f>IF(V41="Sí",COUNTIFS(DATOS!G:G,CONFIG_METADATA!$B$4,DATOS!D:D,A41,DATOS!I:I,B41,DATOS!K:K,5),"")</f>
        <v>0</v>
      </c>
      <c r="Q41">
        <f>IF(V41="Sí",COUNTIFS(DATOS!G:G,CONFIG_METADATA!$B$4,DATOS!D:D,A41,DATOS!I:I,B41,DATOS!K:K,6),"")</f>
        <v>0</v>
      </c>
      <c r="R41">
        <f>IF(V41="Sí",COUNTIFS(DATOS!G:G,CONFIG_METADATA!$B$4,DATOS!D:D,A41,DATOS!I:I,B41,DATOS!K:K,7),"")</f>
        <v>0</v>
      </c>
      <c r="S41">
        <f>IF(V41="Sí",COUNTIFS(DATOS!G:G,CONFIG_METADATA!$B$4,DATOS!D:D,A41,DATOS!I:I,B41,DATOS!K:K,8),"")</f>
        <v>0</v>
      </c>
      <c r="T41">
        <f>IF(V41="Sí",COUNTIFS(DATOS!G:G,CONFIG_METADATA!$B$4,DATOS!D:D,A41,DATOS!I:I,B41,DATOS!K:K,9),"")</f>
        <v>0</v>
      </c>
      <c r="U41">
        <f>IF(V41="Sí",COUNTIFS(DATOS!G:G,CONFIG_METADATA!$B$4,DATOS!D:D,A41,DATOS!I:I,B41,DATOS!K:K,10),"")</f>
        <v>0</v>
      </c>
      <c r="V41" t="str">
        <f>IFERROR(IF(ISERROR(FIND(A41,VLOOKUP(B41,CONFIG_ASIGNATURAS!B:C,2,FALSE()))),"No","Sí"),"No")</f>
        <v>Sí</v>
      </c>
    </row>
    <row r="42" spans="1:22" ht="15" customHeight="1" x14ac:dyDescent="0.2">
      <c r="A42" t="s">
        <v>15</v>
      </c>
      <c r="B42" t="s">
        <v>41</v>
      </c>
      <c r="C42" t="s">
        <v>20</v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 ht="15" customHeight="1" x14ac:dyDescent="0.2">
      <c r="A43" t="s">
        <v>15</v>
      </c>
      <c r="B43" t="s">
        <v>42</v>
      </c>
      <c r="C43" t="s">
        <v>20</v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 ht="15" customHeight="1" x14ac:dyDescent="0.2">
      <c r="A44" t="s">
        <v>15</v>
      </c>
      <c r="B44" t="s">
        <v>43</v>
      </c>
      <c r="C44" t="s">
        <v>20</v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 ht="15" customHeight="1" x14ac:dyDescent="0.2">
      <c r="A45" t="s">
        <v>15</v>
      </c>
      <c r="B45" t="s">
        <v>44</v>
      </c>
      <c r="C45" t="s">
        <v>20</v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 ht="15" customHeight="1" x14ac:dyDescent="0.2">
      <c r="A46" t="s">
        <v>19</v>
      </c>
      <c r="B46" t="s">
        <v>97</v>
      </c>
      <c r="C46" t="s">
        <v>97</v>
      </c>
      <c r="D46">
        <f>COUNTIFS(DATOS!G:G,CONFIG_METADATA!$B$4,DATOS!D:D,A46)</f>
        <v>0</v>
      </c>
      <c r="E46" s="14" t="str">
        <f>IFERROR(AVERAGEIFS(DATOS!K:K,DATOS!G:G,CONFIG_METADATA!$B$4,DATOS!D:D,A46),"—")</f>
        <v>—</v>
      </c>
      <c r="F46" s="14" t="str" cm="1">
        <f t="array" ref="F46">IFERROR(_xlfn.STDEV.P(IF((DATOS!$G$2:$G$20000=CONFIG_METADATA!$B$4)*(DATOS!$D$2:$D$20000=A46),DATOS!$K$2:$K$20000)),"—")</f>
        <v>—</v>
      </c>
      <c r="G46" t="str" cm="1">
        <f t="array" ref="G46">IFERROR(_xlfn.MODE.SNGL(IF((DATOS!$G$2:$G$20000=CONFIG_METADATA!$B$4)*(DATOS!$D$2:$D$20000=A46),DATOS!$K$2:$K$20000)),"—")</f>
        <v>—</v>
      </c>
      <c r="H46" s="15" t="str">
        <f>IFERROR(COUNTIFS(DATOS!$G$2:$G$20000,CONFIG_METADATA!$B$4,DATOS!$D$2:$D$20000,A46,DATOS!$L$2:$L$20000,"S")/COUNTIFS(DATOS!$G$2:$G$20000,CONFIG_METADATA!$B$4,DATOS!$D$2:$D$20000,A46),"—")</f>
        <v>—</v>
      </c>
      <c r="I46" s="15" t="str">
        <f>IFERROR(COUNTIFS(DATOS!$G$2:$G$20000,CONFIG_METADATA!$B$4,DATOS!$D$2:$D$20000,A46,DATOS!$L$2:$L$20000,"N")/COUNTIFS(DATOS!$G$2:$G$20000,CONFIG_METADATA!$B$4,DATOS!$D$2:$D$20000,A46),"—")</f>
        <v>—</v>
      </c>
      <c r="J46" t="str" cm="1">
        <f t="array" ref="J46">IFERROR(_xlfn.MODE.SNGL(IF((DATOS!$G$2:$G$20000=CONFIG_METADATA!$B$4)*(DATOS!$D$2:$D$20000=A46)*(DATOS!$L$2:$L$20000="S"),DATOS!$K$2:$K$20000)),"—")</f>
        <v>—</v>
      </c>
      <c r="K46" t="str" cm="1">
        <f t="array" ref="K46">IFERROR(_xlfn.MODE.SNGL(IF((DATOS!$G$2:$G$20000=CONFIG_METADATA!$B$4)*(DATOS!$D$2:$D$20000=A46)*(DATOS!$L$2:$L$20000="N"),DATOS!$K$2:$K$20000)),"—")</f>
        <v>—</v>
      </c>
      <c r="L46" cm="1">
        <f t="array" ref="L46">SUMPRODUCT((DATOS!$G$2:$G$20000=CONFIG_METADATA!$B$4)*(DATOS!$D$2:$D$20000=A46)*(DATOS!$K$2:$K$20000=1))</f>
        <v>0</v>
      </c>
      <c r="M46" cm="1">
        <f t="array" ref="M46">SUMPRODUCT((DATOS!$G$2:$G$20000=CONFIG_METADATA!$B$4)*(DATOS!$D$2:$D$20000=A46)*(DATOS!$K$2:$K$20000=2))</f>
        <v>0</v>
      </c>
      <c r="N46" cm="1">
        <f t="array" ref="N46">SUMPRODUCT((DATOS!$G$2:$G$20000=CONFIG_METADATA!$B$4)*(DATOS!$D$2:$D$20000=A46)*(DATOS!$K$2:$K$20000=3))</f>
        <v>0</v>
      </c>
      <c r="O46" cm="1">
        <f t="array" ref="O46">SUMPRODUCT((DATOS!$G$2:$G$20000=CONFIG_METADATA!$B$4)*(DATOS!$D$2:$D$20000=A46)*(DATOS!$K$2:$K$20000=4))</f>
        <v>0</v>
      </c>
      <c r="P46" cm="1">
        <f t="array" ref="P46">SUMPRODUCT((DATOS!$G$2:$G$20000=CONFIG_METADATA!$B$4)*(DATOS!$D$2:$D$20000=A46)*(DATOS!$K$2:$K$20000=5))</f>
        <v>0</v>
      </c>
      <c r="Q46" cm="1">
        <f t="array" ref="Q46">SUMPRODUCT((DATOS!$G$2:$G$20000=CONFIG_METADATA!$B$4)*(DATOS!$D$2:$D$20000=A46)*(DATOS!$K$2:$K$20000=6))</f>
        <v>0</v>
      </c>
      <c r="R46" cm="1">
        <f t="array" ref="R46">SUMPRODUCT((DATOS!$G$2:$G$20000=CONFIG_METADATA!$B$4)*(DATOS!$D$2:$D$20000=A46)*(DATOS!$K$2:$K$20000=7))</f>
        <v>0</v>
      </c>
      <c r="S46" cm="1">
        <f t="array" ref="S46">SUMPRODUCT((DATOS!$G$2:$G$20000=CONFIG_METADATA!$B$4)*(DATOS!$D$2:$D$20000=A46)*(DATOS!$K$2:$K$20000=8))</f>
        <v>0</v>
      </c>
      <c r="T46" cm="1">
        <f t="array" ref="T46">SUMPRODUCT((DATOS!$G$2:$G$20000=CONFIG_METADATA!$B$4)*(DATOS!$D$2:$D$20000=A46)*(DATOS!$K$2:$K$20000=9))</f>
        <v>0</v>
      </c>
      <c r="U46" cm="1">
        <f t="array" ref="U46">SUMPRODUCT((DATOS!$G$2:$G$20000=CONFIG_METADATA!$B$4)*(DATOS!$D$2:$D$20000=A46)*(DATOS!$K$2:$K$20000=10))</f>
        <v>0</v>
      </c>
    </row>
    <row r="47" spans="1:22" ht="15" customHeight="1" x14ac:dyDescent="0.2">
      <c r="A47" t="s">
        <v>19</v>
      </c>
      <c r="B47" t="s">
        <v>98</v>
      </c>
      <c r="C47" t="s">
        <v>99</v>
      </c>
      <c r="D47">
        <f>COUNTIFS(DATOS!G:G,CONFIG_METADATA!$B$4,DATOS!D:D,A47,DATOS!I:I,"&lt;&gt;Lenguaje Musical",DATOS!I:I,"&lt;&gt;Coro",DATOS!I:I,"&lt;&gt;Conjunto")</f>
        <v>0</v>
      </c>
      <c r="E47" s="14" t="str">
        <f>IFERROR(AVERAGEIFS(DATOS!K:K,DATOS!G:G,CONFIG_METADATA!$B$4,DATOS!D:D,A47,DATOS!I:I,"&lt;&gt;Lenguaje Musical",DATOS!I:I,"&lt;&gt;Coro",DATOS!I:I,"&lt;&gt;Conjunto"),"—")</f>
        <v>—</v>
      </c>
      <c r="F47" s="14" t="str" cm="1">
        <f t="array" ref="F47">IFERROR(_xlfn.STDEV.P(IF((DATOS!$G$2:$G$20000=CONFIG_METADATA!$B$4)*(DATOS!$D$2:$D$20000=A47)*(DATOS!$I$2:$I$20000&lt;&gt;"Lenguaje Musical")*(DATOS!$I$2:$I$20000&lt;&gt;"Coro")*(DATOS!$I$2:$I$20000&lt;&gt;"Conjunto"),DATOS!$K$2:$K$20000)),"—")</f>
        <v>—</v>
      </c>
      <c r="G47" t="str" cm="1">
        <f t="array" ref="G47">IFERROR(_xlfn.MODE.SNGL(IF((DATOS!$G$2:$G$20000=CONFIG_METADATA!$B$4)*(DATOS!$D$2:$D$20000=A47)*(DATOS!$I$2:$I$20000&lt;&gt;"Lenguaje Musical")*(DATOS!$I$2:$I$20000&lt;&gt;"Coro")*(DATOS!$I$2:$I$20000&lt;&gt;"Conjunto"),DATOS!$K$2:$K$20000)),"—")</f>
        <v>—</v>
      </c>
      <c r="H47" s="15" t="str" cm="1">
        <f t="array" ref="H47">IFERROR(SUMPRODUCT((DATOS!$G$2:$G$20000=CONFIG_METADATA!$B$4)*(DATOS!$D$2:$D$20000=A47)*(DATOS!$I$2:$I$20000&lt;&gt;"Lenguaje Musical")*(DATOS!$I$2:$I$20000&lt;&gt;"Coro")*(DATOS!$I$2:$I$20000&lt;&gt;"Conjunto")*(DATOS!$L$2:$L$20000="S"))/SUMPRODUCT((DATOS!$G$2:$G$20000=CONFIG_METADATA!$B$4)*(DATOS!$D$2:$D$20000=A47)*(DATOS!$I$2:$I$20000&lt;&gt;"Lenguaje Musical")*(DATOS!$I$2:$I$20000&lt;&gt;"Coro")*(DATOS!$I$2:$I$20000&lt;&gt;"Conjunto")*1),"—")</f>
        <v>—</v>
      </c>
      <c r="I47" s="15" t="str" cm="1">
        <f t="array" ref="I47">IFERROR(SUMPRODUCT((DATOS!$G$2:$G$20000=CONFIG_METADATA!$B$4)*(DATOS!$D$2:$D$20000=A47)*(DATOS!$I$2:$I$20000&lt;&gt;"Lenguaje Musical")*(DATOS!$I$2:$I$20000&lt;&gt;"Coro")*(DATOS!$I$2:$I$20000&lt;&gt;"Conjunto")*(DATOS!$L$2:$L$20000="N"))/SUMPRODUCT((DATOS!$G$2:$G$20000=CONFIG_METADATA!$B$4)*(DATOS!$D$2:$D$20000=A47)*(DATOS!$I$2:$I$20000&lt;&gt;"Lenguaje Musical")*(DATOS!$I$2:$I$20000&lt;&gt;"Coro")*(DATOS!$I$2:$I$20000&lt;&gt;"Conjunto")*1),"—")</f>
        <v>—</v>
      </c>
      <c r="J47" t="str" cm="1">
        <f t="array" ref="J47">IFERROR(_xlfn.MODE.SNGL(IF((DATOS!$G$2:$G$20000=CONFIG_METADATA!$B$4)*(DATOS!$D$2:$D$20000=A47)*(DATOS!$I$2:$I$20000&lt;&gt;"Lenguaje Musical")*(DATOS!$I$2:$I$20000&lt;&gt;"Coro")*(DATOS!$I$2:$I$20000&lt;&gt;"Conjunto")*(DATOS!$L$2:$L$20000="S"),DATOS!$K$2:$K$20000)),"—")</f>
        <v>—</v>
      </c>
      <c r="K47" t="str" cm="1">
        <f t="array" ref="K47">IFERROR(_xlfn.MODE.SNGL(IF((DATOS!$G$2:$G$20000=CONFIG_METADATA!$B$4)*(DATOS!$D$2:$D$20000=A47)*(DATOS!$I$2:$I$20000&lt;&gt;"Lenguaje Musical")*(DATOS!$I$2:$I$20000&lt;&gt;"Coro")*(DATOS!$I$2:$I$20000&lt;&gt;"Conjunto")*(DATOS!$L$2:$L$20000="N"),DATOS!$K$2:$K$20000)),"—")</f>
        <v>—</v>
      </c>
      <c r="L47" cm="1">
        <f t="array" ref="L47">SUMPRODUCT((DATOS!$G$2:$G$20000=CONFIG_METADATA!$B$4)*(DATOS!$D$2:$D$20000=A47)*(DATOS!$I$2:$I$20000&lt;&gt;"Lenguaje Musical")*(DATOS!$I$2:$I$20000&lt;&gt;"Coro")*(DATOS!$I$2:$I$20000&lt;&gt;"Conjunto")*(DATOS!$K$2:$K$20000=1))</f>
        <v>0</v>
      </c>
      <c r="M47" cm="1">
        <f t="array" ref="M47">SUMPRODUCT((DATOS!$G$2:$G$20000=CONFIG_METADATA!$B$4)*(DATOS!$D$2:$D$20000=A47)*(DATOS!$I$2:$I$20000&lt;&gt;"Lenguaje Musical")*(DATOS!$I$2:$I$20000&lt;&gt;"Coro")*(DATOS!$I$2:$I$20000&lt;&gt;"Conjunto")*(DATOS!$K$2:$K$20000=2))</f>
        <v>0</v>
      </c>
      <c r="N47" cm="1">
        <f t="array" ref="N47">SUMPRODUCT((DATOS!$G$2:$G$20000=CONFIG_METADATA!$B$4)*(DATOS!$D$2:$D$20000=A47)*(DATOS!$I$2:$I$20000&lt;&gt;"Lenguaje Musical")*(DATOS!$I$2:$I$20000&lt;&gt;"Coro")*(DATOS!$I$2:$I$20000&lt;&gt;"Conjunto")*(DATOS!$K$2:$K$20000=3))</f>
        <v>0</v>
      </c>
      <c r="O47" cm="1">
        <f t="array" ref="O47">SUMPRODUCT((DATOS!$G$2:$G$20000=CONFIG_METADATA!$B$4)*(DATOS!$D$2:$D$20000=A47)*(DATOS!$I$2:$I$20000&lt;&gt;"Lenguaje Musical")*(DATOS!$I$2:$I$20000&lt;&gt;"Coro")*(DATOS!$I$2:$I$20000&lt;&gt;"Conjunto")*(DATOS!$K$2:$K$20000=4))</f>
        <v>0</v>
      </c>
      <c r="P47" cm="1">
        <f t="array" ref="P47">SUMPRODUCT((DATOS!$G$2:$G$20000=CONFIG_METADATA!$B$4)*(DATOS!$D$2:$D$20000=A47)*(DATOS!$I$2:$I$20000&lt;&gt;"Lenguaje Musical")*(DATOS!$I$2:$I$20000&lt;&gt;"Coro")*(DATOS!$I$2:$I$20000&lt;&gt;"Conjunto")*(DATOS!$K$2:$K$20000=5))</f>
        <v>0</v>
      </c>
      <c r="Q47" cm="1">
        <f t="array" ref="Q47">SUMPRODUCT((DATOS!$G$2:$G$20000=CONFIG_METADATA!$B$4)*(DATOS!$D$2:$D$20000=A47)*(DATOS!$I$2:$I$20000&lt;&gt;"Lenguaje Musical")*(DATOS!$I$2:$I$20000&lt;&gt;"Coro")*(DATOS!$I$2:$I$20000&lt;&gt;"Conjunto")*(DATOS!$K$2:$K$20000=6))</f>
        <v>0</v>
      </c>
      <c r="R47" cm="1">
        <f t="array" ref="R47">SUMPRODUCT((DATOS!$G$2:$G$20000=CONFIG_METADATA!$B$4)*(DATOS!$D$2:$D$20000=A47)*(DATOS!$I$2:$I$20000&lt;&gt;"Lenguaje Musical")*(DATOS!$I$2:$I$20000&lt;&gt;"Coro")*(DATOS!$I$2:$I$20000&lt;&gt;"Conjunto")*(DATOS!$K$2:$K$20000=7))</f>
        <v>0</v>
      </c>
      <c r="S47" cm="1">
        <f t="array" ref="S47">SUMPRODUCT((DATOS!$G$2:$G$20000=CONFIG_METADATA!$B$4)*(DATOS!$D$2:$D$20000=A47)*(DATOS!$I$2:$I$20000&lt;&gt;"Lenguaje Musical")*(DATOS!$I$2:$I$20000&lt;&gt;"Coro")*(DATOS!$I$2:$I$20000&lt;&gt;"Conjunto")*(DATOS!$K$2:$K$20000=8))</f>
        <v>0</v>
      </c>
      <c r="T47" cm="1">
        <f t="array" ref="T47">SUMPRODUCT((DATOS!$G$2:$G$20000=CONFIG_METADATA!$B$4)*(DATOS!$D$2:$D$20000=A47)*(DATOS!$I$2:$I$20000&lt;&gt;"Lenguaje Musical")*(DATOS!$I$2:$I$20000&lt;&gt;"Coro")*(DATOS!$I$2:$I$20000&lt;&gt;"Conjunto")*(DATOS!$K$2:$K$20000=9))</f>
        <v>0</v>
      </c>
      <c r="U47" cm="1">
        <f t="array" ref="U47">SUMPRODUCT((DATOS!$G$2:$G$20000=CONFIG_METADATA!$B$4)*(DATOS!$D$2:$D$20000=A47)*(DATOS!$I$2:$I$20000&lt;&gt;"Lenguaje Musical")*(DATOS!$I$2:$I$20000&lt;&gt;"Coro")*(DATOS!$I$2:$I$20000&lt;&gt;"Conjunto")*(DATOS!$K$2:$K$20000=10))</f>
        <v>0</v>
      </c>
    </row>
    <row r="48" spans="1:22" ht="15" customHeight="1" x14ac:dyDescent="0.2">
      <c r="A48" t="s">
        <v>19</v>
      </c>
      <c r="B48" t="s">
        <v>100</v>
      </c>
      <c r="C48" t="s">
        <v>101</v>
      </c>
      <c r="D48">
        <f>SUMPRODUCT((DATOS!G:G=CONFIG_METADATA!$B$4)*(DATOS!D:D=A48)*((DATOS!I:I="Lenguaje Musical")+(DATOS!I:I="Coro")+(DATOS!I:I="Conjunto")))</f>
        <v>0</v>
      </c>
      <c r="E48" s="14" t="str" cm="1">
        <f t="array" ref="E48">IFERROR(AVERAGE(IF((DATOS!$G$2:$G$20000=CONFIG_METADATA!$B$4)*(DATOS!$D$2:$D$20000=A48)*((DATOS!$I$2:$I$20000="Lenguaje Musical")+(DATOS!$I$2:$I$20000="Coro")+(DATOS!$I$2:$I$20000="Conjunto")),DATOS!$K$2:$K$20000)),"—")</f>
        <v>—</v>
      </c>
      <c r="F48" s="14" t="str" cm="1">
        <f t="array" ref="F48">IFERROR(_xlfn.STDEV.P(IF((DATOS!$G$2:$G$20000=CONFIG_METADATA!$B$4)*(DATOS!$D$2:$D$20000=A48)*((DATOS!$I$2:$I$20000="Lenguaje Musical")+(DATOS!$I$2:$I$20000="Coro")+(DATOS!$I$2:$I$20000="Conjunto")),DATOS!$K$2:$K$20000)),"—")</f>
        <v>—</v>
      </c>
      <c r="G48" t="str" cm="1">
        <f t="array" ref="G48">IFERROR(_xlfn.MODE.SNGL(IF((DATOS!$G$2:$G$20000=CONFIG_METADATA!$B$4)*(DATOS!$D$2:$D$20000=A48)*((DATOS!$I$2:$I$20000="Lenguaje Musical")+(DATOS!$I$2:$I$20000="Coro")+(DATOS!$I$2:$I$20000="Conjunto")),DATOS!$K$2:$K$20000)),"—")</f>
        <v>—</v>
      </c>
      <c r="H48" s="15" t="str" cm="1">
        <f t="array" ref="H48">IFERROR(SUMPRODUCT((DATOS!$G$2:$G$20000=CONFIG_METADATA!$B$4)*(DATOS!$D$2:$D$20000=A48)*((DATOS!$I$2:$I$20000="Lenguaje Musical")+(DATOS!$I$2:$I$20000="Coro")+(DATOS!$I$2:$I$20000="Conjunto"))*(DATOS!$L$2:$L$20000="S"))/SUMPRODUCT((DATOS!$G$2:$G$20000=CONFIG_METADATA!$B$4)*(DATOS!$D$2:$D$20000=A48)*((DATOS!$I$2:$I$20000="Lenguaje Musical")+(DATOS!$I$2:$I$20000="Coro")+(DATOS!$I$2:$I$20000="Conjunto"))*1),"—")</f>
        <v>—</v>
      </c>
      <c r="I48" s="15" t="str" cm="1">
        <f t="array" ref="I48">IFERROR(SUMPRODUCT((DATOS!$G$2:$G$20000=CONFIG_METADATA!$B$4)*(DATOS!$D$2:$D$20000=A48)*((DATOS!$I$2:$I$20000="Lenguaje Musical")+(DATOS!$I$2:$I$20000="Coro")+(DATOS!$I$2:$I$20000="Conjunto"))*(DATOS!$L$2:$L$20000="N"))/SUMPRODUCT((DATOS!$G$2:$G$20000=CONFIG_METADATA!$B$4)*(DATOS!$D$2:$D$20000=A48)*((DATOS!$I$2:$I$20000="Lenguaje Musical")+(DATOS!$I$2:$I$20000="Coro")+(DATOS!$I$2:$I$20000="Conjunto"))*1),"—")</f>
        <v>—</v>
      </c>
      <c r="J48" t="str" cm="1">
        <f t="array" ref="J48">IFERROR(_xlfn.MODE.SNGL(IF((DATOS!$G$2:$G$20000=CONFIG_METADATA!$B$4)*(DATOS!$D$2:$D$20000=A48)*((DATOS!$I$2:$I$20000="Lenguaje Musical")+(DATOS!$I$2:$I$20000="Coro")+(DATOS!$I$2:$I$20000="Conjunto"))*(DATOS!$L$2:$L$20000="S"),DATOS!$K$2:$K$20000)),"—")</f>
        <v>—</v>
      </c>
      <c r="K48" t="str" cm="1">
        <f t="array" ref="K48">IFERROR(_xlfn.MODE.SNGL(IF((DATOS!$G$2:$G$20000=CONFIG_METADATA!$B$4)*(DATOS!$D$2:$D$20000=A48)*((DATOS!$I$2:$I$20000="Lenguaje Musical")+(DATOS!$I$2:$I$20000="Coro")+(DATOS!$I$2:$I$20000="Conjunto"))*(DATOS!$L$2:$L$20000="N"),DATOS!$K$2:$K$20000)),"—")</f>
        <v>—</v>
      </c>
      <c r="L48" cm="1">
        <f t="array" ref="L48">SUMPRODUCT((DATOS!$G$2:$G$20000=CONFIG_METADATA!$B$4)*(DATOS!$D$2:$D$20000=A48)*((DATOS!$I$2:$I$20000="Lenguaje Musical")+(DATOS!$I$2:$I$20000="Coro")+(DATOS!$I$2:$I$20000="Conjunto"))*(DATOS!$K$2:$K$20000=1))</f>
        <v>0</v>
      </c>
      <c r="M48" cm="1">
        <f t="array" ref="M48">SUMPRODUCT((DATOS!$G$2:$G$20000=CONFIG_METADATA!$B$4)*(DATOS!$D$2:$D$20000=A48)*((DATOS!$I$2:$I$20000="Lenguaje Musical")+(DATOS!$I$2:$I$20000="Coro")+(DATOS!$I$2:$I$20000="Conjunto"))*(DATOS!$K$2:$K$20000=2))</f>
        <v>0</v>
      </c>
      <c r="N48" cm="1">
        <f t="array" ref="N48">SUMPRODUCT((DATOS!$G$2:$G$20000=CONFIG_METADATA!$B$4)*(DATOS!$D$2:$D$20000=A48)*((DATOS!$I$2:$I$20000="Lenguaje Musical")+(DATOS!$I$2:$I$20000="Coro")+(DATOS!$I$2:$I$20000="Conjunto"))*(DATOS!$K$2:$K$20000=3))</f>
        <v>0</v>
      </c>
      <c r="O48" cm="1">
        <f t="array" ref="O48">SUMPRODUCT((DATOS!$G$2:$G$20000=CONFIG_METADATA!$B$4)*(DATOS!$D$2:$D$20000=A48)*((DATOS!$I$2:$I$20000="Lenguaje Musical")+(DATOS!$I$2:$I$20000="Coro")+(DATOS!$I$2:$I$20000="Conjunto"))*(DATOS!$K$2:$K$20000=4))</f>
        <v>0</v>
      </c>
      <c r="P48" cm="1">
        <f t="array" ref="P48">SUMPRODUCT((DATOS!$G$2:$G$20000=CONFIG_METADATA!$B$4)*(DATOS!$D$2:$D$20000=A48)*((DATOS!$I$2:$I$20000="Lenguaje Musical")+(DATOS!$I$2:$I$20000="Coro")+(DATOS!$I$2:$I$20000="Conjunto"))*(DATOS!$K$2:$K$20000=5))</f>
        <v>0</v>
      </c>
      <c r="Q48" cm="1">
        <f t="array" ref="Q48">SUMPRODUCT((DATOS!$G$2:$G$20000=CONFIG_METADATA!$B$4)*(DATOS!$D$2:$D$20000=A48)*((DATOS!$I$2:$I$20000="Lenguaje Musical")+(DATOS!$I$2:$I$20000="Coro")+(DATOS!$I$2:$I$20000="Conjunto"))*(DATOS!$K$2:$K$20000=6))</f>
        <v>0</v>
      </c>
      <c r="R48" cm="1">
        <f t="array" ref="R48">SUMPRODUCT((DATOS!$G$2:$G$20000=CONFIG_METADATA!$B$4)*(DATOS!$D$2:$D$20000=A48)*((DATOS!$I$2:$I$20000="Lenguaje Musical")+(DATOS!$I$2:$I$20000="Coro")+(DATOS!$I$2:$I$20000="Conjunto"))*(DATOS!$K$2:$K$20000=7))</f>
        <v>0</v>
      </c>
      <c r="S48" cm="1">
        <f t="array" ref="S48">SUMPRODUCT((DATOS!$G$2:$G$20000=CONFIG_METADATA!$B$4)*(DATOS!$D$2:$D$20000=A48)*((DATOS!$I$2:$I$20000="Lenguaje Musical")+(DATOS!$I$2:$I$20000="Coro")+(DATOS!$I$2:$I$20000="Conjunto"))*(DATOS!$K$2:$K$20000=8))</f>
        <v>0</v>
      </c>
      <c r="T48" cm="1">
        <f t="array" ref="T48">SUMPRODUCT((DATOS!$G$2:$G$20000=CONFIG_METADATA!$B$4)*(DATOS!$D$2:$D$20000=A48)*((DATOS!$I$2:$I$20000="Lenguaje Musical")+(DATOS!$I$2:$I$20000="Coro")+(DATOS!$I$2:$I$20000="Conjunto"))*(DATOS!$K$2:$K$20000=9))</f>
        <v>0</v>
      </c>
      <c r="U48" cm="1">
        <f t="array" ref="U48">SUMPRODUCT((DATOS!$G$2:$G$20000=CONFIG_METADATA!$B$4)*(DATOS!$D$2:$D$20000=A48)*((DATOS!$I$2:$I$20000="Lenguaje Musical")+(DATOS!$I$2:$I$20000="Coro")+(DATOS!$I$2:$I$20000="Conjunto"))*(DATOS!$K$2:$K$20000=10))</f>
        <v>0</v>
      </c>
    </row>
    <row r="49" spans="1:22" ht="15" customHeight="1" x14ac:dyDescent="0.2">
      <c r="A49" t="s">
        <v>19</v>
      </c>
      <c r="B49" t="s">
        <v>10</v>
      </c>
      <c r="C49" t="s">
        <v>2</v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 ht="15" customHeight="1" x14ac:dyDescent="0.2">
      <c r="A50" t="s">
        <v>19</v>
      </c>
      <c r="B50" t="s">
        <v>16</v>
      </c>
      <c r="C50" t="s">
        <v>2</v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 ht="15" customHeight="1" x14ac:dyDescent="0.2">
      <c r="A51" t="s">
        <v>19</v>
      </c>
      <c r="B51" t="s">
        <v>21</v>
      </c>
      <c r="C51" t="s">
        <v>2</v>
      </c>
      <c r="D51" t="str">
        <f>IF(V51="Sí",COUNTIFS(DATOS!G:G,CONFIG_METADATA!$B$4,DATOS!D:D,A51,DATOS!I:I,B51),"")</f>
        <v/>
      </c>
      <c r="E51" s="14" t="str">
        <f>IF(V51="Sí",IFERROR(AVERAGEIFS(DATOS!K:K,DATOS!G:G,CONFIG_METADATA!$B$4,DATOS!D:D,A51,DATOS!I:I,B51),"—"),"")</f>
        <v/>
      </c>
      <c r="F51" s="14" t="str" cm="1">
        <f t="array" ref="F51">IF(V51="Sí",IFERROR(_xlfn.STDEV.P(IF((DATOS!$G$2:$G$20000=CONFIG_METADATA!$B$4)*(DATOS!$D$2:$D$20000=A51)*(DATOS!$I$2:$I$20000=B51),DATOS!$K$2:$K$20000)),"—"),"")</f>
        <v/>
      </c>
      <c r="G51" t="str" cm="1">
        <f t="array" ref="G51">IF(V51="Sí",IFERROR(_xlfn.MODE.SNGL(IF((DATOS!$G$2:$G$20000=CONFIG_METADATA!$B$4)*(DATOS!$D$2:$D$20000=A51)*(DATOS!$I$2:$I$20000=B51),DATOS!$K$2:$K$20000)),"—"),"")</f>
        <v/>
      </c>
      <c r="H51" s="15" t="str">
        <f>IF(V51="Sí",IFERROR(COUNTIFS(DATOS!G:G,CONFIG_METADATA!$B$4,DATOS!D:D,A51,DATOS!I:I,B51,DATOS!L:L,"S")/COUNTIFS(DATOS!G:G,CONFIG_METADATA!$B$4,DATOS!D:D,A51,DATOS!I:I,B51),"—"),"")</f>
        <v/>
      </c>
      <c r="I51" s="15" t="str">
        <f>IF(V51="Sí",IFERROR(COUNTIFS(DATOS!G:G,CONFIG_METADATA!$B$4,DATOS!D:D,A51,DATOS!I:I,B51,DATOS!L:L,"N")/COUNTIFS(DATOS!G:G,CONFIG_METADATA!$B$4,DATOS!D:D,A51,DATOS!I:I,B51),"—"),"")</f>
        <v/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/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/>
      </c>
      <c r="L51" t="str">
        <f>IF(V51="Sí",COUNTIFS(DATOS!G:G,CONFIG_METADATA!$B$4,DATOS!D:D,A51,DATOS!I:I,B51,DATOS!K:K,1),"")</f>
        <v/>
      </c>
      <c r="M51" t="str">
        <f>IF(V51="Sí",COUNTIFS(DATOS!G:G,CONFIG_METADATA!$B$4,DATOS!D:D,A51,DATOS!I:I,B51,DATOS!K:K,2),"")</f>
        <v/>
      </c>
      <c r="N51" t="str">
        <f>IF(V51="Sí",COUNTIFS(DATOS!G:G,CONFIG_METADATA!$B$4,DATOS!D:D,A51,DATOS!I:I,B51,DATOS!K:K,3),"")</f>
        <v/>
      </c>
      <c r="O51" t="str">
        <f>IF(V51="Sí",COUNTIFS(DATOS!G:G,CONFIG_METADATA!$B$4,DATOS!D:D,A51,DATOS!I:I,B51,DATOS!K:K,4),"")</f>
        <v/>
      </c>
      <c r="P51" t="str">
        <f>IF(V51="Sí",COUNTIFS(DATOS!G:G,CONFIG_METADATA!$B$4,DATOS!D:D,A51,DATOS!I:I,B51,DATOS!K:K,5),"")</f>
        <v/>
      </c>
      <c r="Q51" t="str">
        <f>IF(V51="Sí",COUNTIFS(DATOS!G:G,CONFIG_METADATA!$B$4,DATOS!D:D,A51,DATOS!I:I,B51,DATOS!K:K,6),"")</f>
        <v/>
      </c>
      <c r="R51" t="str">
        <f>IF(V51="Sí",COUNTIFS(DATOS!G:G,CONFIG_METADATA!$B$4,DATOS!D:D,A51,DATOS!I:I,B51,DATOS!K:K,7),"")</f>
        <v/>
      </c>
      <c r="S51" t="str">
        <f>IF(V51="Sí",COUNTIFS(DATOS!G:G,CONFIG_METADATA!$B$4,DATOS!D:D,A51,DATOS!I:I,B51,DATOS!K:K,8),"")</f>
        <v/>
      </c>
      <c r="T51" t="str">
        <f>IF(V51="Sí",COUNTIFS(DATOS!G:G,CONFIG_METADATA!$B$4,DATOS!D:D,A51,DATOS!I:I,B51,DATOS!K:K,9),"")</f>
        <v/>
      </c>
      <c r="U51" t="str">
        <f>IF(V51="Sí",COUNTIFS(DATOS!G:G,CONFIG_METADATA!$B$4,DATOS!D:D,A51,DATOS!I:I,B51,DATOS!K:K,10),"")</f>
        <v/>
      </c>
      <c r="V51" t="str">
        <f>IFERROR(IF(ISERROR(FIND(A51,VLOOKUP(B51,CONFIG_ASIGNATURAS!B:C,2,FALSE()))),"No","Sí"),"No")</f>
        <v>No</v>
      </c>
    </row>
    <row r="52" spans="1:22" ht="15" customHeight="1" x14ac:dyDescent="0.2">
      <c r="A52" t="s">
        <v>19</v>
      </c>
      <c r="B52" t="s">
        <v>24</v>
      </c>
      <c r="C52" t="s">
        <v>20</v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 ht="15" customHeight="1" x14ac:dyDescent="0.2">
      <c r="A53" t="s">
        <v>19</v>
      </c>
      <c r="B53" t="s">
        <v>27</v>
      </c>
      <c r="C53" t="s">
        <v>20</v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 ht="15" customHeight="1" x14ac:dyDescent="0.2">
      <c r="A54" t="s">
        <v>19</v>
      </c>
      <c r="B54" t="s">
        <v>29</v>
      </c>
      <c r="C54" t="s">
        <v>20</v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 ht="15" customHeight="1" x14ac:dyDescent="0.2">
      <c r="A55" t="s">
        <v>19</v>
      </c>
      <c r="B55" t="s">
        <v>30</v>
      </c>
      <c r="C55" t="s">
        <v>20</v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 ht="15" customHeight="1" x14ac:dyDescent="0.2">
      <c r="A56" t="s">
        <v>19</v>
      </c>
      <c r="B56" t="s">
        <v>32</v>
      </c>
      <c r="C56" t="s">
        <v>20</v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 ht="15" customHeight="1" x14ac:dyDescent="0.2">
      <c r="A57" t="s">
        <v>19</v>
      </c>
      <c r="B57" t="s">
        <v>34</v>
      </c>
      <c r="C57" t="s">
        <v>20</v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 ht="15" customHeight="1" x14ac:dyDescent="0.2">
      <c r="A58" t="s">
        <v>19</v>
      </c>
      <c r="B58" t="s">
        <v>35</v>
      </c>
      <c r="C58" t="s">
        <v>20</v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 ht="15" customHeight="1" x14ac:dyDescent="0.2">
      <c r="A59" t="s">
        <v>19</v>
      </c>
      <c r="B59" t="s">
        <v>36</v>
      </c>
      <c r="C59" t="s">
        <v>20</v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 ht="15" customHeight="1" x14ac:dyDescent="0.2">
      <c r="A60" t="s">
        <v>19</v>
      </c>
      <c r="B60" t="s">
        <v>37</v>
      </c>
      <c r="C60" t="s">
        <v>20</v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 ht="15" customHeight="1" x14ac:dyDescent="0.2">
      <c r="A61" t="s">
        <v>19</v>
      </c>
      <c r="B61" t="s">
        <v>38</v>
      </c>
      <c r="C61" t="s">
        <v>20</v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 ht="15" customHeight="1" x14ac:dyDescent="0.2">
      <c r="A62" t="s">
        <v>19</v>
      </c>
      <c r="B62" t="s">
        <v>39</v>
      </c>
      <c r="C62" t="s">
        <v>20</v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 ht="15" customHeight="1" x14ac:dyDescent="0.2">
      <c r="A63" t="s">
        <v>19</v>
      </c>
      <c r="B63" t="s">
        <v>40</v>
      </c>
      <c r="C63" t="s">
        <v>20</v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 ht="15" customHeight="1" x14ac:dyDescent="0.2">
      <c r="A64" t="s">
        <v>19</v>
      </c>
      <c r="B64" t="s">
        <v>41</v>
      </c>
      <c r="C64" t="s">
        <v>20</v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 ht="15" customHeight="1" x14ac:dyDescent="0.2">
      <c r="A65" t="s">
        <v>19</v>
      </c>
      <c r="B65" t="s">
        <v>42</v>
      </c>
      <c r="C65" t="s">
        <v>20</v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 ht="15" customHeight="1" x14ac:dyDescent="0.2">
      <c r="A66" t="s">
        <v>19</v>
      </c>
      <c r="B66" t="s">
        <v>43</v>
      </c>
      <c r="C66" t="s">
        <v>20</v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 ht="15" customHeight="1" x14ac:dyDescent="0.2">
      <c r="A67" t="s">
        <v>19</v>
      </c>
      <c r="B67" t="s">
        <v>44</v>
      </c>
      <c r="C67" t="s">
        <v>20</v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 ht="15" customHeight="1" x14ac:dyDescent="0.2">
      <c r="A68" t="s">
        <v>23</v>
      </c>
      <c r="B68" t="s">
        <v>97</v>
      </c>
      <c r="C68" t="s">
        <v>97</v>
      </c>
      <c r="D68">
        <f>COUNTIFS(DATOS!G:G,CONFIG_METADATA!$B$4,DATOS!D:D,A68)</f>
        <v>0</v>
      </c>
      <c r="E68" s="14" t="str">
        <f>IFERROR(AVERAGEIFS(DATOS!K:K,DATOS!G:G,CONFIG_METADATA!$B$4,DATOS!D:D,A68),"—")</f>
        <v>—</v>
      </c>
      <c r="F68" s="14" t="str" cm="1">
        <f t="array" ref="F68">IFERROR(_xlfn.STDEV.P(IF((DATOS!$G$2:$G$20000=CONFIG_METADATA!$B$4)*(DATOS!$D$2:$D$20000=A68),DATOS!$K$2:$K$20000)),"—")</f>
        <v>—</v>
      </c>
      <c r="G68" t="str" cm="1">
        <f t="array" ref="G68">IFERROR(_xlfn.MODE.SNGL(IF((DATOS!$G$2:$G$20000=CONFIG_METADATA!$B$4)*(DATOS!$D$2:$D$20000=A68),DATOS!$K$2:$K$20000)),"—")</f>
        <v>—</v>
      </c>
      <c r="H68" s="15" t="str">
        <f>IFERROR(COUNTIFS(DATOS!$G$2:$G$20000,CONFIG_METADATA!$B$4,DATOS!$D$2:$D$20000,A68,DATOS!$L$2:$L$20000,"S")/COUNTIFS(DATOS!$G$2:$G$20000,CONFIG_METADATA!$B$4,DATOS!$D$2:$D$20000,A68),"—")</f>
        <v>—</v>
      </c>
      <c r="I68" s="15" t="str">
        <f>IFERROR(COUNTIFS(DATOS!$G$2:$G$20000,CONFIG_METADATA!$B$4,DATOS!$D$2:$D$20000,A68,DATOS!$L$2:$L$20000,"N")/COUNTIFS(DATOS!$G$2:$G$20000,CONFIG_METADATA!$B$4,DATOS!$D$2:$D$20000,A68),"—")</f>
        <v>—</v>
      </c>
      <c r="J68" t="str" cm="1">
        <f t="array" ref="J68">IFERROR(_xlfn.MODE.SNGL(IF((DATOS!$G$2:$G$20000=CONFIG_METADATA!$B$4)*(DATOS!$D$2:$D$20000=A68)*(DATOS!$L$2:$L$20000="S"),DATOS!$K$2:$K$20000)),"—")</f>
        <v>—</v>
      </c>
      <c r="K68" t="str" cm="1">
        <f t="array" ref="K68">IFERROR(_xlfn.MODE.SNGL(IF((DATOS!$G$2:$G$20000=CONFIG_METADATA!$B$4)*(DATOS!$D$2:$D$20000=A68)*(DATOS!$L$2:$L$20000="N"),DATOS!$K$2:$K$20000)),"—")</f>
        <v>—</v>
      </c>
      <c r="L68" cm="1">
        <f t="array" ref="L68">SUMPRODUCT((DATOS!$G$2:$G$20000=CONFIG_METADATA!$B$4)*(DATOS!$D$2:$D$20000=A68)*(DATOS!$K$2:$K$20000=1))</f>
        <v>0</v>
      </c>
      <c r="M68" cm="1">
        <f t="array" ref="M68">SUMPRODUCT((DATOS!$G$2:$G$20000=CONFIG_METADATA!$B$4)*(DATOS!$D$2:$D$20000=A68)*(DATOS!$K$2:$K$20000=2))</f>
        <v>0</v>
      </c>
      <c r="N68" cm="1">
        <f t="array" ref="N68">SUMPRODUCT((DATOS!$G$2:$G$20000=CONFIG_METADATA!$B$4)*(DATOS!$D$2:$D$20000=A68)*(DATOS!$K$2:$K$20000=3))</f>
        <v>0</v>
      </c>
      <c r="O68" cm="1">
        <f t="array" ref="O68">SUMPRODUCT((DATOS!$G$2:$G$20000=CONFIG_METADATA!$B$4)*(DATOS!$D$2:$D$20000=A68)*(DATOS!$K$2:$K$20000=4))</f>
        <v>0</v>
      </c>
      <c r="P68" cm="1">
        <f t="array" ref="P68">SUMPRODUCT((DATOS!$G$2:$G$20000=CONFIG_METADATA!$B$4)*(DATOS!$D$2:$D$20000=A68)*(DATOS!$K$2:$K$20000=5))</f>
        <v>0</v>
      </c>
      <c r="Q68" cm="1">
        <f t="array" ref="Q68">SUMPRODUCT((DATOS!$G$2:$G$20000=CONFIG_METADATA!$B$4)*(DATOS!$D$2:$D$20000=A68)*(DATOS!$K$2:$K$20000=6))</f>
        <v>0</v>
      </c>
      <c r="R68" cm="1">
        <f t="array" ref="R68">SUMPRODUCT((DATOS!$G$2:$G$20000=CONFIG_METADATA!$B$4)*(DATOS!$D$2:$D$20000=A68)*(DATOS!$K$2:$K$20000=7))</f>
        <v>0</v>
      </c>
      <c r="S68" cm="1">
        <f t="array" ref="S68">SUMPRODUCT((DATOS!$G$2:$G$20000=CONFIG_METADATA!$B$4)*(DATOS!$D$2:$D$20000=A68)*(DATOS!$K$2:$K$20000=8))</f>
        <v>0</v>
      </c>
      <c r="T68" cm="1">
        <f t="array" ref="T68">SUMPRODUCT((DATOS!$G$2:$G$20000=CONFIG_METADATA!$B$4)*(DATOS!$D$2:$D$20000=A68)*(DATOS!$K$2:$K$20000=9))</f>
        <v>0</v>
      </c>
      <c r="U68" cm="1">
        <f t="array" ref="U68">SUMPRODUCT((DATOS!$G$2:$G$20000=CONFIG_METADATA!$B$4)*(DATOS!$D$2:$D$20000=A68)*(DATOS!$K$2:$K$20000=10))</f>
        <v>0</v>
      </c>
    </row>
    <row r="69" spans="1:22" ht="15" customHeight="1" x14ac:dyDescent="0.2">
      <c r="A69" t="s">
        <v>23</v>
      </c>
      <c r="B69" t="s">
        <v>98</v>
      </c>
      <c r="C69" t="s">
        <v>99</v>
      </c>
      <c r="D69">
        <f>COUNTIFS(DATOS!G:G,CONFIG_METADATA!$B$4,DATOS!D:D,A69,DATOS!I:I,"&lt;&gt;Lenguaje Musical",DATOS!I:I,"&lt;&gt;Coro",DATOS!I:I,"&lt;&gt;Conjunto")</f>
        <v>0</v>
      </c>
      <c r="E69" s="14" t="str">
        <f>IFERROR(AVERAGEIFS(DATOS!K:K,DATOS!G:G,CONFIG_METADATA!$B$4,DATOS!D:D,A69,DATOS!I:I,"&lt;&gt;Lenguaje Musical",DATOS!I:I,"&lt;&gt;Coro",DATOS!I:I,"&lt;&gt;Conjunto"),"—")</f>
        <v>—</v>
      </c>
      <c r="F69" s="14" t="str" cm="1">
        <f t="array" ref="F69">IFERROR(_xlfn.STDEV.P(IF((DATOS!$G$2:$G$20000=CONFIG_METADATA!$B$4)*(DATOS!$D$2:$D$20000=A69)*(DATOS!$I$2:$I$20000&lt;&gt;"Lenguaje Musical")*(DATOS!$I$2:$I$20000&lt;&gt;"Coro")*(DATOS!$I$2:$I$20000&lt;&gt;"Conjunto"),DATOS!$K$2:$K$20000)),"—")</f>
        <v>—</v>
      </c>
      <c r="G69" t="str" cm="1">
        <f t="array" ref="G69">IFERROR(_xlfn.MODE.SNGL(IF((DATOS!$G$2:$G$20000=CONFIG_METADATA!$B$4)*(DATOS!$D$2:$D$20000=A69)*(DATOS!$I$2:$I$20000&lt;&gt;"Lenguaje Musical")*(DATOS!$I$2:$I$20000&lt;&gt;"Coro")*(DATOS!$I$2:$I$20000&lt;&gt;"Conjunto"),DATOS!$K$2:$K$20000)),"—")</f>
        <v>—</v>
      </c>
      <c r="H69" s="15" t="str" cm="1">
        <f t="array" ref="H69">IFERROR(SUMPRODUCT((DATOS!$G$2:$G$20000=CONFIG_METADATA!$B$4)*(DATOS!$D$2:$D$20000=A69)*(DATOS!$I$2:$I$20000&lt;&gt;"Lenguaje Musical")*(DATOS!$I$2:$I$20000&lt;&gt;"Coro")*(DATOS!$I$2:$I$20000&lt;&gt;"Conjunto")*(DATOS!$L$2:$L$20000="S"))/SUMPRODUCT((DATOS!$G$2:$G$20000=CONFIG_METADATA!$B$4)*(DATOS!$D$2:$D$20000=A69)*(DATOS!$I$2:$I$20000&lt;&gt;"Lenguaje Musical")*(DATOS!$I$2:$I$20000&lt;&gt;"Coro")*(DATOS!$I$2:$I$20000&lt;&gt;"Conjunto")*1),"—")</f>
        <v>—</v>
      </c>
      <c r="I69" s="15" t="str" cm="1">
        <f t="array" ref="I69">IFERROR(SUMPRODUCT((DATOS!$G$2:$G$20000=CONFIG_METADATA!$B$4)*(DATOS!$D$2:$D$20000=A69)*(DATOS!$I$2:$I$20000&lt;&gt;"Lenguaje Musical")*(DATOS!$I$2:$I$20000&lt;&gt;"Coro")*(DATOS!$I$2:$I$20000&lt;&gt;"Conjunto")*(DATOS!$L$2:$L$20000="N"))/SUMPRODUCT((DATOS!$G$2:$G$20000=CONFIG_METADATA!$B$4)*(DATOS!$D$2:$D$20000=A69)*(DATOS!$I$2:$I$20000&lt;&gt;"Lenguaje Musical")*(DATOS!$I$2:$I$20000&lt;&gt;"Coro")*(DATOS!$I$2:$I$20000&lt;&gt;"Conjunto")*1),"—")</f>
        <v>—</v>
      </c>
      <c r="J69" t="str" cm="1">
        <f t="array" ref="J69">IFERROR(_xlfn.MODE.SNGL(IF((DATOS!$G$2:$G$20000=CONFIG_METADATA!$B$4)*(DATOS!$D$2:$D$20000=A69)*(DATOS!$I$2:$I$20000&lt;&gt;"Lenguaje Musical")*(DATOS!$I$2:$I$20000&lt;&gt;"Coro")*(DATOS!$I$2:$I$20000&lt;&gt;"Conjunto")*(DATOS!$L$2:$L$20000="S"),DATOS!$K$2:$K$20000)),"—")</f>
        <v>—</v>
      </c>
      <c r="K69" t="str" cm="1">
        <f t="array" ref="K69">IFERROR(_xlfn.MODE.SNGL(IF((DATOS!$G$2:$G$20000=CONFIG_METADATA!$B$4)*(DATOS!$D$2:$D$20000=A69)*(DATOS!$I$2:$I$20000&lt;&gt;"Lenguaje Musical")*(DATOS!$I$2:$I$20000&lt;&gt;"Coro")*(DATOS!$I$2:$I$20000&lt;&gt;"Conjunto")*(DATOS!$L$2:$L$20000="N"),DATOS!$K$2:$K$20000)),"—")</f>
        <v>—</v>
      </c>
      <c r="L69" cm="1">
        <f t="array" ref="L69">SUMPRODUCT((DATOS!$G$2:$G$20000=CONFIG_METADATA!$B$4)*(DATOS!$D$2:$D$20000=A69)*(DATOS!$I$2:$I$20000&lt;&gt;"Lenguaje Musical")*(DATOS!$I$2:$I$20000&lt;&gt;"Coro")*(DATOS!$I$2:$I$20000&lt;&gt;"Conjunto")*(DATOS!$K$2:$K$20000=1))</f>
        <v>0</v>
      </c>
      <c r="M69" cm="1">
        <f t="array" ref="M69">SUMPRODUCT((DATOS!$G$2:$G$20000=CONFIG_METADATA!$B$4)*(DATOS!$D$2:$D$20000=A69)*(DATOS!$I$2:$I$20000&lt;&gt;"Lenguaje Musical")*(DATOS!$I$2:$I$20000&lt;&gt;"Coro")*(DATOS!$I$2:$I$20000&lt;&gt;"Conjunto")*(DATOS!$K$2:$K$20000=2))</f>
        <v>0</v>
      </c>
      <c r="N69" cm="1">
        <f t="array" ref="N69">SUMPRODUCT((DATOS!$G$2:$G$20000=CONFIG_METADATA!$B$4)*(DATOS!$D$2:$D$20000=A69)*(DATOS!$I$2:$I$20000&lt;&gt;"Lenguaje Musical")*(DATOS!$I$2:$I$20000&lt;&gt;"Coro")*(DATOS!$I$2:$I$20000&lt;&gt;"Conjunto")*(DATOS!$K$2:$K$20000=3))</f>
        <v>0</v>
      </c>
      <c r="O69" cm="1">
        <f t="array" ref="O69">SUMPRODUCT((DATOS!$G$2:$G$20000=CONFIG_METADATA!$B$4)*(DATOS!$D$2:$D$20000=A69)*(DATOS!$I$2:$I$20000&lt;&gt;"Lenguaje Musical")*(DATOS!$I$2:$I$20000&lt;&gt;"Coro")*(DATOS!$I$2:$I$20000&lt;&gt;"Conjunto")*(DATOS!$K$2:$K$20000=4))</f>
        <v>0</v>
      </c>
      <c r="P69" cm="1">
        <f t="array" ref="P69">SUMPRODUCT((DATOS!$G$2:$G$20000=CONFIG_METADATA!$B$4)*(DATOS!$D$2:$D$20000=A69)*(DATOS!$I$2:$I$20000&lt;&gt;"Lenguaje Musical")*(DATOS!$I$2:$I$20000&lt;&gt;"Coro")*(DATOS!$I$2:$I$20000&lt;&gt;"Conjunto")*(DATOS!$K$2:$K$20000=5))</f>
        <v>0</v>
      </c>
      <c r="Q69" cm="1">
        <f t="array" ref="Q69">SUMPRODUCT((DATOS!$G$2:$G$20000=CONFIG_METADATA!$B$4)*(DATOS!$D$2:$D$20000=A69)*(DATOS!$I$2:$I$20000&lt;&gt;"Lenguaje Musical")*(DATOS!$I$2:$I$20000&lt;&gt;"Coro")*(DATOS!$I$2:$I$20000&lt;&gt;"Conjunto")*(DATOS!$K$2:$K$20000=6))</f>
        <v>0</v>
      </c>
      <c r="R69" cm="1">
        <f t="array" ref="R69">SUMPRODUCT((DATOS!$G$2:$G$20000=CONFIG_METADATA!$B$4)*(DATOS!$D$2:$D$20000=A69)*(DATOS!$I$2:$I$20000&lt;&gt;"Lenguaje Musical")*(DATOS!$I$2:$I$20000&lt;&gt;"Coro")*(DATOS!$I$2:$I$20000&lt;&gt;"Conjunto")*(DATOS!$K$2:$K$20000=7))</f>
        <v>0</v>
      </c>
      <c r="S69" cm="1">
        <f t="array" ref="S69">SUMPRODUCT((DATOS!$G$2:$G$20000=CONFIG_METADATA!$B$4)*(DATOS!$D$2:$D$20000=A69)*(DATOS!$I$2:$I$20000&lt;&gt;"Lenguaje Musical")*(DATOS!$I$2:$I$20000&lt;&gt;"Coro")*(DATOS!$I$2:$I$20000&lt;&gt;"Conjunto")*(DATOS!$K$2:$K$20000=8))</f>
        <v>0</v>
      </c>
      <c r="T69" cm="1">
        <f t="array" ref="T69">SUMPRODUCT((DATOS!$G$2:$G$20000=CONFIG_METADATA!$B$4)*(DATOS!$D$2:$D$20000=A69)*(DATOS!$I$2:$I$20000&lt;&gt;"Lenguaje Musical")*(DATOS!$I$2:$I$20000&lt;&gt;"Coro")*(DATOS!$I$2:$I$20000&lt;&gt;"Conjunto")*(DATOS!$K$2:$K$20000=9))</f>
        <v>0</v>
      </c>
      <c r="U69" cm="1">
        <f t="array" ref="U69">SUMPRODUCT((DATOS!$G$2:$G$20000=CONFIG_METADATA!$B$4)*(DATOS!$D$2:$D$20000=A69)*(DATOS!$I$2:$I$20000&lt;&gt;"Lenguaje Musical")*(DATOS!$I$2:$I$20000&lt;&gt;"Coro")*(DATOS!$I$2:$I$20000&lt;&gt;"Conjunto")*(DATOS!$K$2:$K$20000=10))</f>
        <v>0</v>
      </c>
    </row>
    <row r="70" spans="1:22" ht="15" customHeight="1" x14ac:dyDescent="0.2">
      <c r="A70" t="s">
        <v>23</v>
      </c>
      <c r="B70" t="s">
        <v>100</v>
      </c>
      <c r="C70" t="s">
        <v>101</v>
      </c>
      <c r="D70">
        <f>SUMPRODUCT((DATOS!G:G=CONFIG_METADATA!$B$4)*(DATOS!D:D=A70)*((DATOS!I:I="Lenguaje Musical")+(DATOS!I:I="Coro")+(DATOS!I:I="Conjunto")))</f>
        <v>0</v>
      </c>
      <c r="E70" s="14" t="str" cm="1">
        <f t="array" ref="E70">IFERROR(AVERAGE(IF((DATOS!$G$2:$G$20000=CONFIG_METADATA!$B$4)*(DATOS!$D$2:$D$20000=A70)*((DATOS!$I$2:$I$20000="Lenguaje Musical")+(DATOS!$I$2:$I$20000="Coro")+(DATOS!$I$2:$I$20000="Conjunto")),DATOS!$K$2:$K$20000)),"—")</f>
        <v>—</v>
      </c>
      <c r="F70" s="14" t="str" cm="1">
        <f t="array" ref="F70">IFERROR(_xlfn.STDEV.P(IF((DATOS!$G$2:$G$20000=CONFIG_METADATA!$B$4)*(DATOS!$D$2:$D$20000=A70)*((DATOS!$I$2:$I$20000="Lenguaje Musical")+(DATOS!$I$2:$I$20000="Coro")+(DATOS!$I$2:$I$20000="Conjunto")),DATOS!$K$2:$K$20000)),"—")</f>
        <v>—</v>
      </c>
      <c r="G70" t="str" cm="1">
        <f t="array" ref="G70">IFERROR(_xlfn.MODE.SNGL(IF((DATOS!$G$2:$G$20000=CONFIG_METADATA!$B$4)*(DATOS!$D$2:$D$20000=A70)*((DATOS!$I$2:$I$20000="Lenguaje Musical")+(DATOS!$I$2:$I$20000="Coro")+(DATOS!$I$2:$I$20000="Conjunto")),DATOS!$K$2:$K$20000)),"—")</f>
        <v>—</v>
      </c>
      <c r="H70" s="15" t="str" cm="1">
        <f t="array" ref="H70">IFERROR(SUMPRODUCT((DATOS!$G$2:$G$20000=CONFIG_METADATA!$B$4)*(DATOS!$D$2:$D$20000=A70)*((DATOS!$I$2:$I$20000="Lenguaje Musical")+(DATOS!$I$2:$I$20000="Coro")+(DATOS!$I$2:$I$20000="Conjunto"))*(DATOS!$L$2:$L$20000="S"))/SUMPRODUCT((DATOS!$G$2:$G$20000=CONFIG_METADATA!$B$4)*(DATOS!$D$2:$D$20000=A70)*((DATOS!$I$2:$I$20000="Lenguaje Musical")+(DATOS!$I$2:$I$20000="Coro")+(DATOS!$I$2:$I$20000="Conjunto"))*1),"—")</f>
        <v>—</v>
      </c>
      <c r="I70" s="15" t="str" cm="1">
        <f t="array" ref="I70">IFERROR(SUMPRODUCT((DATOS!$G$2:$G$20000=CONFIG_METADATA!$B$4)*(DATOS!$D$2:$D$20000=A70)*((DATOS!$I$2:$I$20000="Lenguaje Musical")+(DATOS!$I$2:$I$20000="Coro")+(DATOS!$I$2:$I$20000="Conjunto"))*(DATOS!$L$2:$L$20000="N"))/SUMPRODUCT((DATOS!$G$2:$G$20000=CONFIG_METADATA!$B$4)*(DATOS!$D$2:$D$20000=A70)*((DATOS!$I$2:$I$20000="Lenguaje Musical")+(DATOS!$I$2:$I$20000="Coro")+(DATOS!$I$2:$I$20000="Conjunto"))*1),"—")</f>
        <v>—</v>
      </c>
      <c r="J70" t="str" cm="1">
        <f t="array" ref="J70">IFERROR(_xlfn.MODE.SNGL(IF((DATOS!$G$2:$G$20000=CONFIG_METADATA!$B$4)*(DATOS!$D$2:$D$20000=A70)*((DATOS!$I$2:$I$20000="Lenguaje Musical")+(DATOS!$I$2:$I$20000="Coro")+(DATOS!$I$2:$I$20000="Conjunto"))*(DATOS!$L$2:$L$20000="S"),DATOS!$K$2:$K$20000)),"—")</f>
        <v>—</v>
      </c>
      <c r="K70" t="str" cm="1">
        <f t="array" ref="K70">IFERROR(_xlfn.MODE.SNGL(IF((DATOS!$G$2:$G$20000=CONFIG_METADATA!$B$4)*(DATOS!$D$2:$D$20000=A70)*((DATOS!$I$2:$I$20000="Lenguaje Musical")+(DATOS!$I$2:$I$20000="Coro")+(DATOS!$I$2:$I$20000="Conjunto"))*(DATOS!$L$2:$L$20000="N"),DATOS!$K$2:$K$20000)),"—")</f>
        <v>—</v>
      </c>
      <c r="L70" cm="1">
        <f t="array" ref="L70">SUMPRODUCT((DATOS!$G$2:$G$20000=CONFIG_METADATA!$B$4)*(DATOS!$D$2:$D$20000=A70)*((DATOS!$I$2:$I$20000="Lenguaje Musical")+(DATOS!$I$2:$I$20000="Coro")+(DATOS!$I$2:$I$20000="Conjunto"))*(DATOS!$K$2:$K$20000=1))</f>
        <v>0</v>
      </c>
      <c r="M70" cm="1">
        <f t="array" ref="M70">SUMPRODUCT((DATOS!$G$2:$G$20000=CONFIG_METADATA!$B$4)*(DATOS!$D$2:$D$20000=A70)*((DATOS!$I$2:$I$20000="Lenguaje Musical")+(DATOS!$I$2:$I$20000="Coro")+(DATOS!$I$2:$I$20000="Conjunto"))*(DATOS!$K$2:$K$20000=2))</f>
        <v>0</v>
      </c>
      <c r="N70" cm="1">
        <f t="array" ref="N70">SUMPRODUCT((DATOS!$G$2:$G$20000=CONFIG_METADATA!$B$4)*(DATOS!$D$2:$D$20000=A70)*((DATOS!$I$2:$I$20000="Lenguaje Musical")+(DATOS!$I$2:$I$20000="Coro")+(DATOS!$I$2:$I$20000="Conjunto"))*(DATOS!$K$2:$K$20000=3))</f>
        <v>0</v>
      </c>
      <c r="O70" cm="1">
        <f t="array" ref="O70">SUMPRODUCT((DATOS!$G$2:$G$20000=CONFIG_METADATA!$B$4)*(DATOS!$D$2:$D$20000=A70)*((DATOS!$I$2:$I$20000="Lenguaje Musical")+(DATOS!$I$2:$I$20000="Coro")+(DATOS!$I$2:$I$20000="Conjunto"))*(DATOS!$K$2:$K$20000=4))</f>
        <v>0</v>
      </c>
      <c r="P70" cm="1">
        <f t="array" ref="P70">SUMPRODUCT((DATOS!$G$2:$G$20000=CONFIG_METADATA!$B$4)*(DATOS!$D$2:$D$20000=A70)*((DATOS!$I$2:$I$20000="Lenguaje Musical")+(DATOS!$I$2:$I$20000="Coro")+(DATOS!$I$2:$I$20000="Conjunto"))*(DATOS!$K$2:$K$20000=5))</f>
        <v>0</v>
      </c>
      <c r="Q70" cm="1">
        <f t="array" ref="Q70">SUMPRODUCT((DATOS!$G$2:$G$20000=CONFIG_METADATA!$B$4)*(DATOS!$D$2:$D$20000=A70)*((DATOS!$I$2:$I$20000="Lenguaje Musical")+(DATOS!$I$2:$I$20000="Coro")+(DATOS!$I$2:$I$20000="Conjunto"))*(DATOS!$K$2:$K$20000=6))</f>
        <v>0</v>
      </c>
      <c r="R70" cm="1">
        <f t="array" ref="R70">SUMPRODUCT((DATOS!$G$2:$G$20000=CONFIG_METADATA!$B$4)*(DATOS!$D$2:$D$20000=A70)*((DATOS!$I$2:$I$20000="Lenguaje Musical")+(DATOS!$I$2:$I$20000="Coro")+(DATOS!$I$2:$I$20000="Conjunto"))*(DATOS!$K$2:$K$20000=7))</f>
        <v>0</v>
      </c>
      <c r="S70" cm="1">
        <f t="array" ref="S70">SUMPRODUCT((DATOS!$G$2:$G$20000=CONFIG_METADATA!$B$4)*(DATOS!$D$2:$D$20000=A70)*((DATOS!$I$2:$I$20000="Lenguaje Musical")+(DATOS!$I$2:$I$20000="Coro")+(DATOS!$I$2:$I$20000="Conjunto"))*(DATOS!$K$2:$K$20000=8))</f>
        <v>0</v>
      </c>
      <c r="T70" cm="1">
        <f t="array" ref="T70">SUMPRODUCT((DATOS!$G$2:$G$20000=CONFIG_METADATA!$B$4)*(DATOS!$D$2:$D$20000=A70)*((DATOS!$I$2:$I$20000="Lenguaje Musical")+(DATOS!$I$2:$I$20000="Coro")+(DATOS!$I$2:$I$20000="Conjunto"))*(DATOS!$K$2:$K$20000=9))</f>
        <v>0</v>
      </c>
      <c r="U70" cm="1">
        <f t="array" ref="U70">SUMPRODUCT((DATOS!$G$2:$G$20000=CONFIG_METADATA!$B$4)*(DATOS!$D$2:$D$20000=A70)*((DATOS!$I$2:$I$20000="Lenguaje Musical")+(DATOS!$I$2:$I$20000="Coro")+(DATOS!$I$2:$I$20000="Conjunto"))*(DATOS!$K$2:$K$20000=10))</f>
        <v>0</v>
      </c>
    </row>
    <row r="71" spans="1:22" ht="15" customHeight="1" x14ac:dyDescent="0.2">
      <c r="A71" t="s">
        <v>23</v>
      </c>
      <c r="B71" t="s">
        <v>10</v>
      </c>
      <c r="C71" t="s">
        <v>2</v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 ht="15" customHeight="1" x14ac:dyDescent="0.2">
      <c r="A72" t="s">
        <v>23</v>
      </c>
      <c r="B72" t="s">
        <v>16</v>
      </c>
      <c r="C72" t="s">
        <v>2</v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 ht="15" customHeight="1" x14ac:dyDescent="0.2">
      <c r="A73" t="s">
        <v>23</v>
      </c>
      <c r="B73" t="s">
        <v>21</v>
      </c>
      <c r="C73" t="s">
        <v>2</v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 ht="15" customHeight="1" x14ac:dyDescent="0.2">
      <c r="A74" t="s">
        <v>23</v>
      </c>
      <c r="B74" t="s">
        <v>24</v>
      </c>
      <c r="C74" t="s">
        <v>20</v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 ht="15" customHeight="1" x14ac:dyDescent="0.2">
      <c r="A75" t="s">
        <v>23</v>
      </c>
      <c r="B75" t="s">
        <v>27</v>
      </c>
      <c r="C75" t="s">
        <v>20</v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 ht="15" customHeight="1" x14ac:dyDescent="0.2">
      <c r="A76" t="s">
        <v>23</v>
      </c>
      <c r="B76" t="s">
        <v>29</v>
      </c>
      <c r="C76" t="s">
        <v>20</v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 ht="15" customHeight="1" x14ac:dyDescent="0.2">
      <c r="A77" t="s">
        <v>23</v>
      </c>
      <c r="B77" t="s">
        <v>30</v>
      </c>
      <c r="C77" t="s">
        <v>20</v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 ht="15" customHeight="1" x14ac:dyDescent="0.2">
      <c r="A78" t="s">
        <v>23</v>
      </c>
      <c r="B78" t="s">
        <v>32</v>
      </c>
      <c r="C78" t="s">
        <v>20</v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 ht="15" customHeight="1" x14ac:dyDescent="0.2">
      <c r="A79" t="s">
        <v>23</v>
      </c>
      <c r="B79" t="s">
        <v>34</v>
      </c>
      <c r="C79" t="s">
        <v>20</v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 ht="15" customHeight="1" x14ac:dyDescent="0.2">
      <c r="A80" t="s">
        <v>23</v>
      </c>
      <c r="B80" t="s">
        <v>35</v>
      </c>
      <c r="C80" t="s">
        <v>20</v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 ht="15" customHeight="1" x14ac:dyDescent="0.2">
      <c r="A81" t="s">
        <v>23</v>
      </c>
      <c r="B81" t="s">
        <v>36</v>
      </c>
      <c r="C81" t="s">
        <v>20</v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 ht="15" customHeight="1" x14ac:dyDescent="0.2">
      <c r="A82" t="s">
        <v>23</v>
      </c>
      <c r="B82" t="s">
        <v>37</v>
      </c>
      <c r="C82" t="s">
        <v>20</v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 ht="15" customHeight="1" x14ac:dyDescent="0.2">
      <c r="A83" t="s">
        <v>23</v>
      </c>
      <c r="B83" t="s">
        <v>38</v>
      </c>
      <c r="C83" t="s">
        <v>20</v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 ht="15" customHeight="1" x14ac:dyDescent="0.2">
      <c r="A84" t="s">
        <v>23</v>
      </c>
      <c r="B84" t="s">
        <v>39</v>
      </c>
      <c r="C84" t="s">
        <v>20</v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 ht="15" customHeight="1" x14ac:dyDescent="0.2">
      <c r="A85" t="s">
        <v>23</v>
      </c>
      <c r="B85" t="s">
        <v>40</v>
      </c>
      <c r="C85" t="s">
        <v>20</v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 ht="15" customHeight="1" x14ac:dyDescent="0.2">
      <c r="A86" t="s">
        <v>23</v>
      </c>
      <c r="B86" t="s">
        <v>41</v>
      </c>
      <c r="C86" t="s">
        <v>20</v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 ht="15" customHeight="1" x14ac:dyDescent="0.2">
      <c r="A87" t="s">
        <v>23</v>
      </c>
      <c r="B87" t="s">
        <v>42</v>
      </c>
      <c r="C87" t="s">
        <v>20</v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 ht="15" customHeight="1" x14ac:dyDescent="0.2">
      <c r="A88" t="s">
        <v>23</v>
      </c>
      <c r="B88" t="s">
        <v>43</v>
      </c>
      <c r="C88" t="s">
        <v>20</v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 ht="15" customHeight="1" x14ac:dyDescent="0.2">
      <c r="A89" t="s">
        <v>23</v>
      </c>
      <c r="B89" t="s">
        <v>44</v>
      </c>
      <c r="C89" t="s">
        <v>20</v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 ht="15" customHeight="1" x14ac:dyDescent="0.2">
      <c r="A90" t="s">
        <v>26</v>
      </c>
      <c r="B90" t="s">
        <v>97</v>
      </c>
      <c r="C90" t="s">
        <v>97</v>
      </c>
      <c r="D90">
        <f>COUNTIFS(DATOS!G:G,CONFIG_METADATA!$B$4,DATOS!D:D,A90)</f>
        <v>0</v>
      </c>
      <c r="E90" s="14" t="str">
        <f>IFERROR(AVERAGEIFS(DATOS!K:K,DATOS!G:G,CONFIG_METADATA!$B$4,DATOS!D:D,A90),"—")</f>
        <v>—</v>
      </c>
      <c r="F90" s="14" t="str" cm="1">
        <f t="array" ref="F90">IFERROR(_xlfn.STDEV.P(IF((DATOS!$G$2:$G$20000=CONFIG_METADATA!$B$4)*(DATOS!$D$2:$D$20000=A90),DATOS!$K$2:$K$20000)),"—")</f>
        <v>—</v>
      </c>
      <c r="G90" t="str" cm="1">
        <f t="array" ref="G90">IFERROR(_xlfn.MODE.SNGL(IF((DATOS!$G$2:$G$20000=CONFIG_METADATA!$B$4)*(DATOS!$D$2:$D$20000=A90),DATOS!$K$2:$K$20000)),"—")</f>
        <v>—</v>
      </c>
      <c r="H90" s="15" t="str">
        <f>IFERROR(COUNTIFS(DATOS!$G$2:$G$20000,CONFIG_METADATA!$B$4,DATOS!$D$2:$D$20000,A90,DATOS!$L$2:$L$20000,"S")/COUNTIFS(DATOS!$G$2:$G$20000,CONFIG_METADATA!$B$4,DATOS!$D$2:$D$20000,A90),"—")</f>
        <v>—</v>
      </c>
      <c r="I90" s="15" t="str">
        <f>IFERROR(COUNTIFS(DATOS!$G$2:$G$20000,CONFIG_METADATA!$B$4,DATOS!$D$2:$D$20000,A90,DATOS!$L$2:$L$20000,"N")/COUNTIFS(DATOS!$G$2:$G$20000,CONFIG_METADATA!$B$4,DATOS!$D$2:$D$20000,A90),"—")</f>
        <v>—</v>
      </c>
      <c r="J90" t="str" cm="1">
        <f t="array" ref="J90">IFERROR(_xlfn.MODE.SNGL(IF((DATOS!$G$2:$G$20000=CONFIG_METADATA!$B$4)*(DATOS!$D$2:$D$20000=A90)*(DATOS!$L$2:$L$20000="S"),DATOS!$K$2:$K$20000)),"—")</f>
        <v>—</v>
      </c>
      <c r="K90" t="str" cm="1">
        <f t="array" ref="K90">IFERROR(_xlfn.MODE.SNGL(IF((DATOS!$G$2:$G$20000=CONFIG_METADATA!$B$4)*(DATOS!$D$2:$D$20000=A90)*(DATOS!$L$2:$L$20000="N"),DATOS!$K$2:$K$20000)),"—")</f>
        <v>—</v>
      </c>
      <c r="L90" cm="1">
        <f t="array" ref="L90">SUMPRODUCT((DATOS!$G$2:$G$20000=CONFIG_METADATA!$B$4)*(DATOS!$D$2:$D$20000=A90)*(DATOS!$K$2:$K$20000=1))</f>
        <v>0</v>
      </c>
      <c r="M90" cm="1">
        <f t="array" ref="M90">SUMPRODUCT((DATOS!$G$2:$G$20000=CONFIG_METADATA!$B$4)*(DATOS!$D$2:$D$20000=A90)*(DATOS!$K$2:$K$20000=2))</f>
        <v>0</v>
      </c>
      <c r="N90" cm="1">
        <f t="array" ref="N90">SUMPRODUCT((DATOS!$G$2:$G$20000=CONFIG_METADATA!$B$4)*(DATOS!$D$2:$D$20000=A90)*(DATOS!$K$2:$K$20000=3))</f>
        <v>0</v>
      </c>
      <c r="O90" cm="1">
        <f t="array" ref="O90">SUMPRODUCT((DATOS!$G$2:$G$20000=CONFIG_METADATA!$B$4)*(DATOS!$D$2:$D$20000=A90)*(DATOS!$K$2:$K$20000=4))</f>
        <v>0</v>
      </c>
      <c r="P90" cm="1">
        <f t="array" ref="P90">SUMPRODUCT((DATOS!$G$2:$G$20000=CONFIG_METADATA!$B$4)*(DATOS!$D$2:$D$20000=A90)*(DATOS!$K$2:$K$20000=5))</f>
        <v>0</v>
      </c>
      <c r="Q90" cm="1">
        <f t="array" ref="Q90">SUMPRODUCT((DATOS!$G$2:$G$20000=CONFIG_METADATA!$B$4)*(DATOS!$D$2:$D$20000=A90)*(DATOS!$K$2:$K$20000=6))</f>
        <v>0</v>
      </c>
      <c r="R90" cm="1">
        <f t="array" ref="R90">SUMPRODUCT((DATOS!$G$2:$G$20000=CONFIG_METADATA!$B$4)*(DATOS!$D$2:$D$20000=A90)*(DATOS!$K$2:$K$20000=7))</f>
        <v>0</v>
      </c>
      <c r="S90" cm="1">
        <f t="array" ref="S90">SUMPRODUCT((DATOS!$G$2:$G$20000=CONFIG_METADATA!$B$4)*(DATOS!$D$2:$D$20000=A90)*(DATOS!$K$2:$K$20000=8))</f>
        <v>0</v>
      </c>
      <c r="T90" cm="1">
        <f t="array" ref="T90">SUMPRODUCT((DATOS!$G$2:$G$20000=CONFIG_METADATA!$B$4)*(DATOS!$D$2:$D$20000=A90)*(DATOS!$K$2:$K$20000=9))</f>
        <v>0</v>
      </c>
      <c r="U90" cm="1">
        <f t="array" ref="U90">SUMPRODUCT((DATOS!$G$2:$G$20000=CONFIG_METADATA!$B$4)*(DATOS!$D$2:$D$20000=A90)*(DATOS!$K$2:$K$20000=10))</f>
        <v>0</v>
      </c>
    </row>
    <row r="91" spans="1:22" ht="15" customHeight="1" x14ac:dyDescent="0.2">
      <c r="A91" t="s">
        <v>26</v>
      </c>
      <c r="B91" t="s">
        <v>98</v>
      </c>
      <c r="C91" t="s">
        <v>99</v>
      </c>
      <c r="D91">
        <f>COUNTIFS(DATOS!G:G,CONFIG_METADATA!$B$4,DATOS!D:D,A91,DATOS!I:I,"&lt;&gt;Lenguaje Musical",DATOS!I:I,"&lt;&gt;Coro",DATOS!I:I,"&lt;&gt;Conjunto")</f>
        <v>0</v>
      </c>
      <c r="E91" s="14" t="str">
        <f>IFERROR(AVERAGEIFS(DATOS!K:K,DATOS!G:G,CONFIG_METADATA!$B$4,DATOS!D:D,A91,DATOS!I:I,"&lt;&gt;Lenguaje Musical",DATOS!I:I,"&lt;&gt;Coro",DATOS!I:I,"&lt;&gt;Conjunto"),"—")</f>
        <v>—</v>
      </c>
      <c r="F91" s="14" t="str" cm="1">
        <f t="array" ref="F91">IFERROR(_xlfn.STDEV.P(IF((DATOS!$G$2:$G$20000=CONFIG_METADATA!$B$4)*(DATOS!$D$2:$D$20000=A91)*(DATOS!$I$2:$I$20000&lt;&gt;"Lenguaje Musical")*(DATOS!$I$2:$I$20000&lt;&gt;"Coro")*(DATOS!$I$2:$I$20000&lt;&gt;"Conjunto"),DATOS!$K$2:$K$20000)),"—")</f>
        <v>—</v>
      </c>
      <c r="G91" t="str" cm="1">
        <f t="array" ref="G91">IFERROR(_xlfn.MODE.SNGL(IF((DATOS!$G$2:$G$20000=CONFIG_METADATA!$B$4)*(DATOS!$D$2:$D$20000=A91)*(DATOS!$I$2:$I$20000&lt;&gt;"Lenguaje Musical")*(DATOS!$I$2:$I$20000&lt;&gt;"Coro")*(DATOS!$I$2:$I$20000&lt;&gt;"Conjunto"),DATOS!$K$2:$K$20000)),"—")</f>
        <v>—</v>
      </c>
      <c r="H91" s="15" t="str" cm="1">
        <f t="array" ref="H91">IFERROR(SUMPRODUCT((DATOS!$G$2:$G$20000=CONFIG_METADATA!$B$4)*(DATOS!$D$2:$D$20000=A91)*(DATOS!$I$2:$I$20000&lt;&gt;"Lenguaje Musical")*(DATOS!$I$2:$I$20000&lt;&gt;"Coro")*(DATOS!$I$2:$I$20000&lt;&gt;"Conjunto")*(DATOS!$L$2:$L$20000="S"))/SUMPRODUCT((DATOS!$G$2:$G$20000=CONFIG_METADATA!$B$4)*(DATOS!$D$2:$D$20000=A91)*(DATOS!$I$2:$I$20000&lt;&gt;"Lenguaje Musical")*(DATOS!$I$2:$I$20000&lt;&gt;"Coro")*(DATOS!$I$2:$I$20000&lt;&gt;"Conjunto")*1),"—")</f>
        <v>—</v>
      </c>
      <c r="I91" s="15" t="str" cm="1">
        <f t="array" ref="I91">IFERROR(SUMPRODUCT((DATOS!$G$2:$G$20000=CONFIG_METADATA!$B$4)*(DATOS!$D$2:$D$20000=A91)*(DATOS!$I$2:$I$20000&lt;&gt;"Lenguaje Musical")*(DATOS!$I$2:$I$20000&lt;&gt;"Coro")*(DATOS!$I$2:$I$20000&lt;&gt;"Conjunto")*(DATOS!$L$2:$L$20000="N"))/SUMPRODUCT((DATOS!$G$2:$G$20000=CONFIG_METADATA!$B$4)*(DATOS!$D$2:$D$20000=A91)*(DATOS!$I$2:$I$20000&lt;&gt;"Lenguaje Musical")*(DATOS!$I$2:$I$20000&lt;&gt;"Coro")*(DATOS!$I$2:$I$20000&lt;&gt;"Conjunto")*1),"—")</f>
        <v>—</v>
      </c>
      <c r="J91" t="str" cm="1">
        <f t="array" ref="J91">IFERROR(_xlfn.MODE.SNGL(IF((DATOS!$G$2:$G$20000=CONFIG_METADATA!$B$4)*(DATOS!$D$2:$D$20000=A91)*(DATOS!$I$2:$I$20000&lt;&gt;"Lenguaje Musical")*(DATOS!$I$2:$I$20000&lt;&gt;"Coro")*(DATOS!$I$2:$I$20000&lt;&gt;"Conjunto")*(DATOS!$L$2:$L$20000="S"),DATOS!$K$2:$K$20000)),"—")</f>
        <v>—</v>
      </c>
      <c r="K91" t="str" cm="1">
        <f t="array" ref="K91">IFERROR(_xlfn.MODE.SNGL(IF((DATOS!$G$2:$G$20000=CONFIG_METADATA!$B$4)*(DATOS!$D$2:$D$20000=A91)*(DATOS!$I$2:$I$20000&lt;&gt;"Lenguaje Musical")*(DATOS!$I$2:$I$20000&lt;&gt;"Coro")*(DATOS!$I$2:$I$20000&lt;&gt;"Conjunto")*(DATOS!$L$2:$L$20000="N"),DATOS!$K$2:$K$20000)),"—")</f>
        <v>—</v>
      </c>
      <c r="L91" cm="1">
        <f t="array" ref="L91">SUMPRODUCT((DATOS!$G$2:$G$20000=CONFIG_METADATA!$B$4)*(DATOS!$D$2:$D$20000=A91)*(DATOS!$I$2:$I$20000&lt;&gt;"Lenguaje Musical")*(DATOS!$I$2:$I$20000&lt;&gt;"Coro")*(DATOS!$I$2:$I$20000&lt;&gt;"Conjunto")*(DATOS!$K$2:$K$20000=1))</f>
        <v>0</v>
      </c>
      <c r="M91" cm="1">
        <f t="array" ref="M91">SUMPRODUCT((DATOS!$G$2:$G$20000=CONFIG_METADATA!$B$4)*(DATOS!$D$2:$D$20000=A91)*(DATOS!$I$2:$I$20000&lt;&gt;"Lenguaje Musical")*(DATOS!$I$2:$I$20000&lt;&gt;"Coro")*(DATOS!$I$2:$I$20000&lt;&gt;"Conjunto")*(DATOS!$K$2:$K$20000=2))</f>
        <v>0</v>
      </c>
      <c r="N91" cm="1">
        <f t="array" ref="N91">SUMPRODUCT((DATOS!$G$2:$G$20000=CONFIG_METADATA!$B$4)*(DATOS!$D$2:$D$20000=A91)*(DATOS!$I$2:$I$20000&lt;&gt;"Lenguaje Musical")*(DATOS!$I$2:$I$20000&lt;&gt;"Coro")*(DATOS!$I$2:$I$20000&lt;&gt;"Conjunto")*(DATOS!$K$2:$K$20000=3))</f>
        <v>0</v>
      </c>
      <c r="O91" cm="1">
        <f t="array" ref="O91">SUMPRODUCT((DATOS!$G$2:$G$20000=CONFIG_METADATA!$B$4)*(DATOS!$D$2:$D$20000=A91)*(DATOS!$I$2:$I$20000&lt;&gt;"Lenguaje Musical")*(DATOS!$I$2:$I$20000&lt;&gt;"Coro")*(DATOS!$I$2:$I$20000&lt;&gt;"Conjunto")*(DATOS!$K$2:$K$20000=4))</f>
        <v>0</v>
      </c>
      <c r="P91" cm="1">
        <f t="array" ref="P91">SUMPRODUCT((DATOS!$G$2:$G$20000=CONFIG_METADATA!$B$4)*(DATOS!$D$2:$D$20000=A91)*(DATOS!$I$2:$I$20000&lt;&gt;"Lenguaje Musical")*(DATOS!$I$2:$I$20000&lt;&gt;"Coro")*(DATOS!$I$2:$I$20000&lt;&gt;"Conjunto")*(DATOS!$K$2:$K$20000=5))</f>
        <v>0</v>
      </c>
      <c r="Q91" cm="1">
        <f t="array" ref="Q91">SUMPRODUCT((DATOS!$G$2:$G$20000=CONFIG_METADATA!$B$4)*(DATOS!$D$2:$D$20000=A91)*(DATOS!$I$2:$I$20000&lt;&gt;"Lenguaje Musical")*(DATOS!$I$2:$I$20000&lt;&gt;"Coro")*(DATOS!$I$2:$I$20000&lt;&gt;"Conjunto")*(DATOS!$K$2:$K$20000=6))</f>
        <v>0</v>
      </c>
      <c r="R91" cm="1">
        <f t="array" ref="R91">SUMPRODUCT((DATOS!$G$2:$G$20000=CONFIG_METADATA!$B$4)*(DATOS!$D$2:$D$20000=A91)*(DATOS!$I$2:$I$20000&lt;&gt;"Lenguaje Musical")*(DATOS!$I$2:$I$20000&lt;&gt;"Coro")*(DATOS!$I$2:$I$20000&lt;&gt;"Conjunto")*(DATOS!$K$2:$K$20000=7))</f>
        <v>0</v>
      </c>
      <c r="S91" cm="1">
        <f t="array" ref="S91">SUMPRODUCT((DATOS!$G$2:$G$20000=CONFIG_METADATA!$B$4)*(DATOS!$D$2:$D$20000=A91)*(DATOS!$I$2:$I$20000&lt;&gt;"Lenguaje Musical")*(DATOS!$I$2:$I$20000&lt;&gt;"Coro")*(DATOS!$I$2:$I$20000&lt;&gt;"Conjunto")*(DATOS!$K$2:$K$20000=8))</f>
        <v>0</v>
      </c>
      <c r="T91" cm="1">
        <f t="array" ref="T91">SUMPRODUCT((DATOS!$G$2:$G$20000=CONFIG_METADATA!$B$4)*(DATOS!$D$2:$D$20000=A91)*(DATOS!$I$2:$I$20000&lt;&gt;"Lenguaje Musical")*(DATOS!$I$2:$I$20000&lt;&gt;"Coro")*(DATOS!$I$2:$I$20000&lt;&gt;"Conjunto")*(DATOS!$K$2:$K$20000=9))</f>
        <v>0</v>
      </c>
      <c r="U91" cm="1">
        <f t="array" ref="U91">SUMPRODUCT((DATOS!$G$2:$G$20000=CONFIG_METADATA!$B$4)*(DATOS!$D$2:$D$20000=A91)*(DATOS!$I$2:$I$20000&lt;&gt;"Lenguaje Musical")*(DATOS!$I$2:$I$20000&lt;&gt;"Coro")*(DATOS!$I$2:$I$20000&lt;&gt;"Conjunto")*(DATOS!$K$2:$K$20000=10))</f>
        <v>0</v>
      </c>
    </row>
    <row r="92" spans="1:22" ht="15" customHeight="1" x14ac:dyDescent="0.2">
      <c r="A92" t="s">
        <v>26</v>
      </c>
      <c r="B92" t="s">
        <v>100</v>
      </c>
      <c r="C92" t="s">
        <v>101</v>
      </c>
      <c r="D92">
        <f>SUMPRODUCT((DATOS!G:G=CONFIG_METADATA!$B$4)*(DATOS!D:D=A92)*((DATOS!I:I="Lenguaje Musical")+(DATOS!I:I="Coro")+(DATOS!I:I="Conjunto")))</f>
        <v>0</v>
      </c>
      <c r="E92" s="14" t="str" cm="1">
        <f t="array" ref="E92">IFERROR(AVERAGE(IF((DATOS!$G$2:$G$20000=CONFIG_METADATA!$B$4)*(DATOS!$D$2:$D$20000=A92)*((DATOS!$I$2:$I$20000="Lenguaje Musical")+(DATOS!$I$2:$I$20000="Coro")+(DATOS!$I$2:$I$20000="Conjunto")),DATOS!$K$2:$K$20000)),"—")</f>
        <v>—</v>
      </c>
      <c r="F92" s="14" t="str" cm="1">
        <f t="array" ref="F92">IFERROR(_xlfn.STDEV.P(IF((DATOS!$G$2:$G$20000=CONFIG_METADATA!$B$4)*(DATOS!$D$2:$D$20000=A92)*((DATOS!$I$2:$I$20000="Lenguaje Musical")+(DATOS!$I$2:$I$20000="Coro")+(DATOS!$I$2:$I$20000="Conjunto")),DATOS!$K$2:$K$20000)),"—")</f>
        <v>—</v>
      </c>
      <c r="G92" t="str" cm="1">
        <f t="array" ref="G92">IFERROR(_xlfn.MODE.SNGL(IF((DATOS!$G$2:$G$20000=CONFIG_METADATA!$B$4)*(DATOS!$D$2:$D$20000=A92)*((DATOS!$I$2:$I$20000="Lenguaje Musical")+(DATOS!$I$2:$I$20000="Coro")+(DATOS!$I$2:$I$20000="Conjunto")),DATOS!$K$2:$K$20000)),"—")</f>
        <v>—</v>
      </c>
      <c r="H92" s="15" t="str" cm="1">
        <f t="array" ref="H92">IFERROR(SUMPRODUCT((DATOS!$G$2:$G$20000=CONFIG_METADATA!$B$4)*(DATOS!$D$2:$D$20000=A92)*((DATOS!$I$2:$I$20000="Lenguaje Musical")+(DATOS!$I$2:$I$20000="Coro")+(DATOS!$I$2:$I$20000="Conjunto"))*(DATOS!$L$2:$L$20000="S"))/SUMPRODUCT((DATOS!$G$2:$G$20000=CONFIG_METADATA!$B$4)*(DATOS!$D$2:$D$20000=A92)*((DATOS!$I$2:$I$20000="Lenguaje Musical")+(DATOS!$I$2:$I$20000="Coro")+(DATOS!$I$2:$I$20000="Conjunto"))*1),"—")</f>
        <v>—</v>
      </c>
      <c r="I92" s="15" t="str" cm="1">
        <f t="array" ref="I92">IFERROR(SUMPRODUCT((DATOS!$G$2:$G$20000=CONFIG_METADATA!$B$4)*(DATOS!$D$2:$D$20000=A92)*((DATOS!$I$2:$I$20000="Lenguaje Musical")+(DATOS!$I$2:$I$20000="Coro")+(DATOS!$I$2:$I$20000="Conjunto"))*(DATOS!$L$2:$L$20000="N"))/SUMPRODUCT((DATOS!$G$2:$G$20000=CONFIG_METADATA!$B$4)*(DATOS!$D$2:$D$20000=A92)*((DATOS!$I$2:$I$20000="Lenguaje Musical")+(DATOS!$I$2:$I$20000="Coro")+(DATOS!$I$2:$I$20000="Conjunto"))*1),"—")</f>
        <v>—</v>
      </c>
      <c r="J92" t="str" cm="1">
        <f t="array" ref="J92">IFERROR(_xlfn.MODE.SNGL(IF((DATOS!$G$2:$G$20000=CONFIG_METADATA!$B$4)*(DATOS!$D$2:$D$20000=A92)*((DATOS!$I$2:$I$20000="Lenguaje Musical")+(DATOS!$I$2:$I$20000="Coro")+(DATOS!$I$2:$I$20000="Conjunto"))*(DATOS!$L$2:$L$20000="S"),DATOS!$K$2:$K$20000)),"—")</f>
        <v>—</v>
      </c>
      <c r="K92" t="str" cm="1">
        <f t="array" ref="K92">IFERROR(_xlfn.MODE.SNGL(IF((DATOS!$G$2:$G$20000=CONFIG_METADATA!$B$4)*(DATOS!$D$2:$D$20000=A92)*((DATOS!$I$2:$I$20000="Lenguaje Musical")+(DATOS!$I$2:$I$20000="Coro")+(DATOS!$I$2:$I$20000="Conjunto"))*(DATOS!$L$2:$L$20000="N"),DATOS!$K$2:$K$20000)),"—")</f>
        <v>—</v>
      </c>
      <c r="L92" cm="1">
        <f t="array" ref="L92">SUMPRODUCT((DATOS!$G$2:$G$20000=CONFIG_METADATA!$B$4)*(DATOS!$D$2:$D$20000=A92)*((DATOS!$I$2:$I$20000="Lenguaje Musical")+(DATOS!$I$2:$I$20000="Coro")+(DATOS!$I$2:$I$20000="Conjunto"))*(DATOS!$K$2:$K$20000=1))</f>
        <v>0</v>
      </c>
      <c r="M92" cm="1">
        <f t="array" ref="M92">SUMPRODUCT((DATOS!$G$2:$G$20000=CONFIG_METADATA!$B$4)*(DATOS!$D$2:$D$20000=A92)*((DATOS!$I$2:$I$20000="Lenguaje Musical")+(DATOS!$I$2:$I$20000="Coro")+(DATOS!$I$2:$I$20000="Conjunto"))*(DATOS!$K$2:$K$20000=2))</f>
        <v>0</v>
      </c>
      <c r="N92" cm="1">
        <f t="array" ref="N92">SUMPRODUCT((DATOS!$G$2:$G$20000=CONFIG_METADATA!$B$4)*(DATOS!$D$2:$D$20000=A92)*((DATOS!$I$2:$I$20000="Lenguaje Musical")+(DATOS!$I$2:$I$20000="Coro")+(DATOS!$I$2:$I$20000="Conjunto"))*(DATOS!$K$2:$K$20000=3))</f>
        <v>0</v>
      </c>
      <c r="O92" cm="1">
        <f t="array" ref="O92">SUMPRODUCT((DATOS!$G$2:$G$20000=CONFIG_METADATA!$B$4)*(DATOS!$D$2:$D$20000=A92)*((DATOS!$I$2:$I$20000="Lenguaje Musical")+(DATOS!$I$2:$I$20000="Coro")+(DATOS!$I$2:$I$20000="Conjunto"))*(DATOS!$K$2:$K$20000=4))</f>
        <v>0</v>
      </c>
      <c r="P92" cm="1">
        <f t="array" ref="P92">SUMPRODUCT((DATOS!$G$2:$G$20000=CONFIG_METADATA!$B$4)*(DATOS!$D$2:$D$20000=A92)*((DATOS!$I$2:$I$20000="Lenguaje Musical")+(DATOS!$I$2:$I$20000="Coro")+(DATOS!$I$2:$I$20000="Conjunto"))*(DATOS!$K$2:$K$20000=5))</f>
        <v>0</v>
      </c>
      <c r="Q92" cm="1">
        <f t="array" ref="Q92">SUMPRODUCT((DATOS!$G$2:$G$20000=CONFIG_METADATA!$B$4)*(DATOS!$D$2:$D$20000=A92)*((DATOS!$I$2:$I$20000="Lenguaje Musical")+(DATOS!$I$2:$I$20000="Coro")+(DATOS!$I$2:$I$20000="Conjunto"))*(DATOS!$K$2:$K$20000=6))</f>
        <v>0</v>
      </c>
      <c r="R92" cm="1">
        <f t="array" ref="R92">SUMPRODUCT((DATOS!$G$2:$G$20000=CONFIG_METADATA!$B$4)*(DATOS!$D$2:$D$20000=A92)*((DATOS!$I$2:$I$20000="Lenguaje Musical")+(DATOS!$I$2:$I$20000="Coro")+(DATOS!$I$2:$I$20000="Conjunto"))*(DATOS!$K$2:$K$20000=7))</f>
        <v>0</v>
      </c>
      <c r="S92" cm="1">
        <f t="array" ref="S92">SUMPRODUCT((DATOS!$G$2:$G$20000=CONFIG_METADATA!$B$4)*(DATOS!$D$2:$D$20000=A92)*((DATOS!$I$2:$I$20000="Lenguaje Musical")+(DATOS!$I$2:$I$20000="Coro")+(DATOS!$I$2:$I$20000="Conjunto"))*(DATOS!$K$2:$K$20000=8))</f>
        <v>0</v>
      </c>
      <c r="T92" cm="1">
        <f t="array" ref="T92">SUMPRODUCT((DATOS!$G$2:$G$20000=CONFIG_METADATA!$B$4)*(DATOS!$D$2:$D$20000=A92)*((DATOS!$I$2:$I$20000="Lenguaje Musical")+(DATOS!$I$2:$I$20000="Coro")+(DATOS!$I$2:$I$20000="Conjunto"))*(DATOS!$K$2:$K$20000=9))</f>
        <v>0</v>
      </c>
      <c r="U92" cm="1">
        <f t="array" ref="U92">SUMPRODUCT((DATOS!$G$2:$G$20000=CONFIG_METADATA!$B$4)*(DATOS!$D$2:$D$20000=A92)*((DATOS!$I$2:$I$20000="Lenguaje Musical")+(DATOS!$I$2:$I$20000="Coro")+(DATOS!$I$2:$I$20000="Conjunto"))*(DATOS!$K$2:$K$20000=10))</f>
        <v>0</v>
      </c>
    </row>
    <row r="93" spans="1:22" ht="15" customHeight="1" x14ac:dyDescent="0.2">
      <c r="A93" t="s">
        <v>26</v>
      </c>
      <c r="B93" t="s">
        <v>10</v>
      </c>
      <c r="C93" t="s">
        <v>2</v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 ht="15" customHeight="1" x14ac:dyDescent="0.2">
      <c r="A94" t="s">
        <v>26</v>
      </c>
      <c r="B94" t="s">
        <v>16</v>
      </c>
      <c r="C94" t="s">
        <v>2</v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 ht="15" customHeight="1" x14ac:dyDescent="0.2">
      <c r="A95" t="s">
        <v>26</v>
      </c>
      <c r="B95" t="s">
        <v>21</v>
      </c>
      <c r="C95" t="s">
        <v>2</v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 ht="15" customHeight="1" x14ac:dyDescent="0.2">
      <c r="A96" t="s">
        <v>26</v>
      </c>
      <c r="B96" t="s">
        <v>24</v>
      </c>
      <c r="C96" t="s">
        <v>20</v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 ht="15" customHeight="1" x14ac:dyDescent="0.2">
      <c r="A97" t="s">
        <v>26</v>
      </c>
      <c r="B97" t="s">
        <v>27</v>
      </c>
      <c r="C97" t="s">
        <v>20</v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 ht="15" customHeight="1" x14ac:dyDescent="0.2">
      <c r="A98" t="s">
        <v>26</v>
      </c>
      <c r="B98" t="s">
        <v>29</v>
      </c>
      <c r="C98" t="s">
        <v>20</v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 ht="15" customHeight="1" x14ac:dyDescent="0.2">
      <c r="A99" t="s">
        <v>26</v>
      </c>
      <c r="B99" t="s">
        <v>30</v>
      </c>
      <c r="C99" t="s">
        <v>20</v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 ht="15" customHeight="1" x14ac:dyDescent="0.2">
      <c r="A100" t="s">
        <v>26</v>
      </c>
      <c r="B100" t="s">
        <v>32</v>
      </c>
      <c r="C100" t="s">
        <v>20</v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 ht="15" customHeight="1" x14ac:dyDescent="0.2">
      <c r="A101" t="s">
        <v>26</v>
      </c>
      <c r="B101" t="s">
        <v>34</v>
      </c>
      <c r="C101" t="s">
        <v>20</v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 ht="15" customHeight="1" x14ac:dyDescent="0.2">
      <c r="A102" t="s">
        <v>26</v>
      </c>
      <c r="B102" t="s">
        <v>35</v>
      </c>
      <c r="C102" t="s">
        <v>20</v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 ht="15" customHeight="1" x14ac:dyDescent="0.2">
      <c r="A103" t="s">
        <v>26</v>
      </c>
      <c r="B103" t="s">
        <v>36</v>
      </c>
      <c r="C103" t="s">
        <v>20</v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 ht="15" customHeight="1" x14ac:dyDescent="0.2">
      <c r="A104" t="s">
        <v>26</v>
      </c>
      <c r="B104" t="s">
        <v>37</v>
      </c>
      <c r="C104" t="s">
        <v>20</v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 ht="15" customHeight="1" x14ac:dyDescent="0.2">
      <c r="A105" t="s">
        <v>26</v>
      </c>
      <c r="B105" t="s">
        <v>38</v>
      </c>
      <c r="C105" t="s">
        <v>20</v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 ht="15" customHeight="1" x14ac:dyDescent="0.2">
      <c r="A106" t="s">
        <v>26</v>
      </c>
      <c r="B106" t="s">
        <v>39</v>
      </c>
      <c r="C106" t="s">
        <v>20</v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 ht="15" customHeight="1" x14ac:dyDescent="0.2">
      <c r="A107" t="s">
        <v>26</v>
      </c>
      <c r="B107" t="s">
        <v>40</v>
      </c>
      <c r="C107" t="s">
        <v>20</v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 ht="15" customHeight="1" x14ac:dyDescent="0.2">
      <c r="A108" t="s">
        <v>26</v>
      </c>
      <c r="B108" t="s">
        <v>41</v>
      </c>
      <c r="C108" t="s">
        <v>20</v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 ht="15" customHeight="1" x14ac:dyDescent="0.2">
      <c r="A109" t="s">
        <v>26</v>
      </c>
      <c r="B109" t="s">
        <v>42</v>
      </c>
      <c r="C109" t="s">
        <v>20</v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 ht="15" customHeight="1" x14ac:dyDescent="0.2">
      <c r="A110" t="s">
        <v>26</v>
      </c>
      <c r="B110" t="s">
        <v>43</v>
      </c>
      <c r="C110" t="s">
        <v>20</v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 ht="15" customHeight="1" x14ac:dyDescent="0.2">
      <c r="A111" t="s">
        <v>26</v>
      </c>
      <c r="B111" t="s">
        <v>44</v>
      </c>
      <c r="C111" t="s">
        <v>20</v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61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1" ht="15" customHeight="1" x14ac:dyDescent="0.2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1" ht="15" customHeight="1" x14ac:dyDescent="0.2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 Especialidad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1" ht="15" customHeight="1" x14ac:dyDescent="0.2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 no Especialidad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1" ht="15" customHeight="1" x14ac:dyDescent="0.2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Lenguaje Musical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1" ht="15" customHeight="1" x14ac:dyDescent="0.2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Coro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1" ht="15" customHeight="1" x14ac:dyDescent="0.2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Conjunto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1" ht="15" customHeight="1" x14ac:dyDescent="0.2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Arpa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1" ht="15" customHeight="1" x14ac:dyDescent="0.2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Clarinete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1" ht="15" customHeight="1" x14ac:dyDescent="0.2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Contrabajo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1" ht="15" customHeight="1" x14ac:dyDescent="0.2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Fagot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1" ht="15" customHeight="1" x14ac:dyDescent="0.2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Flauta Travesera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1" ht="15" customHeight="1" x14ac:dyDescent="0.2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Guitarra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1" ht="15" customHeight="1" x14ac:dyDescent="0.2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Oboe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1" ht="15" customHeight="1" x14ac:dyDescent="0.2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Percusión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1" ht="15" customHeight="1" x14ac:dyDescent="0.2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Piano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1" ht="15" customHeight="1" x14ac:dyDescent="0.2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Saxofón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1" ht="15" customHeight="1" x14ac:dyDescent="0.2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Trombón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1" ht="15" customHeight="1" x14ac:dyDescent="0.2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Trompa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1" ht="15" customHeight="1" x14ac:dyDescent="0.2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Trompeta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1" ht="15" customHeight="1" x14ac:dyDescent="0.2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Viola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1" ht="15" customHeight="1" x14ac:dyDescent="0.2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Violín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1" ht="15" customHeight="1" x14ac:dyDescent="0.2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Violoncello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1" ht="15" customHeight="1" x14ac:dyDescent="0.2">
      <c r="A31" t="str">
        <f>IF(CALC_EEM!A24="","",IF(CALC_EEM!A24="GLOBAL","GLOBAL",IF(CALC_EEM!C24="Total","CURSO_TOTAL",IF(CALC_EEM!C24="TotalEsp","CURSO_ESP",IF(CALC_EEM!C24="TotalNoEsp","CURSO_NOESP","CURSO_ASIG")))))</f>
        <v>CURSO_TOTAL</v>
      </c>
      <c r="B31" t="str">
        <f>IF(CALC_EEM!A24="","",CALC_EEM!A24)</f>
        <v>1EEM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1" ht="15" customHeight="1" x14ac:dyDescent="0.2">
      <c r="A32" t="str">
        <f>IF(CALC_EEM!A25="","",IF(CALC_EEM!A25="GLOBAL","GLOBAL",IF(CALC_EEM!C25="Total","CURSO_TOTAL",IF(CALC_EEM!C25="TotalEsp","CURSO_ESP",IF(CALC_EEM!C25="TotalNoEsp","CURSO_NOESP","CURSO_ASIG")))))</f>
        <v>CURSO_ESP</v>
      </c>
      <c r="B32" t="str">
        <f>IF(CALC_EEM!A25="","",CALC_EEM!A25)</f>
        <v>1EEM</v>
      </c>
      <c r="C32" t="str">
        <f>IF(CALC_EEM!B25="","",CALC_EEM!B25)</f>
        <v>Total Especialidad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1" ht="15" customHeight="1" x14ac:dyDescent="0.2">
      <c r="A33" t="str">
        <f>IF(CALC_EEM!A26="","",IF(CALC_EEM!A26="GLOBAL","GLOBAL",IF(CALC_EEM!C26="Total","CURSO_TOTAL",IF(CALC_EEM!C26="TotalEsp","CURSO_ESP",IF(CALC_EEM!C26="TotalNoEsp","CURSO_NOESP","CURSO_ASIG")))))</f>
        <v>CURSO_NOESP</v>
      </c>
      <c r="B33" t="str">
        <f>IF(CALC_EEM!A26="","",CALC_EEM!A26)</f>
        <v>1EEM</v>
      </c>
      <c r="C33" t="str">
        <f>IF(CALC_EEM!B26="","",CALC_EEM!B26)</f>
        <v>Total no Especialidad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1" ht="15" customHeight="1" x14ac:dyDescent="0.2">
      <c r="A34" t="str">
        <f>IF(CALC_EEM!A27="","",IF(CALC_EEM!A27="GLOBAL","GLOBAL",IF(CALC_EEM!C27="Total","CURSO_TOTAL",IF(CALC_EEM!C27="TotalEsp","CURSO_ESP",IF(CALC_EEM!C27="TotalNoEsp","CURSO_NOESP","CURSO_ASIG")))))</f>
        <v>CURSO_ASIG</v>
      </c>
      <c r="B34" t="str">
        <f>IF(CALC_EEM!A27="","",CALC_EEM!A27)</f>
        <v>1EEM</v>
      </c>
      <c r="C34" t="str">
        <f>IF(CALC_EEM!B27="","",CALC_EEM!B27)</f>
        <v>Lenguaje Musical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1" ht="15" customHeight="1" x14ac:dyDescent="0.2">
      <c r="A35" t="str">
        <f>IF(CALC_EEM!A28="","",IF(CALC_EEM!A28="GLOBAL","GLOBAL",IF(CALC_EEM!C28="Total","CURSO_TOTAL",IF(CALC_EEM!C28="TotalEsp","CURSO_ESP",IF(CALC_EEM!C28="TotalNoEsp","CURSO_NOESP","CURSO_ASIG")))))</f>
        <v>CURSO_ASIG</v>
      </c>
      <c r="B35" t="str">
        <f>IF(CALC_EEM!A28="","",CALC_EEM!A28)</f>
        <v>1EEM</v>
      </c>
      <c r="C35" t="str">
        <f>IF(CALC_EEM!B28="","",CALC_EEM!B28)</f>
        <v>Coro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1" ht="15" customHeight="1" x14ac:dyDescent="0.2">
      <c r="A36" t="str">
        <f>IF(CALC_EEM!A29="","",IF(CALC_EEM!A29="GLOBAL","GLOBAL",IF(CALC_EEM!C29="Total","CURSO_TOTAL",IF(CALC_EEM!C29="TotalEsp","CURSO_ESP",IF(CALC_EEM!C29="TotalNoEsp","CURSO_NOESP","CURSO_ASIG")))))</f>
        <v>CURSO_ASIG</v>
      </c>
      <c r="B36" t="str">
        <f>IF(CALC_EEM!A29="","",CALC_EEM!A29)</f>
        <v>1EEM</v>
      </c>
      <c r="C36" t="str">
        <f>IF(CALC_EEM!B29="","",CALC_EEM!B29)</f>
        <v>Conjunto</v>
      </c>
      <c r="D36" t="str">
        <f>IF(CALC_EEM!D29="","",CALC_EEM!D29)</f>
        <v/>
      </c>
      <c r="E36" s="14" t="str">
        <f>IF(CALC_EEM!E29="","",CALC_EEM!E29)</f>
        <v/>
      </c>
      <c r="F36" s="14" t="str">
        <f>IF(CALC_EEM!F29="","",CALC_EEM!F29)</f>
        <v/>
      </c>
      <c r="G36" t="str">
        <f>IF(CALC_EEM!G29="","",CALC_EEM!G29)</f>
        <v/>
      </c>
      <c r="H36" s="16" t="str">
        <f>IF(CALC_EEM!H29="","",CALC_EEM!H29)</f>
        <v/>
      </c>
      <c r="I36" s="16" t="str">
        <f>IF(CALC_EEM!I29="","",CALC_EEM!I29)</f>
        <v/>
      </c>
      <c r="J36" t="str">
        <f>IF(CALC_EEM!J29="","",CALC_EEM!J29)</f>
        <v/>
      </c>
      <c r="K36" t="str">
        <f>IF(CALC_EEM!K29="","",CALC_EEM!K29)</f>
        <v/>
      </c>
      <c r="L36" t="str">
        <f>IF(CALC_EEM!L29="","",CALC_EEM!L29)</f>
        <v/>
      </c>
      <c r="M36" t="str">
        <f>IF(CALC_EEM!M29="","",CALC_EEM!M29)</f>
        <v/>
      </c>
      <c r="N36" t="str">
        <f>IF(CALC_EEM!N29="","",CALC_EEM!N29)</f>
        <v/>
      </c>
      <c r="O36" t="str">
        <f>IF(CALC_EEM!O29="","",CALC_EEM!O29)</f>
        <v/>
      </c>
      <c r="P36" t="str">
        <f>IF(CALC_EEM!P29="","",CALC_EEM!P29)</f>
        <v/>
      </c>
      <c r="Q36" t="str">
        <f>IF(CALC_EEM!Q29="","",CALC_EEM!Q29)</f>
        <v/>
      </c>
      <c r="R36" t="str">
        <f>IF(CALC_EEM!R29="","",CALC_EEM!R29)</f>
        <v/>
      </c>
      <c r="S36" t="str">
        <f>IF(CALC_EEM!S29="","",CALC_EEM!S29)</f>
        <v/>
      </c>
      <c r="T36" t="str">
        <f>IF(CALC_EEM!T29="","",CALC_EEM!T29)</f>
        <v/>
      </c>
      <c r="U36" t="str">
        <f>IF(CALC_EEM!U29="","",CALC_EEM!U29)</f>
        <v/>
      </c>
    </row>
    <row r="37" spans="1:21" ht="15" customHeight="1" x14ac:dyDescent="0.2">
      <c r="A37" t="str">
        <f>IF(CALC_EEM!A30="","",IF(CALC_EEM!A30="GLOBAL","GLOBAL",IF(CALC_EEM!C30="Total","CURSO_TOTAL",IF(CALC_EEM!C30="TotalEsp","CURSO_ESP",IF(CALC_EEM!C30="TotalNoEsp","CURSO_NOESP","CURSO_ASIG")))))</f>
        <v>CURSO_ASIG</v>
      </c>
      <c r="B37" t="str">
        <f>IF(CALC_EEM!A30="","",CALC_EEM!A30)</f>
        <v>1EEM</v>
      </c>
      <c r="C37" t="str">
        <f>IF(CALC_EEM!B30="","",CALC_EEM!B30)</f>
        <v>Arpa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1" ht="15" customHeight="1" x14ac:dyDescent="0.2">
      <c r="A38" t="str">
        <f>IF(CALC_EEM!A31="","",IF(CALC_EEM!A31="GLOBAL","GLOBAL",IF(CALC_EEM!C31="Total","CURSO_TOTAL",IF(CALC_EEM!C31="TotalEsp","CURSO_ESP",IF(CALC_EEM!C31="TotalNoEsp","CURSO_NOESP","CURSO_ASIG")))))</f>
        <v>CURSO_ASIG</v>
      </c>
      <c r="B38" t="str">
        <f>IF(CALC_EEM!A31="","",CALC_EEM!A31)</f>
        <v>1EEM</v>
      </c>
      <c r="C38" t="str">
        <f>IF(CALC_EEM!B31="","",CALC_EEM!B31)</f>
        <v>Clarinete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1" ht="15" customHeight="1" x14ac:dyDescent="0.2">
      <c r="A39" t="str">
        <f>IF(CALC_EEM!A32="","",IF(CALC_EEM!A32="GLOBAL","GLOBAL",IF(CALC_EEM!C32="Total","CURSO_TOTAL",IF(CALC_EEM!C32="TotalEsp","CURSO_ESP",IF(CALC_EEM!C32="TotalNoEsp","CURSO_NOESP","CURSO_ASIG")))))</f>
        <v>CURSO_ASIG</v>
      </c>
      <c r="B39" t="str">
        <f>IF(CALC_EEM!A32="","",CALC_EEM!A32)</f>
        <v>1EEM</v>
      </c>
      <c r="C39" t="str">
        <f>IF(CALC_EEM!B32="","",CALC_EEM!B32)</f>
        <v>Contrabajo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1" ht="15" customHeight="1" x14ac:dyDescent="0.2">
      <c r="A40" t="str">
        <f>IF(CALC_EEM!A33="","",IF(CALC_EEM!A33="GLOBAL","GLOBAL",IF(CALC_EEM!C33="Total","CURSO_TOTAL",IF(CALC_EEM!C33="TotalEsp","CURSO_ESP",IF(CALC_EEM!C33="TotalNoEsp","CURSO_NOESP","CURSO_ASIG")))))</f>
        <v>CURSO_ASIG</v>
      </c>
      <c r="B40" t="str">
        <f>IF(CALC_EEM!A33="","",CALC_EEM!A33)</f>
        <v>1EEM</v>
      </c>
      <c r="C40" t="str">
        <f>IF(CALC_EEM!B33="","",CALC_EEM!B33)</f>
        <v>Fagot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1" ht="15" customHeight="1" x14ac:dyDescent="0.2">
      <c r="A41" t="str">
        <f>IF(CALC_EEM!A34="","",IF(CALC_EEM!A34="GLOBAL","GLOBAL",IF(CALC_EEM!C34="Total","CURSO_TOTAL",IF(CALC_EEM!C34="TotalEsp","CURSO_ESP",IF(CALC_EEM!C34="TotalNoEsp","CURSO_NOESP","CURSO_ASIG")))))</f>
        <v>CURSO_ASIG</v>
      </c>
      <c r="B41" t="str">
        <f>IF(CALC_EEM!A34="","",CALC_EEM!A34)</f>
        <v>1EEM</v>
      </c>
      <c r="C41" t="str">
        <f>IF(CALC_EEM!B34="","",CALC_EEM!B34)</f>
        <v>Flauta Travesera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1" ht="15" customHeight="1" x14ac:dyDescent="0.2">
      <c r="A42" t="str">
        <f>IF(CALC_EEM!A35="","",IF(CALC_EEM!A35="GLOBAL","GLOBAL",IF(CALC_EEM!C35="Total","CURSO_TOTAL",IF(CALC_EEM!C35="TotalEsp","CURSO_ESP",IF(CALC_EEM!C35="TotalNoEsp","CURSO_NOESP","CURSO_ASIG")))))</f>
        <v>CURSO_ASIG</v>
      </c>
      <c r="B42" t="str">
        <f>IF(CALC_EEM!A35="","",CALC_EEM!A35)</f>
        <v>1EEM</v>
      </c>
      <c r="C42" t="str">
        <f>IF(CALC_EEM!B35="","",CALC_EEM!B35)</f>
        <v>Guitarra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1" ht="15" customHeight="1" x14ac:dyDescent="0.2">
      <c r="A43" t="str">
        <f>IF(CALC_EEM!A36="","",IF(CALC_EEM!A36="GLOBAL","GLOBAL",IF(CALC_EEM!C36="Total","CURSO_TOTAL",IF(CALC_EEM!C36="TotalEsp","CURSO_ESP",IF(CALC_EEM!C36="TotalNoEsp","CURSO_NOESP","CURSO_ASIG")))))</f>
        <v>CURSO_ASIG</v>
      </c>
      <c r="B43" t="str">
        <f>IF(CALC_EEM!A36="","",CALC_EEM!A36)</f>
        <v>1EEM</v>
      </c>
      <c r="C43" t="str">
        <f>IF(CALC_EEM!B36="","",CALC_EEM!B36)</f>
        <v>Oboe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1" ht="15" customHeight="1" x14ac:dyDescent="0.2">
      <c r="A44" t="str">
        <f>IF(CALC_EEM!A37="","",IF(CALC_EEM!A37="GLOBAL","GLOBAL",IF(CALC_EEM!C37="Total","CURSO_TOTAL",IF(CALC_EEM!C37="TotalEsp","CURSO_ESP",IF(CALC_EEM!C37="TotalNoEsp","CURSO_NOESP","CURSO_ASIG")))))</f>
        <v>CURSO_ASIG</v>
      </c>
      <c r="B44" t="str">
        <f>IF(CALC_EEM!A37="","",CALC_EEM!A37)</f>
        <v>1EEM</v>
      </c>
      <c r="C44" t="str">
        <f>IF(CALC_EEM!B37="","",CALC_EEM!B37)</f>
        <v>Percusión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1" ht="15" customHeight="1" x14ac:dyDescent="0.2">
      <c r="A45" t="str">
        <f>IF(CALC_EEM!A38="","",IF(CALC_EEM!A38="GLOBAL","GLOBAL",IF(CALC_EEM!C38="Total","CURSO_TOTAL",IF(CALC_EEM!C38="TotalEsp","CURSO_ESP",IF(CALC_EEM!C38="TotalNoEsp","CURSO_NOESP","CURSO_ASIG")))))</f>
        <v>CURSO_ASIG</v>
      </c>
      <c r="B45" t="str">
        <f>IF(CALC_EEM!A38="","",CALC_EEM!A38)</f>
        <v>1EEM</v>
      </c>
      <c r="C45" t="str">
        <f>IF(CALC_EEM!B38="","",CALC_EEM!B38)</f>
        <v>Piano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1" ht="15" customHeight="1" x14ac:dyDescent="0.2">
      <c r="A46" t="str">
        <f>IF(CALC_EEM!A39="","",IF(CALC_EEM!A39="GLOBAL","GLOBAL",IF(CALC_EEM!C39="Total","CURSO_TOTAL",IF(CALC_EEM!C39="TotalEsp","CURSO_ESP",IF(CALC_EEM!C39="TotalNoEsp","CURSO_NOESP","CURSO_ASIG")))))</f>
        <v>CURSO_ASIG</v>
      </c>
      <c r="B46" t="str">
        <f>IF(CALC_EEM!A39="","",CALC_EEM!A39)</f>
        <v>1EEM</v>
      </c>
      <c r="C46" t="str">
        <f>IF(CALC_EEM!B39="","",CALC_EEM!B39)</f>
        <v>Saxofón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1" ht="15" customHeight="1" x14ac:dyDescent="0.2">
      <c r="A47" t="str">
        <f>IF(CALC_EEM!A40="","",IF(CALC_EEM!A40="GLOBAL","GLOBAL",IF(CALC_EEM!C40="Total","CURSO_TOTAL",IF(CALC_EEM!C40="TotalEsp","CURSO_ESP",IF(CALC_EEM!C40="TotalNoEsp","CURSO_NOESP","CURSO_ASIG")))))</f>
        <v>CURSO_ASIG</v>
      </c>
      <c r="B47" t="str">
        <f>IF(CALC_EEM!A40="","",CALC_EEM!A40)</f>
        <v>1EEM</v>
      </c>
      <c r="C47" t="str">
        <f>IF(CALC_EEM!B40="","",CALC_EEM!B40)</f>
        <v>Trombón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1" ht="15" customHeight="1" x14ac:dyDescent="0.2">
      <c r="A48" t="str">
        <f>IF(CALC_EEM!A41="","",IF(CALC_EEM!A41="GLOBAL","GLOBAL",IF(CALC_EEM!C41="Total","CURSO_TOTAL",IF(CALC_EEM!C41="TotalEsp","CURSO_ESP",IF(CALC_EEM!C41="TotalNoEsp","CURSO_NOESP","CURSO_ASIG")))))</f>
        <v>CURSO_ASIG</v>
      </c>
      <c r="B48" t="str">
        <f>IF(CALC_EEM!A41="","",CALC_EEM!A41)</f>
        <v>1EEM</v>
      </c>
      <c r="C48" t="str">
        <f>IF(CALC_EEM!B41="","",CALC_EEM!B41)</f>
        <v>Trompa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1" ht="15" customHeight="1" x14ac:dyDescent="0.2">
      <c r="A49" t="str">
        <f>IF(CALC_EEM!A42="","",IF(CALC_EEM!A42="GLOBAL","GLOBAL",IF(CALC_EEM!C42="Total","CURSO_TOTAL",IF(CALC_EEM!C42="TotalEsp","CURSO_ESP",IF(CALC_EEM!C42="TotalNoEsp","CURSO_NOESP","CURSO_ASIG")))))</f>
        <v>CURSO_ASIG</v>
      </c>
      <c r="B49" t="str">
        <f>IF(CALC_EEM!A42="","",CALC_EEM!A42)</f>
        <v>1EEM</v>
      </c>
      <c r="C49" t="str">
        <f>IF(CALC_EEM!B42="","",CALC_EEM!B42)</f>
        <v>Trompeta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1" ht="15" customHeight="1" x14ac:dyDescent="0.2">
      <c r="A50" t="str">
        <f>IF(CALC_EEM!A43="","",IF(CALC_EEM!A43="GLOBAL","GLOBAL",IF(CALC_EEM!C43="Total","CURSO_TOTAL",IF(CALC_EEM!C43="TotalEsp","CURSO_ESP",IF(CALC_EEM!C43="TotalNoEsp","CURSO_NOESP","CURSO_ASIG")))))</f>
        <v>CURSO_ASIG</v>
      </c>
      <c r="B50" t="str">
        <f>IF(CALC_EEM!A43="","",CALC_EEM!A43)</f>
        <v>1EEM</v>
      </c>
      <c r="C50" t="str">
        <f>IF(CALC_EEM!B43="","",CALC_EEM!B43)</f>
        <v>Viola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1" ht="15" customHeight="1" x14ac:dyDescent="0.2">
      <c r="A51" t="str">
        <f>IF(CALC_EEM!A44="","",IF(CALC_EEM!A44="GLOBAL","GLOBAL",IF(CALC_EEM!C44="Total","CURSO_TOTAL",IF(CALC_EEM!C44="TotalEsp","CURSO_ESP",IF(CALC_EEM!C44="TotalNoEsp","CURSO_NOESP","CURSO_ASIG")))))</f>
        <v>CURSO_ASIG</v>
      </c>
      <c r="B51" t="str">
        <f>IF(CALC_EEM!A44="","",CALC_EEM!A44)</f>
        <v>1EEM</v>
      </c>
      <c r="C51" t="str">
        <f>IF(CALC_EEM!B44="","",CALC_EEM!B44)</f>
        <v>Violín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1" ht="15" customHeight="1" x14ac:dyDescent="0.2">
      <c r="A52" t="str">
        <f>IF(CALC_EEM!A45="","",IF(CALC_EEM!A45="GLOBAL","GLOBAL",IF(CALC_EEM!C45="Total","CURSO_TOTAL",IF(CALC_EEM!C45="TotalEsp","CURSO_ESP",IF(CALC_EEM!C45="TotalNoEsp","CURSO_NOESP","CURSO_ASIG")))))</f>
        <v>CURSO_ASIG</v>
      </c>
      <c r="B52" t="str">
        <f>IF(CALC_EEM!A45="","",CALC_EEM!A45)</f>
        <v>1EEM</v>
      </c>
      <c r="C52" t="str">
        <f>IF(CALC_EEM!B45="","",CALC_EEM!B45)</f>
        <v>Violoncello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1" ht="15" customHeight="1" x14ac:dyDescent="0.2">
      <c r="A53" t="str">
        <f>IF(CALC_EEM!A46="","",IF(CALC_EEM!A46="GLOBAL","GLOBAL",IF(CALC_EEM!C46="Total","CURSO_TOTAL",IF(CALC_EEM!C46="TotalEsp","CURSO_ESP",IF(CALC_EEM!C46="TotalNoEsp","CURSO_NOESP","CURSO_ASIG")))))</f>
        <v>CURSO_TOTAL</v>
      </c>
      <c r="B53" t="str">
        <f>IF(CALC_EEM!A46="","",CALC_EEM!A46)</f>
        <v>2EEM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1" ht="15" customHeight="1" x14ac:dyDescent="0.2">
      <c r="A54" t="str">
        <f>IF(CALC_EEM!A47="","",IF(CALC_EEM!A47="GLOBAL","GLOBAL",IF(CALC_EEM!C47="Total","CURSO_TOTAL",IF(CALC_EEM!C47="TotalEsp","CURSO_ESP",IF(CALC_EEM!C47="TotalNoEsp","CURSO_NOESP","CURSO_ASIG")))))</f>
        <v>CURSO_ESP</v>
      </c>
      <c r="B54" t="str">
        <f>IF(CALC_EEM!A47="","",CALC_EEM!A47)</f>
        <v>2EEM</v>
      </c>
      <c r="C54" t="str">
        <f>IF(CALC_EEM!B47="","",CALC_EEM!B47)</f>
        <v>Total Especialidad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1" ht="15" customHeight="1" x14ac:dyDescent="0.2">
      <c r="A55" t="str">
        <f>IF(CALC_EEM!A48="","",IF(CALC_EEM!A48="GLOBAL","GLOBAL",IF(CALC_EEM!C48="Total","CURSO_TOTAL",IF(CALC_EEM!C48="TotalEsp","CURSO_ESP",IF(CALC_EEM!C48="TotalNoEsp","CURSO_NOESP","CURSO_ASIG")))))</f>
        <v>CURSO_NOESP</v>
      </c>
      <c r="B55" t="str">
        <f>IF(CALC_EEM!A48="","",CALC_EEM!A48)</f>
        <v>2EEM</v>
      </c>
      <c r="C55" t="str">
        <f>IF(CALC_EEM!B48="","",CALC_EEM!B48)</f>
        <v>Total no Especialidad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1" ht="15" customHeight="1" x14ac:dyDescent="0.2">
      <c r="A56" t="str">
        <f>IF(CALC_EEM!A49="","",IF(CALC_EEM!A49="GLOBAL","GLOBAL",IF(CALC_EEM!C49="Total","CURSO_TOTAL",IF(CALC_EEM!C49="TotalEsp","CURSO_ESP",IF(CALC_EEM!C49="TotalNoEsp","CURSO_NOESP","CURSO_ASIG")))))</f>
        <v>CURSO_ASIG</v>
      </c>
      <c r="B56" t="str">
        <f>IF(CALC_EEM!A49="","",CALC_EEM!A49)</f>
        <v>2EEM</v>
      </c>
      <c r="C56" t="str">
        <f>IF(CALC_EEM!B49="","",CALC_EEM!B49)</f>
        <v>Lenguaje Musical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1" ht="15" customHeight="1" x14ac:dyDescent="0.2">
      <c r="A57" t="str">
        <f>IF(CALC_EEM!A50="","",IF(CALC_EEM!A50="GLOBAL","GLOBAL",IF(CALC_EEM!C50="Total","CURSO_TOTAL",IF(CALC_EEM!C50="TotalEsp","CURSO_ESP",IF(CALC_EEM!C50="TotalNoEsp","CURSO_NOESP","CURSO_ASIG")))))</f>
        <v>CURSO_ASIG</v>
      </c>
      <c r="B57" t="str">
        <f>IF(CALC_EEM!A50="","",CALC_EEM!A50)</f>
        <v>2EEM</v>
      </c>
      <c r="C57" t="str">
        <f>IF(CALC_EEM!B50="","",CALC_EEM!B50)</f>
        <v>Coro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1" ht="15" customHeight="1" x14ac:dyDescent="0.2">
      <c r="A58" t="str">
        <f>IF(CALC_EEM!A51="","",IF(CALC_EEM!A51="GLOBAL","GLOBAL",IF(CALC_EEM!C51="Total","CURSO_TOTAL",IF(CALC_EEM!C51="TotalEsp","CURSO_ESP",IF(CALC_EEM!C51="TotalNoEsp","CURSO_NOESP","CURSO_ASIG")))))</f>
        <v>CURSO_ASIG</v>
      </c>
      <c r="B58" t="str">
        <f>IF(CALC_EEM!A51="","",CALC_EEM!A51)</f>
        <v>2EEM</v>
      </c>
      <c r="C58" t="str">
        <f>IF(CALC_EEM!B51="","",CALC_EEM!B51)</f>
        <v>Conjunto</v>
      </c>
      <c r="D58" t="str">
        <f>IF(CALC_EEM!D51="","",CALC_EEM!D51)</f>
        <v/>
      </c>
      <c r="E58" s="14" t="str">
        <f>IF(CALC_EEM!E51="","",CALC_EEM!E51)</f>
        <v/>
      </c>
      <c r="F58" s="14" t="str">
        <f>IF(CALC_EEM!F51="","",CALC_EEM!F51)</f>
        <v/>
      </c>
      <c r="G58" t="str">
        <f>IF(CALC_EEM!G51="","",CALC_EEM!G51)</f>
        <v/>
      </c>
      <c r="H58" s="16" t="str">
        <f>IF(CALC_EEM!H51="","",CALC_EEM!H51)</f>
        <v/>
      </c>
      <c r="I58" s="16" t="str">
        <f>IF(CALC_EEM!I51="","",CALC_EEM!I51)</f>
        <v/>
      </c>
      <c r="J58" t="str">
        <f>IF(CALC_EEM!J51="","",CALC_EEM!J51)</f>
        <v/>
      </c>
      <c r="K58" t="str">
        <f>IF(CALC_EEM!K51="","",CALC_EEM!K51)</f>
        <v/>
      </c>
      <c r="L58" t="str">
        <f>IF(CALC_EEM!L51="","",CALC_EEM!L51)</f>
        <v/>
      </c>
      <c r="M58" t="str">
        <f>IF(CALC_EEM!M51="","",CALC_EEM!M51)</f>
        <v/>
      </c>
      <c r="N58" t="str">
        <f>IF(CALC_EEM!N51="","",CALC_EEM!N51)</f>
        <v/>
      </c>
      <c r="O58" t="str">
        <f>IF(CALC_EEM!O51="","",CALC_EEM!O51)</f>
        <v/>
      </c>
      <c r="P58" t="str">
        <f>IF(CALC_EEM!P51="","",CALC_EEM!P51)</f>
        <v/>
      </c>
      <c r="Q58" t="str">
        <f>IF(CALC_EEM!Q51="","",CALC_EEM!Q51)</f>
        <v/>
      </c>
      <c r="R58" t="str">
        <f>IF(CALC_EEM!R51="","",CALC_EEM!R51)</f>
        <v/>
      </c>
      <c r="S58" t="str">
        <f>IF(CALC_EEM!S51="","",CALC_EEM!S51)</f>
        <v/>
      </c>
      <c r="T58" t="str">
        <f>IF(CALC_EEM!T51="","",CALC_EEM!T51)</f>
        <v/>
      </c>
      <c r="U58" t="str">
        <f>IF(CALC_EEM!U51="","",CALC_EEM!U51)</f>
        <v/>
      </c>
    </row>
    <row r="59" spans="1:21" ht="15" customHeight="1" x14ac:dyDescent="0.2">
      <c r="A59" t="str">
        <f>IF(CALC_EEM!A52="","",IF(CALC_EEM!A52="GLOBAL","GLOBAL",IF(CALC_EEM!C52="Total","CURSO_TOTAL",IF(CALC_EEM!C52="TotalEsp","CURSO_ESP",IF(CALC_EEM!C52="TotalNoEsp","CURSO_NOESP","CURSO_ASIG")))))</f>
        <v>CURSO_ASIG</v>
      </c>
      <c r="B59" t="str">
        <f>IF(CALC_EEM!A52="","",CALC_EEM!A52)</f>
        <v>2EEM</v>
      </c>
      <c r="C59" t="str">
        <f>IF(CALC_EEM!B52="","",CALC_EEM!B52)</f>
        <v>Arpa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1" ht="15" customHeight="1" x14ac:dyDescent="0.2">
      <c r="A60" t="str">
        <f>IF(CALC_EEM!A53="","",IF(CALC_EEM!A53="GLOBAL","GLOBAL",IF(CALC_EEM!C53="Total","CURSO_TOTAL",IF(CALC_EEM!C53="TotalEsp","CURSO_ESP",IF(CALC_EEM!C53="TotalNoEsp","CURSO_NOESP","CURSO_ASIG")))))</f>
        <v>CURSO_ASIG</v>
      </c>
      <c r="B60" t="str">
        <f>IF(CALC_EEM!A53="","",CALC_EEM!A53)</f>
        <v>2EEM</v>
      </c>
      <c r="C60" t="str">
        <f>IF(CALC_EEM!B53="","",CALC_EEM!B53)</f>
        <v>Clarinete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1" ht="15" customHeight="1" x14ac:dyDescent="0.2">
      <c r="A61" t="str">
        <f>IF(CALC_EEM!A54="","",IF(CALC_EEM!A54="GLOBAL","GLOBAL",IF(CALC_EEM!C54="Total","CURSO_TOTAL",IF(CALC_EEM!C54="TotalEsp","CURSO_ESP",IF(CALC_EEM!C54="TotalNoEsp","CURSO_NOESP","CURSO_ASIG")))))</f>
        <v>CURSO_ASIG</v>
      </c>
      <c r="B61" t="str">
        <f>IF(CALC_EEM!A54="","",CALC_EEM!A54)</f>
        <v>2EEM</v>
      </c>
      <c r="C61" t="str">
        <f>IF(CALC_EEM!B54="","",CALC_EEM!B54)</f>
        <v>Contrabajo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1" ht="15" customHeight="1" x14ac:dyDescent="0.2">
      <c r="A62" t="str">
        <f>IF(CALC_EEM!A55="","",IF(CALC_EEM!A55="GLOBAL","GLOBAL",IF(CALC_EEM!C55="Total","CURSO_TOTAL",IF(CALC_EEM!C55="TotalEsp","CURSO_ESP",IF(CALC_EEM!C55="TotalNoEsp","CURSO_NOESP","CURSO_ASIG")))))</f>
        <v>CURSO_ASIG</v>
      </c>
      <c r="B62" t="str">
        <f>IF(CALC_EEM!A55="","",CALC_EEM!A55)</f>
        <v>2EEM</v>
      </c>
      <c r="C62" t="str">
        <f>IF(CALC_EEM!B55="","",CALC_EEM!B55)</f>
        <v>Fagot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1" ht="15" customHeight="1" x14ac:dyDescent="0.2">
      <c r="A63" t="str">
        <f>IF(CALC_EEM!A56="","",IF(CALC_EEM!A56="GLOBAL","GLOBAL",IF(CALC_EEM!C56="Total","CURSO_TOTAL",IF(CALC_EEM!C56="TotalEsp","CURSO_ESP",IF(CALC_EEM!C56="TotalNoEsp","CURSO_NOESP","CURSO_ASIG")))))</f>
        <v>CURSO_ASIG</v>
      </c>
      <c r="B63" t="str">
        <f>IF(CALC_EEM!A56="","",CALC_EEM!A56)</f>
        <v>2EEM</v>
      </c>
      <c r="C63" t="str">
        <f>IF(CALC_EEM!B56="","",CALC_EEM!B56)</f>
        <v>Flauta Travesera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1" ht="15" customHeight="1" x14ac:dyDescent="0.2">
      <c r="A64" t="str">
        <f>IF(CALC_EEM!A57="","",IF(CALC_EEM!A57="GLOBAL","GLOBAL",IF(CALC_EEM!C57="Total","CURSO_TOTAL",IF(CALC_EEM!C57="TotalEsp","CURSO_ESP",IF(CALC_EEM!C57="TotalNoEsp","CURSO_NOESP","CURSO_ASIG")))))</f>
        <v>CURSO_ASIG</v>
      </c>
      <c r="B64" t="str">
        <f>IF(CALC_EEM!A57="","",CALC_EEM!A57)</f>
        <v>2EEM</v>
      </c>
      <c r="C64" t="str">
        <f>IF(CALC_EEM!B57="","",CALC_EEM!B57)</f>
        <v>Guitarra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1" ht="15" customHeight="1" x14ac:dyDescent="0.2">
      <c r="A65" t="str">
        <f>IF(CALC_EEM!A58="","",IF(CALC_EEM!A58="GLOBAL","GLOBAL",IF(CALC_EEM!C58="Total","CURSO_TOTAL",IF(CALC_EEM!C58="TotalEsp","CURSO_ESP",IF(CALC_EEM!C58="TotalNoEsp","CURSO_NOESP","CURSO_ASIG")))))</f>
        <v>CURSO_ASIG</v>
      </c>
      <c r="B65" t="str">
        <f>IF(CALC_EEM!A58="","",CALC_EEM!A58)</f>
        <v>2EEM</v>
      </c>
      <c r="C65" t="str">
        <f>IF(CALC_EEM!B58="","",CALC_EEM!B58)</f>
        <v>Oboe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1" ht="15" customHeight="1" x14ac:dyDescent="0.2">
      <c r="A66" t="str">
        <f>IF(CALC_EEM!A59="","",IF(CALC_EEM!A59="GLOBAL","GLOBAL",IF(CALC_EEM!C59="Total","CURSO_TOTAL",IF(CALC_EEM!C59="TotalEsp","CURSO_ESP",IF(CALC_EEM!C59="TotalNoEsp","CURSO_NOESP","CURSO_ASIG")))))</f>
        <v>CURSO_ASIG</v>
      </c>
      <c r="B66" t="str">
        <f>IF(CALC_EEM!A59="","",CALC_EEM!A59)</f>
        <v>2EEM</v>
      </c>
      <c r="C66" t="str">
        <f>IF(CALC_EEM!B59="","",CALC_EEM!B59)</f>
        <v>Percusión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1" ht="15" customHeight="1" x14ac:dyDescent="0.2">
      <c r="A67" t="str">
        <f>IF(CALC_EEM!A60="","",IF(CALC_EEM!A60="GLOBAL","GLOBAL",IF(CALC_EEM!C60="Total","CURSO_TOTAL",IF(CALC_EEM!C60="TotalEsp","CURSO_ESP",IF(CALC_EEM!C60="TotalNoEsp","CURSO_NOESP","CURSO_ASIG")))))</f>
        <v>CURSO_ASIG</v>
      </c>
      <c r="B67" t="str">
        <f>IF(CALC_EEM!A60="","",CALC_EEM!A60)</f>
        <v>2EEM</v>
      </c>
      <c r="C67" t="str">
        <f>IF(CALC_EEM!B60="","",CALC_EEM!B60)</f>
        <v>Piano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1" ht="15" customHeight="1" x14ac:dyDescent="0.2">
      <c r="A68" t="str">
        <f>IF(CALC_EEM!A61="","",IF(CALC_EEM!A61="GLOBAL","GLOBAL",IF(CALC_EEM!C61="Total","CURSO_TOTAL",IF(CALC_EEM!C61="TotalEsp","CURSO_ESP",IF(CALC_EEM!C61="TotalNoEsp","CURSO_NOESP","CURSO_ASIG")))))</f>
        <v>CURSO_ASIG</v>
      </c>
      <c r="B68" t="str">
        <f>IF(CALC_EEM!A61="","",CALC_EEM!A61)</f>
        <v>2EEM</v>
      </c>
      <c r="C68" t="str">
        <f>IF(CALC_EEM!B61="","",CALC_EEM!B61)</f>
        <v>Saxofón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1" ht="15" customHeight="1" x14ac:dyDescent="0.2">
      <c r="A69" t="str">
        <f>IF(CALC_EEM!A62="","",IF(CALC_EEM!A62="GLOBAL","GLOBAL",IF(CALC_EEM!C62="Total","CURSO_TOTAL",IF(CALC_EEM!C62="TotalEsp","CURSO_ESP",IF(CALC_EEM!C62="TotalNoEsp","CURSO_NOESP","CURSO_ASIG")))))</f>
        <v>CURSO_ASIG</v>
      </c>
      <c r="B69" t="str">
        <f>IF(CALC_EEM!A62="","",CALC_EEM!A62)</f>
        <v>2EEM</v>
      </c>
      <c r="C69" t="str">
        <f>IF(CALC_EEM!B62="","",CALC_EEM!B62)</f>
        <v>Trombón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1" ht="15" customHeight="1" x14ac:dyDescent="0.2">
      <c r="A70" t="str">
        <f>IF(CALC_EEM!A63="","",IF(CALC_EEM!A63="GLOBAL","GLOBAL",IF(CALC_EEM!C63="Total","CURSO_TOTAL",IF(CALC_EEM!C63="TotalEsp","CURSO_ESP",IF(CALC_EEM!C63="TotalNoEsp","CURSO_NOESP","CURSO_ASIG")))))</f>
        <v>CURSO_ASIG</v>
      </c>
      <c r="B70" t="str">
        <f>IF(CALC_EEM!A63="","",CALC_EEM!A63)</f>
        <v>2EEM</v>
      </c>
      <c r="C70" t="str">
        <f>IF(CALC_EEM!B63="","",CALC_EEM!B63)</f>
        <v>Trompa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1" ht="15" customHeight="1" x14ac:dyDescent="0.2">
      <c r="A71" t="str">
        <f>IF(CALC_EEM!A64="","",IF(CALC_EEM!A64="GLOBAL","GLOBAL",IF(CALC_EEM!C64="Total","CURSO_TOTAL",IF(CALC_EEM!C64="TotalEsp","CURSO_ESP",IF(CALC_EEM!C64="TotalNoEsp","CURSO_NOESP","CURSO_ASIG")))))</f>
        <v>CURSO_ASIG</v>
      </c>
      <c r="B71" t="str">
        <f>IF(CALC_EEM!A64="","",CALC_EEM!A64)</f>
        <v>2EEM</v>
      </c>
      <c r="C71" t="str">
        <f>IF(CALC_EEM!B64="","",CALC_EEM!B64)</f>
        <v>Trompeta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1" ht="15" customHeight="1" x14ac:dyDescent="0.2">
      <c r="A72" t="str">
        <f>IF(CALC_EEM!A65="","",IF(CALC_EEM!A65="GLOBAL","GLOBAL",IF(CALC_EEM!C65="Total","CURSO_TOTAL",IF(CALC_EEM!C65="TotalEsp","CURSO_ESP",IF(CALC_EEM!C65="TotalNoEsp","CURSO_NOESP","CURSO_ASIG")))))</f>
        <v>CURSO_ASIG</v>
      </c>
      <c r="B72" t="str">
        <f>IF(CALC_EEM!A65="","",CALC_EEM!A65)</f>
        <v>2EEM</v>
      </c>
      <c r="C72" t="str">
        <f>IF(CALC_EEM!B65="","",CALC_EEM!B65)</f>
        <v>Viola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1" ht="15" customHeight="1" x14ac:dyDescent="0.2">
      <c r="A73" t="str">
        <f>IF(CALC_EEM!A66="","",IF(CALC_EEM!A66="GLOBAL","GLOBAL",IF(CALC_EEM!C66="Total","CURSO_TOTAL",IF(CALC_EEM!C66="TotalEsp","CURSO_ESP",IF(CALC_EEM!C66="TotalNoEsp","CURSO_NOESP","CURSO_ASIG")))))</f>
        <v>CURSO_ASIG</v>
      </c>
      <c r="B73" t="str">
        <f>IF(CALC_EEM!A66="","",CALC_EEM!A66)</f>
        <v>2EEM</v>
      </c>
      <c r="C73" t="str">
        <f>IF(CALC_EEM!B66="","",CALC_EEM!B66)</f>
        <v>Violín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1" ht="15" customHeight="1" x14ac:dyDescent="0.2">
      <c r="A74" t="str">
        <f>IF(CALC_EEM!A67="","",IF(CALC_EEM!A67="GLOBAL","GLOBAL",IF(CALC_EEM!C67="Total","CURSO_TOTAL",IF(CALC_EEM!C67="TotalEsp","CURSO_ESP",IF(CALC_EEM!C67="TotalNoEsp","CURSO_NOESP","CURSO_ASIG")))))</f>
        <v>CURSO_ASIG</v>
      </c>
      <c r="B74" t="str">
        <f>IF(CALC_EEM!A67="","",CALC_EEM!A67)</f>
        <v>2EEM</v>
      </c>
      <c r="C74" t="str">
        <f>IF(CALC_EEM!B67="","",CALC_EEM!B67)</f>
        <v>Violoncello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1" ht="15" customHeight="1" x14ac:dyDescent="0.2">
      <c r="A75" t="str">
        <f>IF(CALC_EEM!A68="","",IF(CALC_EEM!A68="GLOBAL","GLOBAL",IF(CALC_EEM!C68="Total","CURSO_TOTAL",IF(CALC_EEM!C68="TotalEsp","CURSO_ESP",IF(CALC_EEM!C68="TotalNoEsp","CURSO_NOESP","CURSO_ASIG")))))</f>
        <v>CURSO_TOTAL</v>
      </c>
      <c r="B75" t="str">
        <f>IF(CALC_EEM!A68="","",CALC_EEM!A68)</f>
        <v>3EEM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1" ht="15" customHeight="1" x14ac:dyDescent="0.2">
      <c r="A76" t="str">
        <f>IF(CALC_EEM!A69="","",IF(CALC_EEM!A69="GLOBAL","GLOBAL",IF(CALC_EEM!C69="Total","CURSO_TOTAL",IF(CALC_EEM!C69="TotalEsp","CURSO_ESP",IF(CALC_EEM!C69="TotalNoEsp","CURSO_NOESP","CURSO_ASIG")))))</f>
        <v>CURSO_ESP</v>
      </c>
      <c r="B76" t="str">
        <f>IF(CALC_EEM!A69="","",CALC_EEM!A69)</f>
        <v>3EEM</v>
      </c>
      <c r="C76" t="str">
        <f>IF(CALC_EEM!B69="","",CALC_EEM!B69)</f>
        <v>Total Especialidad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1" ht="15" customHeight="1" x14ac:dyDescent="0.2">
      <c r="A77" t="str">
        <f>IF(CALC_EEM!A70="","",IF(CALC_EEM!A70="GLOBAL","GLOBAL",IF(CALC_EEM!C70="Total","CURSO_TOTAL",IF(CALC_EEM!C70="TotalEsp","CURSO_ESP",IF(CALC_EEM!C70="TotalNoEsp","CURSO_NOESP","CURSO_ASIG")))))</f>
        <v>CURSO_NOESP</v>
      </c>
      <c r="B77" t="str">
        <f>IF(CALC_EEM!A70="","",CALC_EEM!A70)</f>
        <v>3EEM</v>
      </c>
      <c r="C77" t="str">
        <f>IF(CALC_EEM!B70="","",CALC_EEM!B70)</f>
        <v>Total no Especialidad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1" ht="15" customHeight="1" x14ac:dyDescent="0.2">
      <c r="A78" t="str">
        <f>IF(CALC_EEM!A71="","",IF(CALC_EEM!A71="GLOBAL","GLOBAL",IF(CALC_EEM!C71="Total","CURSO_TOTAL",IF(CALC_EEM!C71="TotalEsp","CURSO_ESP",IF(CALC_EEM!C71="TotalNoEsp","CURSO_NOESP","CURSO_ASIG")))))</f>
        <v>CURSO_ASIG</v>
      </c>
      <c r="B78" t="str">
        <f>IF(CALC_EEM!A71="","",CALC_EEM!A71)</f>
        <v>3EEM</v>
      </c>
      <c r="C78" t="str">
        <f>IF(CALC_EEM!B71="","",CALC_EEM!B71)</f>
        <v>Lenguaje Musical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1" ht="15" customHeight="1" x14ac:dyDescent="0.2">
      <c r="A79" t="str">
        <f>IF(CALC_EEM!A72="","",IF(CALC_EEM!A72="GLOBAL","GLOBAL",IF(CALC_EEM!C72="Total","CURSO_TOTAL",IF(CALC_EEM!C72="TotalEsp","CURSO_ESP",IF(CALC_EEM!C72="TotalNoEsp","CURSO_NOESP","CURSO_ASIG")))))</f>
        <v>CURSO_ASIG</v>
      </c>
      <c r="B79" t="str">
        <f>IF(CALC_EEM!A72="","",CALC_EEM!A72)</f>
        <v>3EEM</v>
      </c>
      <c r="C79" t="str">
        <f>IF(CALC_EEM!B72="","",CALC_EEM!B72)</f>
        <v>Coro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1" ht="15" customHeight="1" x14ac:dyDescent="0.2">
      <c r="A80" t="str">
        <f>IF(CALC_EEM!A73="","",IF(CALC_EEM!A73="GLOBAL","GLOBAL",IF(CALC_EEM!C73="Total","CURSO_TOTAL",IF(CALC_EEM!C73="TotalEsp","CURSO_ESP",IF(CALC_EEM!C73="TotalNoEsp","CURSO_NOESP","CURSO_ASIG")))))</f>
        <v>CURSO_ASIG</v>
      </c>
      <c r="B80" t="str">
        <f>IF(CALC_EEM!A73="","",CALC_EEM!A73)</f>
        <v>3EEM</v>
      </c>
      <c r="C80" t="str">
        <f>IF(CALC_EEM!B73="","",CALC_EEM!B73)</f>
        <v>Conjunto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1" ht="15" customHeight="1" x14ac:dyDescent="0.2">
      <c r="A81" t="str">
        <f>IF(CALC_EEM!A74="","",IF(CALC_EEM!A74="GLOBAL","GLOBAL",IF(CALC_EEM!C74="Total","CURSO_TOTAL",IF(CALC_EEM!C74="TotalEsp","CURSO_ESP",IF(CALC_EEM!C74="TotalNoEsp","CURSO_NOESP","CURSO_ASIG")))))</f>
        <v>CURSO_ASIG</v>
      </c>
      <c r="B81" t="str">
        <f>IF(CALC_EEM!A74="","",CALC_EEM!A74)</f>
        <v>3EEM</v>
      </c>
      <c r="C81" t="str">
        <f>IF(CALC_EEM!B74="","",CALC_EEM!B74)</f>
        <v>Arpa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1" ht="15" customHeight="1" x14ac:dyDescent="0.2">
      <c r="A82" t="str">
        <f>IF(CALC_EEM!A75="","",IF(CALC_EEM!A75="GLOBAL","GLOBAL",IF(CALC_EEM!C75="Total","CURSO_TOTAL",IF(CALC_EEM!C75="TotalEsp","CURSO_ESP",IF(CALC_EEM!C75="TotalNoEsp","CURSO_NOESP","CURSO_ASIG")))))</f>
        <v>CURSO_ASIG</v>
      </c>
      <c r="B82" t="str">
        <f>IF(CALC_EEM!A75="","",CALC_EEM!A75)</f>
        <v>3EEM</v>
      </c>
      <c r="C82" t="str">
        <f>IF(CALC_EEM!B75="","",CALC_EEM!B75)</f>
        <v>Clarinete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1" ht="15" customHeight="1" x14ac:dyDescent="0.2">
      <c r="A83" t="str">
        <f>IF(CALC_EEM!A76="","",IF(CALC_EEM!A76="GLOBAL","GLOBAL",IF(CALC_EEM!C76="Total","CURSO_TOTAL",IF(CALC_EEM!C76="TotalEsp","CURSO_ESP",IF(CALC_EEM!C76="TotalNoEsp","CURSO_NOESP","CURSO_ASIG")))))</f>
        <v>CURSO_ASIG</v>
      </c>
      <c r="B83" t="str">
        <f>IF(CALC_EEM!A76="","",CALC_EEM!A76)</f>
        <v>3EEM</v>
      </c>
      <c r="C83" t="str">
        <f>IF(CALC_EEM!B76="","",CALC_EEM!B76)</f>
        <v>Contrabajo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1" ht="15" customHeight="1" x14ac:dyDescent="0.2">
      <c r="A84" t="str">
        <f>IF(CALC_EEM!A77="","",IF(CALC_EEM!A77="GLOBAL","GLOBAL",IF(CALC_EEM!C77="Total","CURSO_TOTAL",IF(CALC_EEM!C77="TotalEsp","CURSO_ESP",IF(CALC_EEM!C77="TotalNoEsp","CURSO_NOESP","CURSO_ASIG")))))</f>
        <v>CURSO_ASIG</v>
      </c>
      <c r="B84" t="str">
        <f>IF(CALC_EEM!A77="","",CALC_EEM!A77)</f>
        <v>3EEM</v>
      </c>
      <c r="C84" t="str">
        <f>IF(CALC_EEM!B77="","",CALC_EEM!B77)</f>
        <v>Fagot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1" ht="15" customHeight="1" x14ac:dyDescent="0.2">
      <c r="A85" t="str">
        <f>IF(CALC_EEM!A78="","",IF(CALC_EEM!A78="GLOBAL","GLOBAL",IF(CALC_EEM!C78="Total","CURSO_TOTAL",IF(CALC_EEM!C78="TotalEsp","CURSO_ESP",IF(CALC_EEM!C78="TotalNoEsp","CURSO_NOESP","CURSO_ASIG")))))</f>
        <v>CURSO_ASIG</v>
      </c>
      <c r="B85" t="str">
        <f>IF(CALC_EEM!A78="","",CALC_EEM!A78)</f>
        <v>3EEM</v>
      </c>
      <c r="C85" t="str">
        <f>IF(CALC_EEM!B78="","",CALC_EEM!B78)</f>
        <v>Flauta Travesera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1" ht="15" customHeight="1" x14ac:dyDescent="0.2">
      <c r="A86" t="str">
        <f>IF(CALC_EEM!A79="","",IF(CALC_EEM!A79="GLOBAL","GLOBAL",IF(CALC_EEM!C79="Total","CURSO_TOTAL",IF(CALC_EEM!C79="TotalEsp","CURSO_ESP",IF(CALC_EEM!C79="TotalNoEsp","CURSO_NOESP","CURSO_ASIG")))))</f>
        <v>CURSO_ASIG</v>
      </c>
      <c r="B86" t="str">
        <f>IF(CALC_EEM!A79="","",CALC_EEM!A79)</f>
        <v>3EEM</v>
      </c>
      <c r="C86" t="str">
        <f>IF(CALC_EEM!B79="","",CALC_EEM!B79)</f>
        <v>Guitarra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1" ht="15" customHeight="1" x14ac:dyDescent="0.2">
      <c r="A87" t="str">
        <f>IF(CALC_EEM!A80="","",IF(CALC_EEM!A80="GLOBAL","GLOBAL",IF(CALC_EEM!C80="Total","CURSO_TOTAL",IF(CALC_EEM!C80="TotalEsp","CURSO_ESP",IF(CALC_EEM!C80="TotalNoEsp","CURSO_NOESP","CURSO_ASIG")))))</f>
        <v>CURSO_ASIG</v>
      </c>
      <c r="B87" t="str">
        <f>IF(CALC_EEM!A80="","",CALC_EEM!A80)</f>
        <v>3EEM</v>
      </c>
      <c r="C87" t="str">
        <f>IF(CALC_EEM!B80="","",CALC_EEM!B80)</f>
        <v>Oboe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1" ht="15" customHeight="1" x14ac:dyDescent="0.2">
      <c r="A88" t="str">
        <f>IF(CALC_EEM!A81="","",IF(CALC_EEM!A81="GLOBAL","GLOBAL",IF(CALC_EEM!C81="Total","CURSO_TOTAL",IF(CALC_EEM!C81="TotalEsp","CURSO_ESP",IF(CALC_EEM!C81="TotalNoEsp","CURSO_NOESP","CURSO_ASIG")))))</f>
        <v>CURSO_ASIG</v>
      </c>
      <c r="B88" t="str">
        <f>IF(CALC_EEM!A81="","",CALC_EEM!A81)</f>
        <v>3EEM</v>
      </c>
      <c r="C88" t="str">
        <f>IF(CALC_EEM!B81="","",CALC_EEM!B81)</f>
        <v>Percusión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1" ht="15" customHeight="1" x14ac:dyDescent="0.2">
      <c r="A89" t="str">
        <f>IF(CALC_EEM!A82="","",IF(CALC_EEM!A82="GLOBAL","GLOBAL",IF(CALC_EEM!C82="Total","CURSO_TOTAL",IF(CALC_EEM!C82="TotalEsp","CURSO_ESP",IF(CALC_EEM!C82="TotalNoEsp","CURSO_NOESP","CURSO_ASIG")))))</f>
        <v>CURSO_ASIG</v>
      </c>
      <c r="B89" t="str">
        <f>IF(CALC_EEM!A82="","",CALC_EEM!A82)</f>
        <v>3EEM</v>
      </c>
      <c r="C89" t="str">
        <f>IF(CALC_EEM!B82="","",CALC_EEM!B82)</f>
        <v>Piano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1" ht="15" customHeight="1" x14ac:dyDescent="0.2">
      <c r="A90" t="str">
        <f>IF(CALC_EEM!A83="","",IF(CALC_EEM!A83="GLOBAL","GLOBAL",IF(CALC_EEM!C83="Total","CURSO_TOTAL",IF(CALC_EEM!C83="TotalEsp","CURSO_ESP",IF(CALC_EEM!C83="TotalNoEsp","CURSO_NOESP","CURSO_ASIG")))))</f>
        <v>CURSO_ASIG</v>
      </c>
      <c r="B90" t="str">
        <f>IF(CALC_EEM!A83="","",CALC_EEM!A83)</f>
        <v>3EEM</v>
      </c>
      <c r="C90" t="str">
        <f>IF(CALC_EEM!B83="","",CALC_EEM!B83)</f>
        <v>Saxofón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1" ht="15" customHeight="1" x14ac:dyDescent="0.2">
      <c r="A91" t="str">
        <f>IF(CALC_EEM!A84="","",IF(CALC_EEM!A84="GLOBAL","GLOBAL",IF(CALC_EEM!C84="Total","CURSO_TOTAL",IF(CALC_EEM!C84="TotalEsp","CURSO_ESP",IF(CALC_EEM!C84="TotalNoEsp","CURSO_NOESP","CURSO_ASIG")))))</f>
        <v>CURSO_ASIG</v>
      </c>
      <c r="B91" t="str">
        <f>IF(CALC_EEM!A84="","",CALC_EEM!A84)</f>
        <v>3EEM</v>
      </c>
      <c r="C91" t="str">
        <f>IF(CALC_EEM!B84="","",CALC_EEM!B84)</f>
        <v>Trombón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1" ht="15" customHeight="1" x14ac:dyDescent="0.2">
      <c r="A92" t="str">
        <f>IF(CALC_EEM!A85="","",IF(CALC_EEM!A85="GLOBAL","GLOBAL",IF(CALC_EEM!C85="Total","CURSO_TOTAL",IF(CALC_EEM!C85="TotalEsp","CURSO_ESP",IF(CALC_EEM!C85="TotalNoEsp","CURSO_NOESP","CURSO_ASIG")))))</f>
        <v>CURSO_ASIG</v>
      </c>
      <c r="B92" t="str">
        <f>IF(CALC_EEM!A85="","",CALC_EEM!A85)</f>
        <v>3EEM</v>
      </c>
      <c r="C92" t="str">
        <f>IF(CALC_EEM!B85="","",CALC_EEM!B85)</f>
        <v>Trompa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1" ht="15" customHeight="1" x14ac:dyDescent="0.2">
      <c r="A93" t="str">
        <f>IF(CALC_EEM!A86="","",IF(CALC_EEM!A86="GLOBAL","GLOBAL",IF(CALC_EEM!C86="Total","CURSO_TOTAL",IF(CALC_EEM!C86="TotalEsp","CURSO_ESP",IF(CALC_EEM!C86="TotalNoEsp","CURSO_NOESP","CURSO_ASIG")))))</f>
        <v>CURSO_ASIG</v>
      </c>
      <c r="B93" t="str">
        <f>IF(CALC_EEM!A86="","",CALC_EEM!A86)</f>
        <v>3EEM</v>
      </c>
      <c r="C93" t="str">
        <f>IF(CALC_EEM!B86="","",CALC_EEM!B86)</f>
        <v>Trompeta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1" ht="15" customHeight="1" x14ac:dyDescent="0.2">
      <c r="A94" t="str">
        <f>IF(CALC_EEM!A87="","",IF(CALC_EEM!A87="GLOBAL","GLOBAL",IF(CALC_EEM!C87="Total","CURSO_TOTAL",IF(CALC_EEM!C87="TotalEsp","CURSO_ESP",IF(CALC_EEM!C87="TotalNoEsp","CURSO_NOESP","CURSO_ASIG")))))</f>
        <v>CURSO_ASIG</v>
      </c>
      <c r="B94" t="str">
        <f>IF(CALC_EEM!A87="","",CALC_EEM!A87)</f>
        <v>3EEM</v>
      </c>
      <c r="C94" t="str">
        <f>IF(CALC_EEM!B87="","",CALC_EEM!B87)</f>
        <v>Viola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1" ht="15" customHeight="1" x14ac:dyDescent="0.2">
      <c r="A95" t="str">
        <f>IF(CALC_EEM!A88="","",IF(CALC_EEM!A88="GLOBAL","GLOBAL",IF(CALC_EEM!C88="Total","CURSO_TOTAL",IF(CALC_EEM!C88="TotalEsp","CURSO_ESP",IF(CALC_EEM!C88="TotalNoEsp","CURSO_NOESP","CURSO_ASIG")))))</f>
        <v>CURSO_ASIG</v>
      </c>
      <c r="B95" t="str">
        <f>IF(CALC_EEM!A88="","",CALC_EEM!A88)</f>
        <v>3EEM</v>
      </c>
      <c r="C95" t="str">
        <f>IF(CALC_EEM!B88="","",CALC_EEM!B88)</f>
        <v>Violín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1" ht="15" customHeight="1" x14ac:dyDescent="0.2">
      <c r="A96" t="str">
        <f>IF(CALC_EEM!A89="","",IF(CALC_EEM!A89="GLOBAL","GLOBAL",IF(CALC_EEM!C89="Total","CURSO_TOTAL",IF(CALC_EEM!C89="TotalEsp","CURSO_ESP",IF(CALC_EEM!C89="TotalNoEsp","CURSO_NOESP","CURSO_ASIG")))))</f>
        <v>CURSO_ASIG</v>
      </c>
      <c r="B96" t="str">
        <f>IF(CALC_EEM!A89="","",CALC_EEM!A89)</f>
        <v>3EEM</v>
      </c>
      <c r="C96" t="str">
        <f>IF(CALC_EEM!B89="","",CALC_EEM!B89)</f>
        <v>Violoncello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1" ht="15" customHeight="1" x14ac:dyDescent="0.2">
      <c r="A97" t="str">
        <f>IF(CALC_EEM!A90="","",IF(CALC_EEM!A90="GLOBAL","GLOBAL",IF(CALC_EEM!C90="Total","CURSO_TOTAL",IF(CALC_EEM!C90="TotalEsp","CURSO_ESP",IF(CALC_EEM!C90="TotalNoEsp","CURSO_NOESP","CURSO_ASIG")))))</f>
        <v>CURSO_TOTAL</v>
      </c>
      <c r="B97" t="str">
        <f>IF(CALC_EEM!A90="","",CALC_EEM!A90)</f>
        <v>4EEM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1" ht="15" customHeight="1" x14ac:dyDescent="0.2">
      <c r="A98" t="str">
        <f>IF(CALC_EEM!A91="","",IF(CALC_EEM!A91="GLOBAL","GLOBAL",IF(CALC_EEM!C91="Total","CURSO_TOTAL",IF(CALC_EEM!C91="TotalEsp","CURSO_ESP",IF(CALC_EEM!C91="TotalNoEsp","CURSO_NOESP","CURSO_ASIG")))))</f>
        <v>CURSO_ESP</v>
      </c>
      <c r="B98" t="str">
        <f>IF(CALC_EEM!A91="","",CALC_EEM!A91)</f>
        <v>4EEM</v>
      </c>
      <c r="C98" t="str">
        <f>IF(CALC_EEM!B91="","",CALC_EEM!B91)</f>
        <v>Total Especialidad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1" ht="15" customHeight="1" x14ac:dyDescent="0.2">
      <c r="A99" t="str">
        <f>IF(CALC_EEM!A92="","",IF(CALC_EEM!A92="GLOBAL","GLOBAL",IF(CALC_EEM!C92="Total","CURSO_TOTAL",IF(CALC_EEM!C92="TotalEsp","CURSO_ESP",IF(CALC_EEM!C92="TotalNoEsp","CURSO_NOESP","CURSO_ASIG")))))</f>
        <v>CURSO_NOESP</v>
      </c>
      <c r="B99" t="str">
        <f>IF(CALC_EEM!A92="","",CALC_EEM!A92)</f>
        <v>4EEM</v>
      </c>
      <c r="C99" t="str">
        <f>IF(CALC_EEM!B92="","",CALC_EEM!B92)</f>
        <v>Total no Especialidad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1" ht="15" customHeight="1" x14ac:dyDescent="0.2">
      <c r="A100" t="str">
        <f>IF(CALC_EEM!A93="","",IF(CALC_EEM!A93="GLOBAL","GLOBAL",IF(CALC_EEM!C93="Total","CURSO_TOTAL",IF(CALC_EEM!C93="TotalEsp","CURSO_ESP",IF(CALC_EEM!C93="TotalNoEsp","CURSO_NOESP","CURSO_ASIG")))))</f>
        <v>CURSO_ASIG</v>
      </c>
      <c r="B100" t="str">
        <f>IF(CALC_EEM!A93="","",CALC_EEM!A93)</f>
        <v>4EEM</v>
      </c>
      <c r="C100" t="str">
        <f>IF(CALC_EEM!B93="","",CALC_EEM!B93)</f>
        <v>Lenguaje Musical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1" ht="15" customHeight="1" x14ac:dyDescent="0.2">
      <c r="A101" t="str">
        <f>IF(CALC_EEM!A94="","",IF(CALC_EEM!A94="GLOBAL","GLOBAL",IF(CALC_EEM!C94="Total","CURSO_TOTAL",IF(CALC_EEM!C94="TotalEsp","CURSO_ESP",IF(CALC_EEM!C94="TotalNoEsp","CURSO_NOESP","CURSO_ASIG")))))</f>
        <v>CURSO_ASIG</v>
      </c>
      <c r="B101" t="str">
        <f>IF(CALC_EEM!A94="","",CALC_EEM!A94)</f>
        <v>4EEM</v>
      </c>
      <c r="C101" t="str">
        <f>IF(CALC_EEM!B94="","",CALC_EEM!B94)</f>
        <v>Coro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1" ht="15" customHeight="1" x14ac:dyDescent="0.2">
      <c r="A102" t="str">
        <f>IF(CALC_EEM!A95="","",IF(CALC_EEM!A95="GLOBAL","GLOBAL",IF(CALC_EEM!C95="Total","CURSO_TOTAL",IF(CALC_EEM!C95="TotalEsp","CURSO_ESP",IF(CALC_EEM!C95="TotalNoEsp","CURSO_NOESP","CURSO_ASIG")))))</f>
        <v>CURSO_ASIG</v>
      </c>
      <c r="B102" t="str">
        <f>IF(CALC_EEM!A95="","",CALC_EEM!A95)</f>
        <v>4EEM</v>
      </c>
      <c r="C102" t="str">
        <f>IF(CALC_EEM!B95="","",CALC_EEM!B95)</f>
        <v>Conjunto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1" ht="15" customHeight="1" x14ac:dyDescent="0.2">
      <c r="A103" t="str">
        <f>IF(CALC_EEM!A96="","",IF(CALC_EEM!A96="GLOBAL","GLOBAL",IF(CALC_EEM!C96="Total","CURSO_TOTAL",IF(CALC_EEM!C96="TotalEsp","CURSO_ESP",IF(CALC_EEM!C96="TotalNoEsp","CURSO_NOESP","CURSO_ASIG")))))</f>
        <v>CURSO_ASIG</v>
      </c>
      <c r="B103" t="str">
        <f>IF(CALC_EEM!A96="","",CALC_EEM!A96)</f>
        <v>4EEM</v>
      </c>
      <c r="C103" t="str">
        <f>IF(CALC_EEM!B96="","",CALC_EEM!B96)</f>
        <v>Arpa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1" ht="15" customHeight="1" x14ac:dyDescent="0.2">
      <c r="A104" t="str">
        <f>IF(CALC_EEM!A97="","",IF(CALC_EEM!A97="GLOBAL","GLOBAL",IF(CALC_EEM!C97="Total","CURSO_TOTAL",IF(CALC_EEM!C97="TotalEsp","CURSO_ESP",IF(CALC_EEM!C97="TotalNoEsp","CURSO_NOESP","CURSO_ASIG")))))</f>
        <v>CURSO_ASIG</v>
      </c>
      <c r="B104" t="str">
        <f>IF(CALC_EEM!A97="","",CALC_EEM!A97)</f>
        <v>4EEM</v>
      </c>
      <c r="C104" t="str">
        <f>IF(CALC_EEM!B97="","",CALC_EEM!B97)</f>
        <v>Clarinete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1" ht="15" customHeight="1" x14ac:dyDescent="0.2">
      <c r="A105" t="str">
        <f>IF(CALC_EEM!A98="","",IF(CALC_EEM!A98="GLOBAL","GLOBAL",IF(CALC_EEM!C98="Total","CURSO_TOTAL",IF(CALC_EEM!C98="TotalEsp","CURSO_ESP",IF(CALC_EEM!C98="TotalNoEsp","CURSO_NOESP","CURSO_ASIG")))))</f>
        <v>CURSO_ASIG</v>
      </c>
      <c r="B105" t="str">
        <f>IF(CALC_EEM!A98="","",CALC_EEM!A98)</f>
        <v>4EEM</v>
      </c>
      <c r="C105" t="str">
        <f>IF(CALC_EEM!B98="","",CALC_EEM!B98)</f>
        <v>Contrabajo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1" ht="15" customHeight="1" x14ac:dyDescent="0.2">
      <c r="A106" t="str">
        <f>IF(CALC_EEM!A99="","",IF(CALC_EEM!A99="GLOBAL","GLOBAL",IF(CALC_EEM!C99="Total","CURSO_TOTAL",IF(CALC_EEM!C99="TotalEsp","CURSO_ESP",IF(CALC_EEM!C99="TotalNoEsp","CURSO_NOESP","CURSO_ASIG")))))</f>
        <v>CURSO_ASIG</v>
      </c>
      <c r="B106" t="str">
        <f>IF(CALC_EEM!A99="","",CALC_EEM!A99)</f>
        <v>4EEM</v>
      </c>
      <c r="C106" t="str">
        <f>IF(CALC_EEM!B99="","",CALC_EEM!B99)</f>
        <v>Fagot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1" ht="15" customHeight="1" x14ac:dyDescent="0.2">
      <c r="A107" t="str">
        <f>IF(CALC_EEM!A100="","",IF(CALC_EEM!A100="GLOBAL","GLOBAL",IF(CALC_EEM!C100="Total","CURSO_TOTAL",IF(CALC_EEM!C100="TotalEsp","CURSO_ESP",IF(CALC_EEM!C100="TotalNoEsp","CURSO_NOESP","CURSO_ASIG")))))</f>
        <v>CURSO_ASIG</v>
      </c>
      <c r="B107" t="str">
        <f>IF(CALC_EEM!A100="","",CALC_EEM!A100)</f>
        <v>4EEM</v>
      </c>
      <c r="C107" t="str">
        <f>IF(CALC_EEM!B100="","",CALC_EEM!B100)</f>
        <v>Flauta Travesera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1" ht="15" customHeight="1" x14ac:dyDescent="0.2">
      <c r="A108" t="str">
        <f>IF(CALC_EEM!A101="","",IF(CALC_EEM!A101="GLOBAL","GLOBAL",IF(CALC_EEM!C101="Total","CURSO_TOTAL",IF(CALC_EEM!C101="TotalEsp","CURSO_ESP",IF(CALC_EEM!C101="TotalNoEsp","CURSO_NOESP","CURSO_ASIG")))))</f>
        <v>CURSO_ASIG</v>
      </c>
      <c r="B108" t="str">
        <f>IF(CALC_EEM!A101="","",CALC_EEM!A101)</f>
        <v>4EEM</v>
      </c>
      <c r="C108" t="str">
        <f>IF(CALC_EEM!B101="","",CALC_EEM!B101)</f>
        <v>Guitarra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1" ht="15" customHeight="1" x14ac:dyDescent="0.2">
      <c r="A109" t="str">
        <f>IF(CALC_EEM!A102="","",IF(CALC_EEM!A102="GLOBAL","GLOBAL",IF(CALC_EEM!C102="Total","CURSO_TOTAL",IF(CALC_EEM!C102="TotalEsp","CURSO_ESP",IF(CALC_EEM!C102="TotalNoEsp","CURSO_NOESP","CURSO_ASIG")))))</f>
        <v>CURSO_ASIG</v>
      </c>
      <c r="B109" t="str">
        <f>IF(CALC_EEM!A102="","",CALC_EEM!A102)</f>
        <v>4EEM</v>
      </c>
      <c r="C109" t="str">
        <f>IF(CALC_EEM!B102="","",CALC_EEM!B102)</f>
        <v>Oboe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1" ht="15" customHeight="1" x14ac:dyDescent="0.2">
      <c r="A110" t="str">
        <f>IF(CALC_EEM!A103="","",IF(CALC_EEM!A103="GLOBAL","GLOBAL",IF(CALC_EEM!C103="Total","CURSO_TOTAL",IF(CALC_EEM!C103="TotalEsp","CURSO_ESP",IF(CALC_EEM!C103="TotalNoEsp","CURSO_NOESP","CURSO_ASIG")))))</f>
        <v>CURSO_ASIG</v>
      </c>
      <c r="B110" t="str">
        <f>IF(CALC_EEM!A103="","",CALC_EEM!A103)</f>
        <v>4EEM</v>
      </c>
      <c r="C110" t="str">
        <f>IF(CALC_EEM!B103="","",CALC_EEM!B103)</f>
        <v>Percusión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1" ht="15" customHeight="1" x14ac:dyDescent="0.2">
      <c r="A111" t="str">
        <f>IF(CALC_EEM!A104="","",IF(CALC_EEM!A104="GLOBAL","GLOBAL",IF(CALC_EEM!C104="Total","CURSO_TOTAL",IF(CALC_EEM!C104="TotalEsp","CURSO_ESP",IF(CALC_EEM!C104="TotalNoEsp","CURSO_NOESP","CURSO_ASIG")))))</f>
        <v>CURSO_ASIG</v>
      </c>
      <c r="B111" t="str">
        <f>IF(CALC_EEM!A104="","",CALC_EEM!A104)</f>
        <v>4EEM</v>
      </c>
      <c r="C111" t="str">
        <f>IF(CALC_EEM!B104="","",CALC_EEM!B104)</f>
        <v>Piano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1" ht="15" customHeight="1" x14ac:dyDescent="0.2">
      <c r="A112" t="str">
        <f>IF(CALC_EEM!A105="","",IF(CALC_EEM!A105="GLOBAL","GLOBAL",IF(CALC_EEM!C105="Total","CURSO_TOTAL",IF(CALC_EEM!C105="TotalEsp","CURSO_ESP",IF(CALC_EEM!C105="TotalNoEsp","CURSO_NOESP","CURSO_ASIG")))))</f>
        <v>CURSO_ASIG</v>
      </c>
      <c r="B112" t="str">
        <f>IF(CALC_EEM!A105="","",CALC_EEM!A105)</f>
        <v>4EEM</v>
      </c>
      <c r="C112" t="str">
        <f>IF(CALC_EEM!B105="","",CALC_EEM!B105)</f>
        <v>Saxofón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1" ht="15" customHeight="1" x14ac:dyDescent="0.2">
      <c r="A113" t="str">
        <f>IF(CALC_EEM!A106="","",IF(CALC_EEM!A106="GLOBAL","GLOBAL",IF(CALC_EEM!C106="Total","CURSO_TOTAL",IF(CALC_EEM!C106="TotalEsp","CURSO_ESP",IF(CALC_EEM!C106="TotalNoEsp","CURSO_NOESP","CURSO_ASIG")))))</f>
        <v>CURSO_ASIG</v>
      </c>
      <c r="B113" t="str">
        <f>IF(CALC_EEM!A106="","",CALC_EEM!A106)</f>
        <v>4EEM</v>
      </c>
      <c r="C113" t="str">
        <f>IF(CALC_EEM!B106="","",CALC_EEM!B106)</f>
        <v>Trombón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1" ht="15" customHeight="1" x14ac:dyDescent="0.2">
      <c r="A114" t="str">
        <f>IF(CALC_EEM!A107="","",IF(CALC_EEM!A107="GLOBAL","GLOBAL",IF(CALC_EEM!C107="Total","CURSO_TOTAL",IF(CALC_EEM!C107="TotalEsp","CURSO_ESP",IF(CALC_EEM!C107="TotalNoEsp","CURSO_NOESP","CURSO_ASIG")))))</f>
        <v>CURSO_ASIG</v>
      </c>
      <c r="B114" t="str">
        <f>IF(CALC_EEM!A107="","",CALC_EEM!A107)</f>
        <v>4EEM</v>
      </c>
      <c r="C114" t="str">
        <f>IF(CALC_EEM!B107="","",CALC_EEM!B107)</f>
        <v>Trompa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1" ht="15" customHeight="1" x14ac:dyDescent="0.2">
      <c r="A115" t="str">
        <f>IF(CALC_EEM!A108="","",IF(CALC_EEM!A108="GLOBAL","GLOBAL",IF(CALC_EEM!C108="Total","CURSO_TOTAL",IF(CALC_EEM!C108="TotalEsp","CURSO_ESP",IF(CALC_EEM!C108="TotalNoEsp","CURSO_NOESP","CURSO_ASIG")))))</f>
        <v>CURSO_ASIG</v>
      </c>
      <c r="B115" t="str">
        <f>IF(CALC_EEM!A108="","",CALC_EEM!A108)</f>
        <v>4EEM</v>
      </c>
      <c r="C115" t="str">
        <f>IF(CALC_EEM!B108="","",CALC_EEM!B108)</f>
        <v>Trompeta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1" ht="15" customHeight="1" x14ac:dyDescent="0.2">
      <c r="A116" t="str">
        <f>IF(CALC_EEM!A109="","",IF(CALC_EEM!A109="GLOBAL","GLOBAL",IF(CALC_EEM!C109="Total","CURSO_TOTAL",IF(CALC_EEM!C109="TotalEsp","CURSO_ESP",IF(CALC_EEM!C109="TotalNoEsp","CURSO_NOESP","CURSO_ASIG")))))</f>
        <v>CURSO_ASIG</v>
      </c>
      <c r="B116" t="str">
        <f>IF(CALC_EEM!A109="","",CALC_EEM!A109)</f>
        <v>4EEM</v>
      </c>
      <c r="C116" t="str">
        <f>IF(CALC_EEM!B109="","",CALC_EEM!B109)</f>
        <v>Viola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1" ht="15" customHeight="1" x14ac:dyDescent="0.2">
      <c r="A117" t="str">
        <f>IF(CALC_EEM!A110="","",IF(CALC_EEM!A110="GLOBAL","GLOBAL",IF(CALC_EEM!C110="Total","CURSO_TOTAL",IF(CALC_EEM!C110="TotalEsp","CURSO_ESP",IF(CALC_EEM!C110="TotalNoEsp","CURSO_NOESP","CURSO_ASIG")))))</f>
        <v>CURSO_ASIG</v>
      </c>
      <c r="B117" t="str">
        <f>IF(CALC_EEM!A110="","",CALC_EEM!A110)</f>
        <v>4EEM</v>
      </c>
      <c r="C117" t="str">
        <f>IF(CALC_EEM!B110="","",CALC_EEM!B110)</f>
        <v>Violín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1" ht="15" customHeight="1" x14ac:dyDescent="0.2">
      <c r="A118" t="str">
        <f>IF(CALC_EEM!A111="","",IF(CALC_EEM!A111="GLOBAL","GLOBAL",IF(CALC_EEM!C111="Total","CURSO_TOTAL",IF(CALC_EEM!C111="TotalEsp","CURSO_ESP",IF(CALC_EEM!C111="TotalNoEsp","CURSO_NOESP","CURSO_ASIG")))))</f>
        <v>CURSO_ASIG</v>
      </c>
      <c r="B118" t="str">
        <f>IF(CALC_EEM!A111="","",CALC_EEM!A111)</f>
        <v>4EEM</v>
      </c>
      <c r="C118" t="str">
        <f>IF(CALC_EEM!B111="","",CALC_EEM!B111)</f>
        <v>Violoncello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20" spans="1:21" ht="15" customHeight="1" x14ac:dyDescent="0.2">
      <c r="A120" s="12" t="s">
        <v>134</v>
      </c>
    </row>
    <row r="121" spans="1:21" ht="15" customHeight="1" x14ac:dyDescent="0.2">
      <c r="A121" s="2" t="s">
        <v>133</v>
      </c>
      <c r="B121" s="2" t="s">
        <v>2</v>
      </c>
      <c r="C121" s="2" t="s">
        <v>135</v>
      </c>
    </row>
    <row r="122" spans="1:21" ht="15" customHeight="1" x14ac:dyDescent="0.2">
      <c r="A122" t="s">
        <v>136</v>
      </c>
      <c r="B122" t="str">
        <f>IF(CONFIG_ASIGNATURAS!B2="","",CONFIG_ASIGNATURAS!B2)</f>
        <v>Lenguaje Musical</v>
      </c>
      <c r="C122" t="str">
        <f>IF(CONFIG_ASIGNATURAS!B2="","",IF(CONFIG_ASIGNATURAS!E2="",CONFIG_ASIGNATURAS!D2,CONFIG_ASIGNATURAS!D2&amp;";"&amp;CONFIG_ASIGNATURAS!E2))</f>
        <v>Referencia</v>
      </c>
    </row>
    <row r="123" spans="1:21" ht="15" customHeight="1" x14ac:dyDescent="0.2">
      <c r="A123" t="s">
        <v>136</v>
      </c>
      <c r="B123" t="str">
        <f>IF(CONFIG_ASIGNATURAS!B3="","",CONFIG_ASIGNATURAS!B3)</f>
        <v>Coro</v>
      </c>
      <c r="C123" t="str">
        <f>IF(CONFIG_ASIGNATURAS!B3="","",IF(CONFIG_ASIGNATURAS!E3="",CONFIG_ASIGNATURAS!D3,CONFIG_ASIGNATURAS!D3&amp;";"&amp;CONFIG_ASIGNATURAS!E3))</f>
        <v>NoEspecialidad;LenguajeVoz</v>
      </c>
    </row>
    <row r="124" spans="1:21" ht="15" customHeight="1" x14ac:dyDescent="0.2">
      <c r="A124" t="s">
        <v>136</v>
      </c>
      <c r="B124" t="str">
        <f>IF(CONFIG_ASIGNATURAS!B4="","",CONFIG_ASIGNATURAS!B4)</f>
        <v>Conjunto</v>
      </c>
      <c r="C124" t="str">
        <f>IF(CONFIG_ASIGNATURAS!B4="","",IF(CONFIG_ASIGNATURAS!E4="",CONFIG_ASIGNATURAS!D4,CONFIG_ASIGNATURAS!D4&amp;";"&amp;CONFIG_ASIGNATURAS!E4))</f>
        <v>NoEspecialidad</v>
      </c>
    </row>
    <row r="125" spans="1:21" ht="15" customHeight="1" x14ac:dyDescent="0.2">
      <c r="A125" t="s">
        <v>136</v>
      </c>
      <c r="B125" t="str">
        <f>IF(CONFIG_ASIGNATURAS!B5="","",CONFIG_ASIGNATURAS!B5)</f>
        <v>Arpa</v>
      </c>
      <c r="C125" t="str">
        <f>IF(CONFIG_ASIGNATURAS!B5="","",IF(CONFIG_ASIGNATURAS!E5="",CONFIG_ASIGNATURAS!D5,CONFIG_ASIGNATURAS!D5&amp;";"&amp;CONFIG_ASIGNATURAS!E5))</f>
        <v>Especialidad;Cuerda</v>
      </c>
    </row>
    <row r="126" spans="1:21" ht="15" customHeight="1" x14ac:dyDescent="0.2">
      <c r="A126" t="s">
        <v>136</v>
      </c>
      <c r="B126" t="str">
        <f>IF(CONFIG_ASIGNATURAS!B6="","",CONFIG_ASIGNATURAS!B6)</f>
        <v>Clarinete</v>
      </c>
      <c r="C126" t="str">
        <f>IF(CONFIG_ASIGNATURAS!B6="","",IF(CONFIG_ASIGNATURAS!E6="",CONFIG_ASIGNATURAS!D6,CONFIG_ASIGNATURAS!D6&amp;";"&amp;CONFIG_ASIGNATURAS!E6))</f>
        <v>Especialidad;Madera</v>
      </c>
    </row>
    <row r="127" spans="1:21" ht="15" customHeight="1" x14ac:dyDescent="0.2">
      <c r="A127" t="s">
        <v>136</v>
      </c>
      <c r="B127" t="str">
        <f>IF(CONFIG_ASIGNATURAS!B7="","",CONFIG_ASIGNATURAS!B7)</f>
        <v>Contrabajo</v>
      </c>
      <c r="C127" t="str">
        <f>IF(CONFIG_ASIGNATURAS!B7="","",IF(CONFIG_ASIGNATURAS!E7="",CONFIG_ASIGNATURAS!D7,CONFIG_ASIGNATURAS!D7&amp;";"&amp;CONFIG_ASIGNATURAS!E7))</f>
        <v>Especialidad;Cuerda</v>
      </c>
    </row>
    <row r="128" spans="1:21" ht="15" customHeight="1" x14ac:dyDescent="0.2">
      <c r="A128" t="s">
        <v>136</v>
      </c>
      <c r="B128" t="str">
        <f>IF(CONFIG_ASIGNATURAS!B8="","",CONFIG_ASIGNATURAS!B8)</f>
        <v>Fagot</v>
      </c>
      <c r="C128" t="str">
        <f>IF(CONFIG_ASIGNATURAS!B8="","",IF(CONFIG_ASIGNATURAS!E8="",CONFIG_ASIGNATURAS!D8,CONFIG_ASIGNATURAS!D8&amp;";"&amp;CONFIG_ASIGNATURAS!E8))</f>
        <v>Especialidad;Madera</v>
      </c>
    </row>
    <row r="129" spans="1:6" ht="15" customHeight="1" x14ac:dyDescent="0.2">
      <c r="A129" t="s">
        <v>136</v>
      </c>
      <c r="B129" t="str">
        <f>IF(CONFIG_ASIGNATURAS!B9="","",CONFIG_ASIGNATURAS!B9)</f>
        <v>Flauta Travesera</v>
      </c>
      <c r="C129" t="str">
        <f>IF(CONFIG_ASIGNATURAS!B9="","",IF(CONFIG_ASIGNATURAS!E9="",CONFIG_ASIGNATURAS!D9,CONFIG_ASIGNATURAS!D9&amp;";"&amp;CONFIG_ASIGNATURAS!E9))</f>
        <v>Especialidad;Madera</v>
      </c>
    </row>
    <row r="130" spans="1:6" ht="15" customHeight="1" x14ac:dyDescent="0.2">
      <c r="A130" t="s">
        <v>136</v>
      </c>
      <c r="B130" t="str">
        <f>IF(CONFIG_ASIGNATURAS!B10="","",CONFIG_ASIGNATURAS!B10)</f>
        <v>Guitarra</v>
      </c>
      <c r="C130" t="str">
        <f>IF(CONFIG_ASIGNATURAS!B10="","",IF(CONFIG_ASIGNATURAS!E10="",CONFIG_ASIGNATURAS!D10,CONFIG_ASIGNATURAS!D10&amp;";"&amp;CONFIG_ASIGNATURAS!E10))</f>
        <v>Especialidad;Cuerda</v>
      </c>
    </row>
    <row r="131" spans="1:6" ht="15" customHeight="1" x14ac:dyDescent="0.2">
      <c r="A131" t="s">
        <v>136</v>
      </c>
      <c r="B131" t="str">
        <f>IF(CONFIG_ASIGNATURAS!B11="","",CONFIG_ASIGNATURAS!B11)</f>
        <v>Oboe</v>
      </c>
      <c r="C131" t="str">
        <f>IF(CONFIG_ASIGNATURAS!B11="","",IF(CONFIG_ASIGNATURAS!E11="",CONFIG_ASIGNATURAS!D11,CONFIG_ASIGNATURAS!D11&amp;";"&amp;CONFIG_ASIGNATURAS!E11))</f>
        <v>Especialidad;Madera</v>
      </c>
    </row>
    <row r="132" spans="1:6" ht="15" customHeight="1" x14ac:dyDescent="0.2">
      <c r="A132" t="s">
        <v>136</v>
      </c>
      <c r="B132" t="str">
        <f>IF(CONFIG_ASIGNATURAS!B12="","",CONFIG_ASIGNATURAS!B12)</f>
        <v>Percusión</v>
      </c>
      <c r="C132" t="str">
        <f>IF(CONFIG_ASIGNATURAS!B12="","",IF(CONFIG_ASIGNATURAS!E12="",CONFIG_ASIGNATURAS!D12,CONFIG_ASIGNATURAS!D12&amp;";"&amp;CONFIG_ASIGNATURAS!E12))</f>
        <v>Especialidad;Metal</v>
      </c>
    </row>
    <row r="133" spans="1:6" ht="15" customHeight="1" x14ac:dyDescent="0.2">
      <c r="A133" t="s">
        <v>136</v>
      </c>
      <c r="B133" t="str">
        <f>IF(CONFIG_ASIGNATURAS!B13="","",CONFIG_ASIGNATURAS!B13)</f>
        <v>Piano</v>
      </c>
      <c r="C133" t="str">
        <f>IF(CONFIG_ASIGNATURAS!B13="","",IF(CONFIG_ASIGNATURAS!E13="",CONFIG_ASIGNATURAS!D13,CONFIG_ASIGNATURAS!D13&amp;";"&amp;CONFIG_ASIGNATURAS!E13))</f>
        <v>Especialidad;Tecla</v>
      </c>
    </row>
    <row r="134" spans="1:6" ht="15" customHeight="1" x14ac:dyDescent="0.2">
      <c r="A134" t="s">
        <v>136</v>
      </c>
      <c r="B134" t="str">
        <f>IF(CONFIG_ASIGNATURAS!B14="","",CONFIG_ASIGNATURAS!B14)</f>
        <v>Saxofón</v>
      </c>
      <c r="C134" t="str">
        <f>IF(CONFIG_ASIGNATURAS!B14="","",IF(CONFIG_ASIGNATURAS!E14="",CONFIG_ASIGNATURAS!D14,CONFIG_ASIGNATURAS!D14&amp;";"&amp;CONFIG_ASIGNATURAS!E14))</f>
        <v>Especialidad;Madera</v>
      </c>
    </row>
    <row r="135" spans="1:6" ht="15" customHeight="1" x14ac:dyDescent="0.2">
      <c r="A135" t="s">
        <v>136</v>
      </c>
      <c r="B135" t="str">
        <f>IF(CONFIG_ASIGNATURAS!B15="","",CONFIG_ASIGNATURAS!B15)</f>
        <v>Trombón</v>
      </c>
      <c r="C135" t="str">
        <f>IF(CONFIG_ASIGNATURAS!B15="","",IF(CONFIG_ASIGNATURAS!E15="",CONFIG_ASIGNATURAS!D15,CONFIG_ASIGNATURAS!D15&amp;";"&amp;CONFIG_ASIGNATURAS!E15))</f>
        <v>Especialidad;Metal</v>
      </c>
    </row>
    <row r="136" spans="1:6" ht="15" customHeight="1" x14ac:dyDescent="0.2">
      <c r="A136" t="s">
        <v>136</v>
      </c>
      <c r="B136" t="str">
        <f>IF(CONFIG_ASIGNATURAS!B16="","",CONFIG_ASIGNATURAS!B16)</f>
        <v>Trompa</v>
      </c>
      <c r="C136" t="str">
        <f>IF(CONFIG_ASIGNATURAS!B16="","",IF(CONFIG_ASIGNATURAS!E16="",CONFIG_ASIGNATURAS!D16,CONFIG_ASIGNATURAS!D16&amp;";"&amp;CONFIG_ASIGNATURAS!E16))</f>
        <v>Especialidad;Metal</v>
      </c>
    </row>
    <row r="137" spans="1:6" ht="15" customHeight="1" x14ac:dyDescent="0.2">
      <c r="A137" t="s">
        <v>136</v>
      </c>
      <c r="B137" t="str">
        <f>IF(CONFIG_ASIGNATURAS!B17="","",CONFIG_ASIGNATURAS!B17)</f>
        <v>Trompeta</v>
      </c>
      <c r="C137" t="str">
        <f>IF(CONFIG_ASIGNATURAS!B17="","",IF(CONFIG_ASIGNATURAS!E17="",CONFIG_ASIGNATURAS!D17,CONFIG_ASIGNATURAS!D17&amp;";"&amp;CONFIG_ASIGNATURAS!E17))</f>
        <v>Especialidad;Metal</v>
      </c>
    </row>
    <row r="138" spans="1:6" ht="15" customHeight="1" x14ac:dyDescent="0.2">
      <c r="A138" t="s">
        <v>136</v>
      </c>
      <c r="B138" t="str">
        <f>IF(CONFIG_ASIGNATURAS!B18="","",CONFIG_ASIGNATURAS!B18)</f>
        <v>Viola</v>
      </c>
      <c r="C138" t="str">
        <f>IF(CONFIG_ASIGNATURAS!B18="","",IF(CONFIG_ASIGNATURAS!E18="",CONFIG_ASIGNATURAS!D18,CONFIG_ASIGNATURAS!D18&amp;";"&amp;CONFIG_ASIGNATURAS!E18))</f>
        <v>Especialidad;Cuerda</v>
      </c>
    </row>
    <row r="139" spans="1:6" ht="15" customHeight="1" x14ac:dyDescent="0.2">
      <c r="A139" t="s">
        <v>136</v>
      </c>
      <c r="B139" t="str">
        <f>IF(CONFIG_ASIGNATURAS!B19="","",CONFIG_ASIGNATURAS!B19)</f>
        <v>Violín</v>
      </c>
      <c r="C139" t="str">
        <f>IF(CONFIG_ASIGNATURAS!B19="","",IF(CONFIG_ASIGNATURAS!E19="",CONFIG_ASIGNATURAS!D19,CONFIG_ASIGNATURAS!D19&amp;";"&amp;CONFIG_ASIGNATURAS!E19))</f>
        <v>Especialidad;Cuerda</v>
      </c>
    </row>
    <row r="140" spans="1:6" ht="15" customHeight="1" x14ac:dyDescent="0.2">
      <c r="A140" t="s">
        <v>136</v>
      </c>
      <c r="B140" t="str">
        <f>IF(CONFIG_ASIGNATURAS!B20="","",CONFIG_ASIGNATURAS!B20)</f>
        <v>Violoncello</v>
      </c>
      <c r="C140" t="str">
        <f>IF(CONFIG_ASIGNATURAS!B20="","",IF(CONFIG_ASIGNATURAS!E20="",CONFIG_ASIGNATURAS!D20,CONFIG_ASIGNATURAS!D20&amp;";"&amp;CONFIG_ASIGNATURAS!E20))</f>
        <v>Especialidad;Cuerda</v>
      </c>
    </row>
    <row r="142" spans="1:6" ht="15" customHeight="1" x14ac:dyDescent="0.2">
      <c r="A142" s="12" t="s">
        <v>137</v>
      </c>
    </row>
    <row r="143" spans="1:6" ht="15" customHeight="1" x14ac:dyDescent="0.2">
      <c r="A143" s="2" t="s">
        <v>133</v>
      </c>
      <c r="B143" s="2" t="s">
        <v>75</v>
      </c>
      <c r="C143" s="2" t="s">
        <v>58</v>
      </c>
      <c r="D143" s="2" t="s">
        <v>59</v>
      </c>
      <c r="E143" s="2" t="s">
        <v>108</v>
      </c>
      <c r="F143" s="2" t="s">
        <v>110</v>
      </c>
    </row>
    <row r="144" spans="1:6" ht="15" customHeight="1" x14ac:dyDescent="0.2">
      <c r="A144" t="s">
        <v>138</v>
      </c>
      <c r="B144" t="str">
        <f>CALC_CORRELACIONES!A2</f>
        <v>1EEM</v>
      </c>
      <c r="C144" t="str">
        <f>CALC_CORRELACIONES!B2</f>
        <v>Lenguaje Musical</v>
      </c>
      <c r="D144" t="str">
        <f>CALC_CORRELACIONES!C2</f>
        <v>Coro</v>
      </c>
      <c r="E144" s="14" t="str">
        <f>CALC_CORRELACIONES!D2</f>
        <v/>
      </c>
      <c r="F144" t="str">
        <f>CALC_CORRELACIONES!F2</f>
        <v/>
      </c>
    </row>
    <row r="145" spans="1:6" ht="15" customHeight="1" x14ac:dyDescent="0.2">
      <c r="A145" t="s">
        <v>138</v>
      </c>
      <c r="B145" t="str">
        <f>CALC_CORRELACIONES!A3</f>
        <v>1EEM</v>
      </c>
      <c r="C145" t="str">
        <f>CALC_CORRELACIONES!B3</f>
        <v>Lenguaje Musical</v>
      </c>
      <c r="D145" t="str">
        <f>CALC_CORRELACIONES!C3</f>
        <v>Especialidad</v>
      </c>
      <c r="E145" s="14" t="str">
        <f>CALC_CORRELACIONES!D3</f>
        <v/>
      </c>
      <c r="F145" t="str">
        <f>CALC_CORRELACIONES!F3</f>
        <v/>
      </c>
    </row>
    <row r="146" spans="1:6" ht="15" customHeight="1" x14ac:dyDescent="0.2">
      <c r="A146" t="s">
        <v>138</v>
      </c>
      <c r="B146" t="str">
        <f>CALC_CORRELACIONES!A4</f>
        <v>1EEM</v>
      </c>
      <c r="C146" t="str">
        <f>CALC_CORRELACIONES!B4</f>
        <v>Coro</v>
      </c>
      <c r="D146" t="str">
        <f>CALC_CORRELACIONES!C4</f>
        <v>Especialidad</v>
      </c>
      <c r="E146" s="14" t="str">
        <f>CALC_CORRELACIONES!D4</f>
        <v/>
      </c>
      <c r="F146" t="str">
        <f>CALC_CORRELACIONES!F4</f>
        <v/>
      </c>
    </row>
    <row r="147" spans="1:6" ht="15" customHeight="1" x14ac:dyDescent="0.2">
      <c r="A147" t="s">
        <v>138</v>
      </c>
      <c r="B147" t="str">
        <f>CALC_CORRELACIONES!A5</f>
        <v>2EEM</v>
      </c>
      <c r="C147" t="str">
        <f>CALC_CORRELACIONES!B5</f>
        <v>Lenguaje Musical</v>
      </c>
      <c r="D147" t="str">
        <f>CALC_CORRELACIONES!C5</f>
        <v>Coro</v>
      </c>
      <c r="E147" s="14" t="str">
        <f>CALC_CORRELACIONES!D5</f>
        <v/>
      </c>
      <c r="F147" t="str">
        <f>CALC_CORRELACIONES!F5</f>
        <v/>
      </c>
    </row>
    <row r="148" spans="1:6" ht="15" customHeight="1" x14ac:dyDescent="0.2">
      <c r="A148" t="s">
        <v>138</v>
      </c>
      <c r="B148" t="str">
        <f>CALC_CORRELACIONES!A6</f>
        <v>2EEM</v>
      </c>
      <c r="C148" t="str">
        <f>CALC_CORRELACIONES!B6</f>
        <v>Lenguaje Musical</v>
      </c>
      <c r="D148" t="str">
        <f>CALC_CORRELACIONES!C6</f>
        <v>Especialidad</v>
      </c>
      <c r="E148" s="14" t="str">
        <f>CALC_CORRELACIONES!D6</f>
        <v/>
      </c>
      <c r="F148" t="str">
        <f>CALC_CORRELACIONES!F6</f>
        <v/>
      </c>
    </row>
    <row r="149" spans="1:6" ht="15" customHeight="1" x14ac:dyDescent="0.2">
      <c r="A149" t="s">
        <v>138</v>
      </c>
      <c r="B149" t="str">
        <f>CALC_CORRELACIONES!A7</f>
        <v>2EEM</v>
      </c>
      <c r="C149" t="str">
        <f>CALC_CORRELACIONES!B7</f>
        <v>Coro</v>
      </c>
      <c r="D149" t="str">
        <f>CALC_CORRELACIONES!C7</f>
        <v>Especialidad</v>
      </c>
      <c r="E149" s="14" t="str">
        <f>CALC_CORRELACIONES!D7</f>
        <v/>
      </c>
      <c r="F149" t="str">
        <f>CALC_CORRELACIONES!F7</f>
        <v/>
      </c>
    </row>
    <row r="150" spans="1:6" ht="15" customHeight="1" x14ac:dyDescent="0.2">
      <c r="A150" t="s">
        <v>138</v>
      </c>
      <c r="B150" t="str">
        <f>CALC_CORRELACIONES!A8</f>
        <v>3EEM</v>
      </c>
      <c r="C150" t="str">
        <f>CALC_CORRELACIONES!B8</f>
        <v>Lenguaje Musical</v>
      </c>
      <c r="D150" t="str">
        <f>CALC_CORRELACIONES!C8</f>
        <v>Coro</v>
      </c>
      <c r="E150" s="14" t="str">
        <f>CALC_CORRELACIONES!D8</f>
        <v/>
      </c>
      <c r="F150" t="str">
        <f>CALC_CORRELACIONES!F8</f>
        <v/>
      </c>
    </row>
    <row r="151" spans="1:6" ht="15" customHeight="1" x14ac:dyDescent="0.2">
      <c r="A151" t="s">
        <v>138</v>
      </c>
      <c r="B151" t="str">
        <f>CALC_CORRELACIONES!A9</f>
        <v>3EEM</v>
      </c>
      <c r="C151" t="str">
        <f>CALC_CORRELACIONES!B9</f>
        <v>Lenguaje Musical</v>
      </c>
      <c r="D151" t="str">
        <f>CALC_CORRELACIONES!C9</f>
        <v>Conjunto</v>
      </c>
      <c r="E151" s="14" t="str">
        <f>CALC_CORRELACIONES!D9</f>
        <v/>
      </c>
      <c r="F151" t="str">
        <f>CALC_CORRELACIONES!F9</f>
        <v/>
      </c>
    </row>
    <row r="152" spans="1:6" ht="15" customHeight="1" x14ac:dyDescent="0.2">
      <c r="A152" t="s">
        <v>138</v>
      </c>
      <c r="B152" t="str">
        <f>CALC_CORRELACIONES!A10</f>
        <v>3EEM</v>
      </c>
      <c r="C152" t="str">
        <f>CALC_CORRELACIONES!B10</f>
        <v>Lenguaje Musical</v>
      </c>
      <c r="D152" t="str">
        <f>CALC_CORRELACIONES!C10</f>
        <v>Especialidad</v>
      </c>
      <c r="E152" s="14" t="str">
        <f>CALC_CORRELACIONES!D10</f>
        <v/>
      </c>
      <c r="F152" t="str">
        <f>CALC_CORRELACIONES!F10</f>
        <v/>
      </c>
    </row>
    <row r="153" spans="1:6" ht="15" customHeight="1" x14ac:dyDescent="0.2">
      <c r="A153" t="s">
        <v>138</v>
      </c>
      <c r="B153" t="str">
        <f>CALC_CORRELACIONES!A11</f>
        <v>3EEM</v>
      </c>
      <c r="C153" t="str">
        <f>CALC_CORRELACIONES!B11</f>
        <v>Coro</v>
      </c>
      <c r="D153" t="str">
        <f>CALC_CORRELACIONES!C11</f>
        <v>Conjunto</v>
      </c>
      <c r="E153" s="14" t="str">
        <f>CALC_CORRELACIONES!D11</f>
        <v/>
      </c>
      <c r="F153" t="str">
        <f>CALC_CORRELACIONES!F11</f>
        <v/>
      </c>
    </row>
    <row r="154" spans="1:6" ht="15" customHeight="1" x14ac:dyDescent="0.2">
      <c r="A154" t="s">
        <v>138</v>
      </c>
      <c r="B154" t="str">
        <f>CALC_CORRELACIONES!A12</f>
        <v>3EEM</v>
      </c>
      <c r="C154" t="str">
        <f>CALC_CORRELACIONES!B12</f>
        <v>Coro</v>
      </c>
      <c r="D154" t="str">
        <f>CALC_CORRELACIONES!C12</f>
        <v>Especialidad</v>
      </c>
      <c r="E154" s="14" t="str">
        <f>CALC_CORRELACIONES!D12</f>
        <v/>
      </c>
      <c r="F154" t="str">
        <f>CALC_CORRELACIONES!F12</f>
        <v/>
      </c>
    </row>
    <row r="155" spans="1:6" ht="15" customHeight="1" x14ac:dyDescent="0.2">
      <c r="A155" t="s">
        <v>138</v>
      </c>
      <c r="B155" t="str">
        <f>CALC_CORRELACIONES!A13</f>
        <v>3EEM</v>
      </c>
      <c r="C155" t="str">
        <f>CALC_CORRELACIONES!B13</f>
        <v>Conjunto</v>
      </c>
      <c r="D155" t="str">
        <f>CALC_CORRELACIONES!C13</f>
        <v>Especialidad</v>
      </c>
      <c r="E155" s="14" t="str">
        <f>CALC_CORRELACIONES!D13</f>
        <v/>
      </c>
      <c r="F155" t="str">
        <f>CALC_CORRELACIONES!F13</f>
        <v/>
      </c>
    </row>
    <row r="156" spans="1:6" ht="15" customHeight="1" x14ac:dyDescent="0.2">
      <c r="A156" t="s">
        <v>138</v>
      </c>
      <c r="B156" t="str">
        <f>CALC_CORRELACIONES!A14</f>
        <v>4EEM</v>
      </c>
      <c r="C156" t="str">
        <f>CALC_CORRELACIONES!B14</f>
        <v>Lenguaje Musical</v>
      </c>
      <c r="D156" t="str">
        <f>CALC_CORRELACIONES!C14</f>
        <v>Coro</v>
      </c>
      <c r="E156" s="14" t="str">
        <f>CALC_CORRELACIONES!D14</f>
        <v/>
      </c>
      <c r="F156" t="str">
        <f>CALC_CORRELACIONES!F14</f>
        <v/>
      </c>
    </row>
    <row r="157" spans="1:6" ht="15" customHeight="1" x14ac:dyDescent="0.2">
      <c r="A157" t="s">
        <v>138</v>
      </c>
      <c r="B157" t="str">
        <f>CALC_CORRELACIONES!A15</f>
        <v>4EEM</v>
      </c>
      <c r="C157" t="str">
        <f>CALC_CORRELACIONES!B15</f>
        <v>Lenguaje Musical</v>
      </c>
      <c r="D157" t="str">
        <f>CALC_CORRELACIONES!C15</f>
        <v>Conjunto</v>
      </c>
      <c r="E157" s="14" t="str">
        <f>CALC_CORRELACIONES!D15</f>
        <v/>
      </c>
      <c r="F157" t="str">
        <f>CALC_CORRELACIONES!F15</f>
        <v/>
      </c>
    </row>
    <row r="158" spans="1:6" ht="15" customHeight="1" x14ac:dyDescent="0.2">
      <c r="A158" t="s">
        <v>138</v>
      </c>
      <c r="B158" t="str">
        <f>CALC_CORRELACIONES!A16</f>
        <v>4EEM</v>
      </c>
      <c r="C158" t="str">
        <f>CALC_CORRELACIONES!B16</f>
        <v>Lenguaje Musical</v>
      </c>
      <c r="D158" t="str">
        <f>CALC_CORRELACIONES!C16</f>
        <v>Especialidad</v>
      </c>
      <c r="E158" s="14" t="str">
        <f>CALC_CORRELACIONES!D16</f>
        <v/>
      </c>
      <c r="F158" t="str">
        <f>CALC_CORRELACIONES!F16</f>
        <v/>
      </c>
    </row>
    <row r="159" spans="1:6" ht="15" customHeight="1" x14ac:dyDescent="0.2">
      <c r="A159" t="s">
        <v>138</v>
      </c>
      <c r="B159" t="str">
        <f>CALC_CORRELACIONES!A17</f>
        <v>4EEM</v>
      </c>
      <c r="C159" t="str">
        <f>CALC_CORRELACIONES!B17</f>
        <v>Coro</v>
      </c>
      <c r="D159" t="str">
        <f>CALC_CORRELACIONES!C17</f>
        <v>Conjunto</v>
      </c>
      <c r="E159" s="14" t="str">
        <f>CALC_CORRELACIONES!D17</f>
        <v/>
      </c>
      <c r="F159" t="str">
        <f>CALC_CORRELACIONES!F17</f>
        <v/>
      </c>
    </row>
    <row r="160" spans="1:6" ht="15" customHeight="1" x14ac:dyDescent="0.2">
      <c r="A160" t="s">
        <v>138</v>
      </c>
      <c r="B160" t="str">
        <f>CALC_CORRELACIONES!A18</f>
        <v>4EEM</v>
      </c>
      <c r="C160" t="str">
        <f>CALC_CORRELACIONES!B18</f>
        <v>Coro</v>
      </c>
      <c r="D160" t="str">
        <f>CALC_CORRELACIONES!C18</f>
        <v>Especialidad</v>
      </c>
      <c r="E160" s="14" t="str">
        <f>CALC_CORRELACIONES!D18</f>
        <v/>
      </c>
      <c r="F160" t="str">
        <f>CALC_CORRELACIONES!F18</f>
        <v/>
      </c>
    </row>
    <row r="161" spans="1:6" ht="15" customHeight="1" x14ac:dyDescent="0.2">
      <c r="A161" t="s">
        <v>138</v>
      </c>
      <c r="B161" t="str">
        <f>CALC_CORRELACIONES!A19</f>
        <v>4EEM</v>
      </c>
      <c r="C161" t="str">
        <f>CALC_CORRELACIONES!B19</f>
        <v>Conjunto</v>
      </c>
      <c r="D161" t="str">
        <f>CALC_CORRELACIONES!C19</f>
        <v>Especialidad</v>
      </c>
      <c r="E161" s="14" t="str">
        <f>CALC_CORRELACIONES!D19</f>
        <v/>
      </c>
      <c r="F161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