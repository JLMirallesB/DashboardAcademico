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<sst xmlns="http://schemas.openxmlformats.org/spreadsheetml/2006/main" count="831" uniqueCount="191">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</sst>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1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inlineStr">
        <is>
          <t xml:space="preserve">UnaSolaVez</t>
        </is>
      </c>
      <c r="I1" s="1" t="inlineStr">
        <is>
          <t xml:space="preserve">Tipo</t>
        </is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  <c r="H2" s="3" t="inlineStr">
        <is>
          <t xml:space="preserve">Sí</t>
        </is>
      </c>
      <c r="I2" s="3" t="inlineStr">
        <is>
          <t xml:space="preserve">Obligatoria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  <c r="H3" s="3" t="inlineStr">
        <is>
          <t xml:space="preserve">Sí</t>
        </is>
      </c>
      <c r="I3" s="3" t="inlineStr">
        <is>
          <t xml:space="preserve">Obligatoria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  <c r="H4" s="3" t="inlineStr">
        <is>
          <t xml:space="preserve">No</t>
        </is>
      </c>
      <c r="I4" s="3" t="inlineStr">
        <is>
          <t xml:space="preserve">Obligatoria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  <c r="H5" s="3" t="inlineStr">
        <is>
          <t xml:space="preserve">No</t>
        </is>
      </c>
      <c r="I5" s="3" t="inlineStr">
        <is>
          <t xml:space="preserve">Obligatoria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  <c r="H6" s="3" t="inlineStr">
        <is>
          <t xml:space="preserve">No</t>
        </is>
      </c>
      <c r="I6" s="3" t="inlineStr">
        <is>
          <t xml:space="preserve">Obligatoria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  <c r="H7" s="3" t="inlineStr">
        <is>
          <t xml:space="preserve">No</t>
        </is>
      </c>
      <c r="I7" s="3" t="inlineStr">
        <is>
          <t xml:space="preserve">Obligatoria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  <c r="H8" s="3" t="inlineStr">
        <is>
          <t xml:space="preserve">No</t>
        </is>
      </c>
      <c r="I8" s="3" t="inlineStr">
        <is>
          <t xml:space="preserve">Obligatoria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  <c r="H9" s="3" t="inlineStr">
        <is>
          <t xml:space="preserve">No</t>
        </is>
      </c>
      <c r="I9" s="3" t="inlineStr">
        <is>
          <t xml:space="preserve">Obligatoria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  <c r="H10" s="3" t="inlineStr">
        <is>
          <t xml:space="preserve">No</t>
        </is>
      </c>
      <c r="I10" s="3" t="inlineStr">
        <is>
          <t xml:space="preserve">Obligatoria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  <c r="H11" s="3" t="inlineStr">
        <is>
          <t xml:space="preserve">No</t>
        </is>
      </c>
      <c r="I11" s="3" t="inlineStr">
        <is>
          <t xml:space="preserve">Obligatoria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  <c r="H12" s="3" t="inlineStr">
        <is>
          <t xml:space="preserve">No</t>
        </is>
      </c>
      <c r="I12" s="3" t="inlineStr">
        <is>
          <t xml:space="preserve">Obligatoria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  <c r="H13" s="3" t="inlineStr">
        <is>
          <t xml:space="preserve">No</t>
        </is>
      </c>
      <c r="I13" s="3" t="inlineStr">
        <is>
          <t xml:space="preserve">Obligatoria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  <c r="H14" s="3" t="inlineStr">
        <is>
          <t xml:space="preserve">No</t>
        </is>
      </c>
      <c r="I14" s="3" t="inlineStr">
        <is>
          <t xml:space="preserve">Obligatoria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  <c r="H15" s="3" t="inlineStr">
        <is>
          <t xml:space="preserve">No</t>
        </is>
      </c>
      <c r="I15" s="3" t="inlineStr">
        <is>
          <t xml:space="preserve">Obligatoria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  <c r="H16" s="3" t="inlineStr">
        <is>
          <t xml:space="preserve">No</t>
        </is>
      </c>
      <c r="I16" s="3" t="inlineStr">
        <is>
          <t xml:space="preserve">Obligatoria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  <c r="H17" s="3" t="inlineStr">
        <is>
          <t xml:space="preserve">No</t>
        </is>
      </c>
      <c r="I17" s="3" t="inlineStr">
        <is>
          <t xml:space="preserve">Obligatoria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  <c r="H18" s="3" t="inlineStr">
        <is>
          <t xml:space="preserve">No</t>
        </is>
      </c>
      <c r="I18" s="3" t="inlineStr">
        <is>
          <t xml:space="preserve">Obligatoria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  <c r="H19" s="3" t="inlineStr">
        <is>
          <t xml:space="preserve">No</t>
        </is>
      </c>
      <c r="I19" s="3" t="inlineStr">
        <is>
          <t xml:space="preserve">Obligatoria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  <c r="H20" s="3" t="inlineStr">
        <is>
          <t xml:space="preserve">No</t>
        </is>
      </c>
      <c r="I20" s="3" t="inlineStr">
        <is>
          <t xml:space="preserve">Obligatoria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  <c r="H21" s="3" t="inlineStr">
        <is>
          <t xml:space="preserve">No</t>
        </is>
      </c>
      <c r="I21" s="3" t="inlineStr">
        <is>
          <t xml:space="preserve">Obligatoria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  <c r="H22" s="3" t="inlineStr">
        <is>
          <t xml:space="preserve">No</t>
        </is>
      </c>
      <c r="I22" s="3" t="inlineStr">
        <is>
          <t xml:space="preserve">Obligatoria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  <c r="H23" s="3" t="inlineStr">
        <is>
          <t xml:space="preserve">No</t>
        </is>
      </c>
      <c r="I23" s="3" t="inlineStr">
        <is>
          <t xml:space="preserve">Obligatoria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  <c r="H24" s="3" t="inlineStr">
        <is>
          <t xml:space="preserve">No</t>
        </is>
      </c>
      <c r="I24" s="3" t="inlineStr">
        <is>
          <t xml:space="preserve">Obligatoria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  <c r="H25" s="3" t="inlineStr">
        <is>
          <t xml:space="preserve">No</t>
        </is>
      </c>
      <c r="I25" s="3" t="inlineStr">
        <is>
          <t xml:space="preserve">Obligatoria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  <c r="H26" s="3" t="inlineStr">
        <is>
          <t xml:space="preserve">No</t>
        </is>
      </c>
      <c r="I26" s="3" t="inlineStr">
        <is>
          <t xml:space="preserve">Obligatoria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  <c r="H27" s="3" t="inlineStr">
        <is>
          <t xml:space="preserve">No</t>
        </is>
      </c>
      <c r="I27" s="3" t="inlineStr">
        <is>
          <t xml:space="preserve">Obligatoria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inlineStr">
        <is>
          <t xml:space="preserve">FI</t>
        </is>
      </c>
    </row>
    <row r="6">
      <c r="A6" t="inlineStr">
        <is>
          <t xml:space="preserve">DobleEspecialidad</t>
        </is>
      </c>
      <c r="B6" cm="1">
        <f t="array" ref="B6">IFERROR(SUMPRODUCT((DATOS!$G$2:$G$20000=CONFIG_METADATA!$B$4)*(COUNTIFS(CONFIG_ASIGNATURAS!$B$2:$B$61,DATOS!$I$2:$I$20000,CONFIG_ASIGNATURAS!$H$2:$H$61,"Sí",CONFIG_ASIGNATURAS!$G$2:$G$61,"Sí")&gt;0)*1)-COUNTA(_xlfn.UNIQUE(_xlfn._xlws.FILTER(DATOS!$A$2:$A$20000&amp;"|"&amp;DATOS!$I$2:$I$20000,(DATOS!$G$2:$G$20000=CONFIG_METADATA!$B$4)*(COUNTIFS(CONFIG_ASIGNATURAS!$B$2:$B$61,DATOS!$I$2:$I$20000,CONFIG_ASIGNATURAS!$H$2:$H$61,"Sí",CONFIG_ASIGNATURAS!$G$2:$G$61,"Sí")&gt;0)))),0)</f>
      </c>
      <c r="C6" t="inlineStr">
        <is>
          <t xml:space="preserve">Registros de más: quien cursa dos especialidades aparece dos veces en las asignaturas de una sola vez, con la misma nota. Cuentan doble en la media, en la moda y en el reparto.</t>
        </is>
      </c>
    </row>
    <row r="7">
      <c r="A7" t="inlineStr">
        <is>
          <t xml:space="preserve">FueraDeLasCifras</t>
        </is>
      </c>
      <c r="B7">
        <f>CALC_EEM!$D$2-CALC_EEM!$D$3-CALC_EEM!$D$4</f>
      </c>
      <c r="C7" t="inlineStr">
        <is>
          <t xml:space="preserve">Registros que no entran en ninguna cifra: su asignatura no está en CONFIG_ASIGNATURAS, o está pero con Activa = No. Si no es cero, falta algo en la configuración o sobra un No.</t>
        </is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1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SUMPRODUCT((DATOS!$G$2:$G$20000=CONFIG_METADATA!$B$4)*(COUNTIFS(CONFIG_ASIGNATURAS!$B$2:$B$61,DATOS!$I$2:$I$20000,CONFIG_ASIGNATURAS!$D$2:$D$61,"Especialidad",CONFIG_ASIGNATURAS!$G$2:$G$61,"Sí")&gt;0)*1)</f>
      </c>
      <c r="E3" s="14">
        <f>IFERROR(AVERAGE(IF((DATOS!$G$2:$G$20000=CONFIG_METADATA!$B$4)*(COUNTIFS(CONFIG_ASIGNATURAS!$B$2:$B$61,DATOS!$I$2:$I$20000,CONFIG_ASIGNATURAS!$D$2:$D$61,"Especialidad",CONFIG_ASIGNATURAS!$G$2:$G$61,"Sí")&gt;0),DATOS!$K$2:$K$20000)),"—")</f>
      </c>
      <c r="F3" s="14">
        <f>IFERROR(_xlfn.STDEV.P(IF((DATOS!$G$2:$G$20000=CONFIG_METADATA!$B$4)*(COUNTIFS(CONFIG_ASIGNATURAS!$B$2:$B$61,DATOS!$I$2:$I$20000,CONFIG_ASIGNATURAS!$D$2:$D$61,"Especialidad",CONFIG_ASIGNATURAS!$G$2:$G$61,"Sí")&gt;0),DATOS!$K$2:$K$20000)),"—")</f>
      </c>
      <c r="G3">
        <f>IFERROR(_xlfn.MODE.SNGL(IF((DATOS!$G$2:$G$20000=CONFIG_METADATA!$B$4)*(COUNTIFS(CONFIG_ASIGNATURAS!$B$2:$B$61,DATOS!$I$2:$I$20000,CONFIG_ASIGNATURAS!$D$2:$D$61,"Especialidad",CONFIG_ASIGNATURAS!$G$2:$G$61,"Sí")&gt;0),DATOS!$K$2:$K$20000)),"—")</f>
      </c>
      <c r="H3" s="15">
        <f>IFERROR(SUMPRODUCT((DATOS!$G$2:$G$20000=CONFIG_METADATA!$B$4)*(COUNTIFS(CONFIG_ASIGNATURAS!$B$2:$B$61,DATOS!$I$2:$I$20000,CONFIG_ASIGNATURAS!$D$2:$D$61,"Especialidad",CONFIG_ASIGNATURAS!$G$2:$G$61,"Sí")&gt;0)*(DATOS!$L$2:$L$20000="S"))/SUMPRODUCT((DATOS!$G$2:$G$20000=CONFIG_METADATA!$B$4)*(COUNTIFS(CONFIG_ASIGNATURAS!$B$2:$B$61,DATOS!$I$2:$I$20000,CONFIG_ASIGNATURAS!$D$2:$D$61,"Especialidad",CONFIG_ASIGNATURAS!$G$2:$G$61,"Sí")&gt;0)*1),"—")</f>
      </c>
      <c r="I3" s="15">
        <f>IFERROR(SUMPRODUCT((DATOS!$G$2:$G$20000=CONFIG_METADATA!$B$4)*(COUNTIFS(CONFIG_ASIGNATURAS!$B$2:$B$61,DATOS!$I$2:$I$20000,CONFIG_ASIGNATURAS!$D$2:$D$61,"Especialidad",CONFIG_ASIGNATURAS!$G$2:$G$61,"Sí")&gt;0)*(DATOS!$L$2:$L$20000="N"))/SUMPRODUCT((DATOS!$G$2:$G$20000=CONFIG_METADATA!$B$4)*(COUNTIFS(CONFIG_ASIGNATURAS!$B$2:$B$61,DATOS!$I$2:$I$20000,CONFIG_ASIGNATURAS!$D$2:$D$61,"Especialidad",CONFIG_ASIGNATURAS!$G$2:$G$61,"Sí")&gt;0)*1),"—")</f>
      </c>
      <c r="J3">
        <f>IFERROR(_xlfn.MODE.SNGL(IF((DATOS!$G$2:$G$20000=CONFIG_METADATA!$B$4)*(COUNTIFS(CONFIG_ASIGNATURAS!$B$2:$B$61,DATOS!$I$2:$I$20000,CONFIG_ASIGNATURAS!$D$2:$D$61,"Especialidad",CONFIG_ASIGNATURAS!$G$2:$G$61,"Sí")&gt;0)*(DATOS!$L$2:$L$20000="S"),DATOS!$K$2:$K$20000)),"—")</f>
      </c>
      <c r="K3">
        <f>IFERROR(_xlfn.MODE.SNGL(IF((DATOS!$G$2:$G$20000=CONFIG_METADATA!$B$4)*(COUNTIFS(CONFIG_ASIGNATURAS!$B$2:$B$61,DATOS!$I$2:$I$20000,CONFIG_ASIGNATURAS!$D$2:$D$61,"Especialidad",CONFIG_ASIGNATURAS!$G$2:$G$61,"Sí")&gt;0)*(DATOS!$L$2:$L$20000="N"),DATOS!$K$2:$K$20000)),"—")</f>
      </c>
      <c r="L3">
        <f>SUMPRODUCT((DATOS!$G$2:$G$20000=CONFIG_METADATA!$B$4)*(COUNTIFS(CONFIG_ASIGNATURAS!$B$2:$B$61,DATOS!$I$2:$I$20000,CONFIG_ASIGNATURAS!$D$2:$D$61,"Especialidad",CONFIG_ASIGNATURAS!$G$2:$G$61,"Sí")&gt;0)*(DATOS!$K$2:$K$20000=1))</f>
      </c>
      <c r="M3">
        <f>SUMPRODUCT((DATOS!$G$2:$G$20000=CONFIG_METADATA!$B$4)*(COUNTIFS(CONFIG_ASIGNATURAS!$B$2:$B$61,DATOS!$I$2:$I$20000,CONFIG_ASIGNATURAS!$D$2:$D$61,"Especialidad",CONFIG_ASIGNATURAS!$G$2:$G$61,"Sí")&gt;0)*(DATOS!$K$2:$K$20000=2))</f>
      </c>
      <c r="N3">
        <f>SUMPRODUCT((DATOS!$G$2:$G$20000=CONFIG_METADATA!$B$4)*(COUNTIFS(CONFIG_ASIGNATURAS!$B$2:$B$61,DATOS!$I$2:$I$20000,CONFIG_ASIGNATURAS!$D$2:$D$61,"Especialidad",CONFIG_ASIGNATURAS!$G$2:$G$61,"Sí")&gt;0)*(DATOS!$K$2:$K$20000=3))</f>
      </c>
      <c r="O3">
        <f>SUMPRODUCT((DATOS!$G$2:$G$20000=CONFIG_METADATA!$B$4)*(COUNTIFS(CONFIG_ASIGNATURAS!$B$2:$B$61,DATOS!$I$2:$I$20000,CONFIG_ASIGNATURAS!$D$2:$D$61,"Especialidad",CONFIG_ASIGNATURAS!$G$2:$G$61,"Sí")&gt;0)*(DATOS!$K$2:$K$20000=4))</f>
      </c>
      <c r="P3">
        <f>SUMPRODUCT((DATOS!$G$2:$G$20000=CONFIG_METADATA!$B$4)*(COUNTIFS(CONFIG_ASIGNATURAS!$B$2:$B$61,DATOS!$I$2:$I$20000,CONFIG_ASIGNATURAS!$D$2:$D$61,"Especialidad",CONFIG_ASIGNATURAS!$G$2:$G$61,"Sí")&gt;0)*(DATOS!$K$2:$K$20000=5))</f>
      </c>
      <c r="Q3">
        <f>SUMPRODUCT((DATOS!$G$2:$G$20000=CONFIG_METADATA!$B$4)*(COUNTIFS(CONFIG_ASIGNATURAS!$B$2:$B$61,DATOS!$I$2:$I$20000,CONFIG_ASIGNATURAS!$D$2:$D$61,"Especialidad",CONFIG_ASIGNATURAS!$G$2:$G$61,"Sí")&gt;0)*(DATOS!$K$2:$K$20000=6))</f>
      </c>
      <c r="R3">
        <f>SUMPRODUCT((DATOS!$G$2:$G$20000=CONFIG_METADATA!$B$4)*(COUNTIFS(CONFIG_ASIGNATURAS!$B$2:$B$61,DATOS!$I$2:$I$20000,CONFIG_ASIGNATURAS!$D$2:$D$61,"Especialidad",CONFIG_ASIGNATURAS!$G$2:$G$61,"Sí")&gt;0)*(DATOS!$K$2:$K$20000=7))</f>
      </c>
      <c r="S3">
        <f>SUMPRODUCT((DATOS!$G$2:$G$20000=CONFIG_METADATA!$B$4)*(COUNTIFS(CONFIG_ASIGNATURAS!$B$2:$B$61,DATOS!$I$2:$I$20000,CONFIG_ASIGNATURAS!$D$2:$D$61,"Especialidad",CONFIG_ASIGNATURAS!$G$2:$G$61,"Sí")&gt;0)*(DATOS!$K$2:$K$20000=8))</f>
      </c>
      <c r="T3">
        <f>SUMPRODUCT((DATOS!$G$2:$G$20000=CONFIG_METADATA!$B$4)*(COUNTIFS(CONFIG_ASIGNATURAS!$B$2:$B$61,DATOS!$I$2:$I$20000,CONFIG_ASIGNATURAS!$D$2:$D$61,"Especialidad",CONFIG_ASIGNATURAS!$G$2:$G$61,"Sí")&gt;0)*(DATOS!$K$2:$K$20000=9))</f>
      </c>
      <c r="U3">
        <f>SUMPRODUCT((DATOS!$G$2:$G$20000=CONFIG_METADATA!$B$4)*(COUNTIFS(CONFIG_ASIGNATURAS!$B$2:$B$61,DATOS!$I$2:$I$20000,CONFIG_ASIGNATURAS!$D$2:$D$61,"Especialidad",CONFIG_ASIGNATURAS!$G$2:$G$61,"Sí")&gt;0)*(DATOS!$K$2:$K$20000=10))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SUMPRODUCT((DATOS!$G$2:$G$20000=CONFIG_METADATA!$B$4)*(COUNTIFS(CONFIG_ASIGNATURAS!$B$2:$B$61,DATOS!$I$2:$I$20000,CONFIG_ASIGNATURAS!$D$2:$D$61,"&lt;&gt;Especialidad",CONFIG_ASIGNATURAS!$G$2:$G$61,"Sí")&gt;0)*1)</f>
      </c>
      <c r="E4" s="14">
        <f>IFERROR(AVERAGE(IF((DATOS!$G$2:$G$20000=CONFIG_METADATA!$B$4)*(COUNTIFS(CONFIG_ASIGNATURAS!$B$2:$B$61,DATOS!$I$2:$I$20000,CONFIG_ASIGNATURAS!$D$2:$D$61,"&lt;&gt;Especialidad",CONFIG_ASIGNATURAS!$G$2:$G$61,"Sí")&gt;0),DATOS!$K$2:$K$20000)),"—")</f>
      </c>
      <c r="F4" s="14">
        <f>IFERROR(_xlfn.STDEV.P(IF((DATOS!$G$2:$G$20000=CONFIG_METADATA!$B$4)*(COUNTIFS(CONFIG_ASIGNATURAS!$B$2:$B$61,DATOS!$I$2:$I$20000,CONFIG_ASIGNATURAS!$D$2:$D$61,"&lt;&gt;Especialidad",CONFIG_ASIGNATURAS!$G$2:$G$61,"Sí")&gt;0),DATOS!$K$2:$K$20000)),"—")</f>
      </c>
      <c r="G4">
        <f>IFERROR(_xlfn.MODE.SNGL(IF((DATOS!$G$2:$G$20000=CONFIG_METADATA!$B$4)*(COUNTIFS(CONFIG_ASIGNATURAS!$B$2:$B$61,DATOS!$I$2:$I$20000,CONFIG_ASIGNATURAS!$D$2:$D$61,"&lt;&gt;Especialidad",CONFIG_ASIGNATURAS!$G$2:$G$61,"Sí")&gt;0),DATOS!$K$2:$K$20000)),"—")</f>
      </c>
      <c r="H4" s="15">
        <f>IFERROR(SUMPRODUCT((DATOS!$G$2:$G$20000=CONFIG_METADATA!$B$4)*(COUNTIFS(CONFIG_ASIGNATURAS!$B$2:$B$61,DATOS!$I$2:$I$20000,CONFIG_ASIGNATURAS!$D$2:$D$61,"&lt;&gt;Especialidad",CONFIG_ASIGNATURAS!$G$2:$G$61,"Sí")&gt;0)*(DATOS!$L$2:$L$20000="S"))/SUMPRODUCT((DATOS!$G$2:$G$20000=CONFIG_METADATA!$B$4)*(COUNTIFS(CONFIG_ASIGNATURAS!$B$2:$B$61,DATOS!$I$2:$I$20000,CONFIG_ASIGNATURAS!$D$2:$D$61,"&lt;&gt;Especialidad",CONFIG_ASIGNATURAS!$G$2:$G$61,"Sí")&gt;0)*1),"—")</f>
      </c>
      <c r="I4" s="15">
        <f>IFERROR(SUMPRODUCT((DATOS!$G$2:$G$20000=CONFIG_METADATA!$B$4)*(COUNTIFS(CONFIG_ASIGNATURAS!$B$2:$B$61,DATOS!$I$2:$I$20000,CONFIG_ASIGNATURAS!$D$2:$D$61,"&lt;&gt;Especialidad",CONFIG_ASIGNATURAS!$G$2:$G$61,"Sí")&gt;0)*(DATOS!$L$2:$L$20000="N"))/SUMPRODUCT((DATOS!$G$2:$G$20000=CONFIG_METADATA!$B$4)*(COUNTIFS(CONFIG_ASIGNATURAS!$B$2:$B$61,DATOS!$I$2:$I$20000,CONFIG_ASIGNATURAS!$D$2:$D$61,"&lt;&gt;Especialidad",CONFIG_ASIGNATURAS!$G$2:$G$61,"Sí")&gt;0)*1),"—")</f>
      </c>
      <c r="J4">
        <f>IFERROR(_xlfn.MODE.SNGL(IF((DATOS!$G$2:$G$20000=CONFIG_METADATA!$B$4)*(COUNTIFS(CONFIG_ASIGNATURAS!$B$2:$B$61,DATOS!$I$2:$I$20000,CONFIG_ASIGNATURAS!$D$2:$D$61,"&lt;&gt;Especialidad",CONFIG_ASIGNATURAS!$G$2:$G$61,"Sí")&gt;0)*(DATOS!$L$2:$L$20000="S"),DATOS!$K$2:$K$20000)),"—")</f>
      </c>
      <c r="K4">
        <f>IFERROR(_xlfn.MODE.SNGL(IF((DATOS!$G$2:$G$20000=CONFIG_METADATA!$B$4)*(COUNTIFS(CONFIG_ASIGNATURAS!$B$2:$B$61,DATOS!$I$2:$I$20000,CONFIG_ASIGNATURAS!$D$2:$D$61,"&lt;&gt;Especialidad",CONFIG_ASIGNATURAS!$G$2:$G$61,"Sí")&gt;0)*(DATOS!$L$2:$L$20000="N"),DATOS!$K$2:$K$20000)),"—")</f>
      </c>
      <c r="L4">
        <f>SUMPRODUCT((DATOS!$G$2:$G$20000=CONFIG_METADATA!$B$4)*(COUNTIFS(CONFIG_ASIGNATURAS!$B$2:$B$61,DATOS!$I$2:$I$20000,CONFIG_ASIGNATURAS!$D$2:$D$61,"&lt;&gt;Especialidad",CONFIG_ASIGNATURAS!$G$2:$G$61,"Sí")&gt;0)*(DATOS!$K$2:$K$20000=1))</f>
      </c>
      <c r="M4">
        <f>SUMPRODUCT((DATOS!$G$2:$G$20000=CONFIG_METADATA!$B$4)*(COUNTIFS(CONFIG_ASIGNATURAS!$B$2:$B$61,DATOS!$I$2:$I$20000,CONFIG_ASIGNATURAS!$D$2:$D$61,"&lt;&gt;Especialidad",CONFIG_ASIGNATURAS!$G$2:$G$61,"Sí")&gt;0)*(DATOS!$K$2:$K$20000=2))</f>
      </c>
      <c r="N4">
        <f>SUMPRODUCT((DATOS!$G$2:$G$20000=CONFIG_METADATA!$B$4)*(COUNTIFS(CONFIG_ASIGNATURAS!$B$2:$B$61,DATOS!$I$2:$I$20000,CONFIG_ASIGNATURAS!$D$2:$D$61,"&lt;&gt;Especialidad",CONFIG_ASIGNATURAS!$G$2:$G$61,"Sí")&gt;0)*(DATOS!$K$2:$K$20000=3))</f>
      </c>
      <c r="O4">
        <f>SUMPRODUCT((DATOS!$G$2:$G$20000=CONFIG_METADATA!$B$4)*(COUNTIFS(CONFIG_ASIGNATURAS!$B$2:$B$61,DATOS!$I$2:$I$20000,CONFIG_ASIGNATURAS!$D$2:$D$61,"&lt;&gt;Especialidad",CONFIG_ASIGNATURAS!$G$2:$G$61,"Sí")&gt;0)*(DATOS!$K$2:$K$20000=4))</f>
      </c>
      <c r="P4">
        <f>SUMPRODUCT((DATOS!$G$2:$G$20000=CONFIG_METADATA!$B$4)*(COUNTIFS(CONFIG_ASIGNATURAS!$B$2:$B$61,DATOS!$I$2:$I$20000,CONFIG_ASIGNATURAS!$D$2:$D$61,"&lt;&gt;Especialidad",CONFIG_ASIGNATURAS!$G$2:$G$61,"Sí")&gt;0)*(DATOS!$K$2:$K$20000=5))</f>
      </c>
      <c r="Q4">
        <f>SUMPRODUCT((DATOS!$G$2:$G$20000=CONFIG_METADATA!$B$4)*(COUNTIFS(CONFIG_ASIGNATURAS!$B$2:$B$61,DATOS!$I$2:$I$20000,CONFIG_ASIGNATURAS!$D$2:$D$61,"&lt;&gt;Especialidad",CONFIG_ASIGNATURAS!$G$2:$G$61,"Sí")&gt;0)*(DATOS!$K$2:$K$20000=6))</f>
      </c>
      <c r="R4">
        <f>SUMPRODUCT((DATOS!$G$2:$G$20000=CONFIG_METADATA!$B$4)*(COUNTIFS(CONFIG_ASIGNATURAS!$B$2:$B$61,DATOS!$I$2:$I$20000,CONFIG_ASIGNATURAS!$D$2:$D$61,"&lt;&gt;Especialidad",CONFIG_ASIGNATURAS!$G$2:$G$61,"Sí")&gt;0)*(DATOS!$K$2:$K$20000=7))</f>
      </c>
      <c r="S4">
        <f>SUMPRODUCT((DATOS!$G$2:$G$20000=CONFIG_METADATA!$B$4)*(COUNTIFS(CONFIG_ASIGNATURAS!$B$2:$B$61,DATOS!$I$2:$I$20000,CONFIG_ASIGNATURAS!$D$2:$D$61,"&lt;&gt;Especialidad",CONFIG_ASIGNATURAS!$G$2:$G$61,"Sí")&gt;0)*(DATOS!$K$2:$K$20000=8))</f>
      </c>
      <c r="T4">
        <f>SUMPRODUCT((DATOS!$G$2:$G$20000=CONFIG_METADATA!$B$4)*(COUNTIFS(CONFIG_ASIGNATURAS!$B$2:$B$61,DATOS!$I$2:$I$20000,CONFIG_ASIGNATURAS!$D$2:$D$61,"&lt;&gt;Especialidad",CONFIG_ASIGNATURAS!$G$2:$G$61,"Sí")&gt;0)*(DATOS!$K$2:$K$20000=9))</f>
      </c>
      <c r="U4">
        <f>SUMPRODUCT((DATOS!$G$2:$G$20000=CONFIG_METADATA!$B$4)*(COUNTIFS(CONFIG_ASIGNATURAS!$B$2:$B$61,DATOS!$I$2:$I$20000,CONFIG_ASIGNATURAS!$D$2:$D$61,"&lt;&gt;Especialidad",CONFIG_ASIGNATURAS!$G$2:$G$61,"Sí")&gt;0)*(DATOS!$K$2:$K$20000=10))</f>
      </c>
    </row>
    <row r="5" spans="1:22">
      <c r="A5" s="3" t="inlineStr">
        <is>
          <t xml:space="preserve">GLOBAL</t>
        </is>
      </c>
      <c r="B5" s="3" cm="1">
        <f t="array" ref="B5">IFERROR(INDEX(_xlfn._xlws.FILTER(CONFIG_ASIGNATURAS!$B$2:$B$61,CONFIG_ASIGNATURAS!$G$2:$G$61="Sí"),1),"")</f>
      </c>
      <c r="C5" s="3">
        <f>IF(B5="","",IFERROR(IF(VLOOKUP(B5,CONFIG_ASIGNATURAS!$B$2:$F$61,5,FALSE())="Sí","Especialidad","Asignatura"),"Asignatura"))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 cm="1">
        <f t="array" ref="B6">IFERROR(INDEX(_xlfn._xlws.FILTER(CONFIG_ASIGNATURAS!$B$2:$B$61,CONFIG_ASIGNATURAS!$G$2:$G$61="Sí"),2),"")</f>
      </c>
      <c r="C6" s="3">
        <f>IF(B6="","",IFERROR(IF(VLOOKUP(B6,CONFIG_ASIGNATURAS!$B$2:$F$61,5,FALSE())="Sí","Especialidad","Asignatura"),"Asignatura"))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 cm="1">
        <f t="array" ref="B7">IFERROR(INDEX(_xlfn._xlws.FILTER(CONFIG_ASIGNATURAS!$B$2:$B$61,CONFIG_ASIGNATURAS!$G$2:$G$61="Sí"),3),"")</f>
      </c>
      <c r="C7" s="3">
        <f>IF(B7="","",IFERROR(IF(VLOOKUP(B7,CONFIG_ASIGNATURAS!$B$2:$F$61,5,FALSE())="Sí","Especialidad","Asignatura"),"Asignatura"))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 cm="1">
        <f t="array" ref="B8">IFERROR(INDEX(_xlfn._xlws.FILTER(CONFIG_ASIGNATURAS!$B$2:$B$61,CONFIG_ASIGNATURAS!$G$2:$G$61="Sí"),4),"")</f>
      </c>
      <c r="C8" s="3">
        <f>IF(B8="","",IFERROR(IF(VLOOKUP(B8,CONFIG_ASIGNATURAS!$B$2:$F$61,5,FALSE())="Sí","Especialidad","Asignatura"),"Asignatura"))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 cm="1">
        <f t="array" ref="B9">IFERROR(INDEX(_xlfn._xlws.FILTER(CONFIG_ASIGNATURAS!$B$2:$B$61,CONFIG_ASIGNATURAS!$G$2:$G$61="Sí"),5),"")</f>
      </c>
      <c r="C9" s="3">
        <f>IF(B9="","",IFERROR(IF(VLOOKUP(B9,CONFIG_ASIGNATURAS!$B$2:$F$61,5,FALSE())="Sí","Especialidad","Asignatura"),"Asignatura"))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 cm="1">
        <f t="array" ref="B10">IFERROR(INDEX(_xlfn._xlws.FILTER(CONFIG_ASIGNATURAS!$B$2:$B$61,CONFIG_ASIGNATURAS!$G$2:$G$61="Sí"),6),"")</f>
      </c>
      <c r="C10" s="3">
        <f>IF(B10="","",IFERROR(IF(VLOOKUP(B10,CONFIG_ASIGNATURAS!$B$2:$F$61,5,FALSE())="Sí","Especialidad","Asignatura"),"Asignatura"))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 cm="1">
        <f t="array" ref="B11">IFERROR(INDEX(_xlfn._xlws.FILTER(CONFIG_ASIGNATURAS!$B$2:$B$61,CONFIG_ASIGNATURAS!$G$2:$G$61="Sí"),7),"")</f>
      </c>
      <c r="C11" s="3">
        <f>IF(B11="","",IFERROR(IF(VLOOKUP(B11,CONFIG_ASIGNATURAS!$B$2:$F$61,5,FALSE())="Sí","Especialidad","Asignatura"),"Asignatura"))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 cm="1">
        <f t="array" ref="B12">IFERROR(INDEX(_xlfn._xlws.FILTER(CONFIG_ASIGNATURAS!$B$2:$B$61,CONFIG_ASIGNATURAS!$G$2:$G$61="Sí"),8),"")</f>
      </c>
      <c r="C12" s="3">
        <f>IF(B12="","",IFERROR(IF(VLOOKUP(B12,CONFIG_ASIGNATURAS!$B$2:$F$61,5,FALSE())="Sí","Especialidad","Asignatura"),"Asignatura"))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 cm="1">
        <f t="array" ref="B13">IFERROR(INDEX(_xlfn._xlws.FILTER(CONFIG_ASIGNATURAS!$B$2:$B$61,CONFIG_ASIGNATURAS!$G$2:$G$61="Sí"),9),"")</f>
      </c>
      <c r="C13" s="3">
        <f>IF(B13="","",IFERROR(IF(VLOOKUP(B13,CONFIG_ASIGNATURAS!$B$2:$F$61,5,FALSE())="Sí","Especialidad","Asignatura"),"Asignatura"))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 cm="1">
        <f t="array" ref="B14">IFERROR(INDEX(_xlfn._xlws.FILTER(CONFIG_ASIGNATURAS!$B$2:$B$61,CONFIG_ASIGNATURAS!$G$2:$G$61="Sí"),10),"")</f>
      </c>
      <c r="C14" s="3">
        <f>IF(B14="","",IFERROR(IF(VLOOKUP(B14,CONFIG_ASIGNATURAS!$B$2:$F$61,5,FALSE())="Sí","Especialidad","Asignatura"),"Asignatura"))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 cm="1">
        <f t="array" ref="B15">IFERROR(INDEX(_xlfn._xlws.FILTER(CONFIG_ASIGNATURAS!$B$2:$B$61,CONFIG_ASIGNATURAS!$G$2:$G$61="Sí"),11),"")</f>
      </c>
      <c r="C15" s="3">
        <f>IF(B15="","",IFERROR(IF(VLOOKUP(B15,CONFIG_ASIGNATURAS!$B$2:$F$61,5,FALSE())="Sí","Especialidad","Asignatura"),"Asignatura"))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 cm="1">
        <f t="array" ref="B16">IFERROR(INDEX(_xlfn._xlws.FILTER(CONFIG_ASIGNATURAS!$B$2:$B$61,CONFIG_ASIGNATURAS!$G$2:$G$61="Sí"),12),"")</f>
      </c>
      <c r="C16" s="3">
        <f>IF(B16="","",IFERROR(IF(VLOOKUP(B16,CONFIG_ASIGNATURAS!$B$2:$F$61,5,FALSE())="Sí","Especialidad","Asignatura"),"Asignatura"))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 cm="1">
        <f t="array" ref="B17">IFERROR(INDEX(_xlfn._xlws.FILTER(CONFIG_ASIGNATURAS!$B$2:$B$61,CONFIG_ASIGNATURAS!$G$2:$G$61="Sí"),13),"")</f>
      </c>
      <c r="C17" s="3">
        <f>IF(B17="","",IFERROR(IF(VLOOKUP(B17,CONFIG_ASIGNATURAS!$B$2:$F$61,5,FALSE())="Sí","Especialidad","Asignatura"),"Asignatura"))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 cm="1">
        <f t="array" ref="B18">IFERROR(INDEX(_xlfn._xlws.FILTER(CONFIG_ASIGNATURAS!$B$2:$B$61,CONFIG_ASIGNATURAS!$G$2:$G$61="Sí"),14),"")</f>
      </c>
      <c r="C18" s="3">
        <f>IF(B18="","",IFERROR(IF(VLOOKUP(B18,CONFIG_ASIGNATURAS!$B$2:$F$61,5,FALSE())="Sí","Especialidad","Asignatura"),"Asignatura"))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 cm="1">
        <f t="array" ref="B19">IFERROR(INDEX(_xlfn._xlws.FILTER(CONFIG_ASIGNATURAS!$B$2:$B$61,CONFIG_ASIGNATURAS!$G$2:$G$61="Sí"),15),"")</f>
      </c>
      <c r="C19" s="3">
        <f>IF(B19="","",IFERROR(IF(VLOOKUP(B19,CONFIG_ASIGNATURAS!$B$2:$F$61,5,FALSE())="Sí","Especialidad","Asignatura"),"Asignatura"))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 cm="1">
        <f t="array" ref="B20">IFERROR(INDEX(_xlfn._xlws.FILTER(CONFIG_ASIGNATURAS!$B$2:$B$61,CONFIG_ASIGNATURAS!$G$2:$G$61="Sí"),16),"")</f>
      </c>
      <c r="C20" s="3">
        <f>IF(B20="","",IFERROR(IF(VLOOKUP(B20,CONFIG_ASIGNATURAS!$B$2:$F$61,5,FALSE())="Sí","Especialidad","Asignatura"),"Asignatura"))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 cm="1">
        <f t="array" ref="B21">IFERROR(INDEX(_xlfn._xlws.FILTER(CONFIG_ASIGNATURAS!$B$2:$B$61,CONFIG_ASIGNATURAS!$G$2:$G$61="Sí"),17),"")</f>
      </c>
      <c r="C21" s="3">
        <f>IF(B21="","",IFERROR(IF(VLOOKUP(B21,CONFIG_ASIGNATURAS!$B$2:$F$61,5,FALSE())="Sí","Especialidad","Asignatura"),"Asignatura"))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 cm="1">
        <f t="array" ref="B22">IFERROR(INDEX(_xlfn._xlws.FILTER(CONFIG_ASIGNATURAS!$B$2:$B$61,CONFIG_ASIGNATURAS!$G$2:$G$61="Sí"),18),"")</f>
      </c>
      <c r="C22" s="3">
        <f>IF(B22="","",IFERROR(IF(VLOOKUP(B22,CONFIG_ASIGNATURAS!$B$2:$F$61,5,FALSE())="Sí","Especialidad","Asignatura"),"Asignatura"))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 cm="1">
        <f t="array" ref="B23">IFERROR(INDEX(_xlfn._xlws.FILTER(CONFIG_ASIGNATURAS!$B$2:$B$61,CONFIG_ASIGNATURAS!$G$2:$G$61="Sí"),19),"")</f>
      </c>
      <c r="C23" s="3">
        <f>IF(B23="","",IFERROR(IF(VLOOKUP(B23,CONFIG_ASIGNATURAS!$B$2:$F$61,5,FALSE())="Sí","Especialidad","Asignatura"),"Asignatura"))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 cm="1">
        <f t="array" ref="B24">IFERROR(INDEX(_xlfn._xlws.FILTER(CONFIG_ASIGNATURAS!$B$2:$B$61,CONFIG_ASIGNATURAS!$G$2:$G$61="Sí"),20),"")</f>
      </c>
      <c r="C24" s="3">
        <f>IF(B24="","",IFERROR(IF(VLOOKUP(B24,CONFIG_ASIGNATURAS!$B$2:$F$61,5,FALSE())="Sí","Especialidad","Asignatura"),"Asignatura"))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 cm="1">
        <f t="array" ref="B25">IFERROR(INDEX(_xlfn._xlws.FILTER(CONFIG_ASIGNATURAS!$B$2:$B$61,CONFIG_ASIGNATURAS!$G$2:$G$61="Sí"),21),"")</f>
      </c>
      <c r="C25" s="3">
        <f>IF(B25="","",IFERROR(IF(VLOOKUP(B25,CONFIG_ASIGNATURAS!$B$2:$F$61,5,FALSE())="Sí","Especialidad","Asignatura"),"Asignatura"))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 cm="1">
        <f t="array" ref="B26">IFERROR(INDEX(_xlfn._xlws.FILTER(CONFIG_ASIGNATURAS!$B$2:$B$61,CONFIG_ASIGNATURAS!$G$2:$G$61="Sí"),22),"")</f>
      </c>
      <c r="C26" s="3">
        <f>IF(B26="","",IFERROR(IF(VLOOKUP(B26,CONFIG_ASIGNATURAS!$B$2:$F$61,5,FALSE())="Sí","Especialidad","Asignatura"),"Asignatura"))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 cm="1">
        <f t="array" ref="B27">IFERROR(INDEX(_xlfn._xlws.FILTER(CONFIG_ASIGNATURAS!$B$2:$B$61,CONFIG_ASIGNATURAS!$G$2:$G$61="Sí"),23),"")</f>
      </c>
      <c r="C27" s="3">
        <f>IF(B27="","",IFERROR(IF(VLOOKUP(B27,CONFIG_ASIGNATURAS!$B$2:$F$61,5,FALSE())="Sí","Especialidad","Asignatura"),"Asignatura"))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 cm="1">
        <f t="array" ref="B28">IFERROR(INDEX(_xlfn._xlws.FILTER(CONFIG_ASIGNATURAS!$B$2:$B$61,CONFIG_ASIGNATURAS!$G$2:$G$61="Sí"),24),"")</f>
      </c>
      <c r="C28" s="3">
        <f>IF(B28="","",IFERROR(IF(VLOOKUP(B28,CONFIG_ASIGNATURAS!$B$2:$F$61,5,FALSE())="Sí","Especialidad","Asignatura"),"Asignatura"))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 cm="1">
        <f t="array" ref="B29">IFERROR(INDEX(_xlfn._xlws.FILTER(CONFIG_ASIGNATURAS!$B$2:$B$61,CONFIG_ASIGNATURAS!$G$2:$G$61="Sí"),25),"")</f>
      </c>
      <c r="C29" s="3">
        <f>IF(B29="","",IFERROR(IF(VLOOKUP(B29,CONFIG_ASIGNATURAS!$B$2:$F$61,5,FALSE())="Sí","Especialidad","Asignatura"),"Asignatura"))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 cm="1">
        <f t="array" ref="B30">IFERROR(INDEX(_xlfn._xlws.FILTER(CONFIG_ASIGNATURAS!$B$2:$B$61,CONFIG_ASIGNATURAS!$G$2:$G$61="Sí"),26),"")</f>
      </c>
      <c r="C30" s="3">
        <f>IF(B30="","",IFERROR(IF(VLOOKUP(B30,CONFIG_ASIGNATURAS!$B$2:$F$61,5,FALSE())="Sí","Especialidad","Asignatura"),"Asignatura"))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 cm="1">
        <f t="array" ref="B31">IFERROR(INDEX(_xlfn._xlws.FILTER(CONFIG_ASIGNATURAS!$B$2:$B$61,CONFIG_ASIGNATURAS!$G$2:$G$61="Sí"),27),"")</f>
      </c>
      <c r="C31" s="3">
        <f>IF(B31="","",IFERROR(IF(VLOOKUP(B31,CONFIG_ASIGNATURAS!$B$2:$F$61,5,FALSE())="Sí","Especialidad","Asignatura"),"Asignatura"))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 cm="1">
        <f t="array" ref="B32">IFERROR(INDEX(_xlfn._xlws.FILTER(CONFIG_ASIGNATURAS!$B$2:$B$61,CONFIG_ASIGNATURAS!$G$2:$G$61="Sí"),28),"")</f>
      </c>
      <c r="C32" s="3">
        <f>IF(B32="","",IFERROR(IF(VLOOKUP(B32,CONFIG_ASIGNATURAS!$B$2:$F$61,5,FALSE())="Sí","Especialidad","Asignatura"),"Asignatura"))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 cm="1">
        <f t="array" ref="B33">IFERROR(INDEX(_xlfn._xlws.FILTER(CONFIG_ASIGNATURAS!$B$2:$B$61,CONFIG_ASIGNATURAS!$G$2:$G$61="Sí"),29),"")</f>
      </c>
      <c r="C33" s="3">
        <f>IF(B33="","",IFERROR(IF(VLOOKUP(B33,CONFIG_ASIGNATURAS!$B$2:$F$61,5,FALSE())="Sí","Especialidad","Asignatura"),"Asignatura"))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 cm="1">
        <f t="array" ref="B34">IFERROR(INDEX(_xlfn._xlws.FILTER(CONFIG_ASIGNATURAS!$B$2:$B$61,CONFIG_ASIGNATURAS!$G$2:$G$61="Sí"),30),"")</f>
      </c>
      <c r="C34" s="3">
        <f>IF(B34="","",IFERROR(IF(VLOOKUP(B34,CONFIG_ASIGNATURAS!$B$2:$F$61,5,FALSE())="Sí","Especialidad","Asignatura"),"Asignatura"))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 cm="1">
        <f t="array" ref="B35">IFERROR(INDEX(_xlfn._xlws.FILTER(CONFIG_ASIGNATURAS!$B$2:$B$61,CONFIG_ASIGNATURAS!$G$2:$G$61="Sí"),31),"")</f>
      </c>
      <c r="C35" s="3">
        <f>IF(B35="","",IFERROR(IF(VLOOKUP(B35,CONFIG_ASIGNATURAS!$B$2:$F$61,5,FALSE())="Sí","Especialidad","Asignatura"),"Asignatura"))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 cm="1">
        <f t="array" ref="B36">IFERROR(INDEX(_xlfn._xlws.FILTER(CONFIG_ASIGNATURAS!$B$2:$B$61,CONFIG_ASIGNATURAS!$G$2:$G$61="Sí"),32),"")</f>
      </c>
      <c r="C36" s="3">
        <f>IF(B36="","",IFERROR(IF(VLOOKUP(B36,CONFIG_ASIGNATURAS!$B$2:$F$61,5,FALSE())="Sí","Especialidad","Asignatura"),"Asignatura"))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 cm="1">
        <f t="array" ref="B37">IFERROR(INDEX(_xlfn._xlws.FILTER(CONFIG_ASIGNATURAS!$B$2:$B$61,CONFIG_ASIGNATURAS!$G$2:$G$61="Sí"),33),"")</f>
      </c>
      <c r="C37" s="3">
        <f>IF(B37="","",IFERROR(IF(VLOOKUP(B37,CONFIG_ASIGNATURAS!$B$2:$F$61,5,FALSE())="Sí","Especialidad","Asignatura"),"Asignatura"))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 cm="1">
        <f t="array" ref="B38">IFERROR(INDEX(_xlfn._xlws.FILTER(CONFIG_ASIGNATURAS!$B$2:$B$61,CONFIG_ASIGNATURAS!$G$2:$G$61="Sí"),34),"")</f>
      </c>
      <c r="C38" s="3">
        <f>IF(B38="","",IFERROR(IF(VLOOKUP(B38,CONFIG_ASIGNATURAS!$B$2:$F$61,5,FALSE())="Sí","Especialidad","Asignatura"),"Asignatura"))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GLOBAL</t>
        </is>
      </c>
      <c r="B39" s="3" cm="1">
        <f t="array" ref="B39">IFERROR(INDEX(_xlfn._xlws.FILTER(CONFIG_ASIGNATURAS!$B$2:$B$61,CONFIG_ASIGNATURAS!$G$2:$G$61="Sí"),35),"")</f>
      </c>
      <c r="C39" s="3">
        <f>IF(B39="","",IFERROR(IF(VLOOKUP(B39,CONFIG_ASIGNATURAS!$B$2:$F$61,5,FALSE())="Sí","Especialidad","Asignatura"),"Asignatura"))</f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IFERROR(_xlfn.STDEV.P(IF((DATOS!$G$2:$G$20000=CONFIG_METADATA!$B$4)*(DATOS!$I$2:$I$20000=B39),DATOS!$K$2:$K$20000)),"—")</f>
        <v>—</v>
      </c>
      <c r="G39" t="str" cm="1">
        <f t="array" ref="G39">IFERROR(_xlfn.MODE.SNGL(IF((DATOS!$G$2:$G$20000=CONFIG_METADATA!$B$4)*(DATOS!$I$2:$I$20000=B39),DATOS!$K$2:$K$20000)),"—")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IFERROR(_xlfn.MODE.SNGL(IF((DATOS!$G$2:$G$20000=CONFIG_METADATA!$B$4)*(DATOS!$I$2:$I$20000=B39)*(DATOS!$L$2:$L$20000="S"),DATOS!$K$2:$K$20000)),"—")</f>
        <v>—</v>
      </c>
      <c r="K39" t="str" cm="1">
        <f t="array" ref="K39">IFERROR(_xlfn.MODE.SNGL(IF((DATOS!$G$2:$G$20000=CONFIG_METADATA!$B$4)*(DATOS!$I$2:$I$20000=B39)*(DATOS!$L$2:$L$20000="N"),DATOS!$K$2:$K$20000)),"—")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GLOBAL</t>
        </is>
      </c>
      <c r="B40" s="3" cm="1">
        <f t="array" ref="B40">IFERROR(INDEX(_xlfn._xlws.FILTER(CONFIG_ASIGNATURAS!$B$2:$B$61,CONFIG_ASIGNATURAS!$G$2:$G$61="Sí"),36),"")</f>
      </c>
      <c r="C40" s="3">
        <f>IF(B40="","",IFERROR(IF(VLOOKUP(B40,CONFIG_ASIGNATURAS!$B$2:$F$61,5,FALSE())="Sí","Especialidad","Asignatura"),"Asignatura"))</f>
      </c>
      <c r="D40">
        <f>COUNTIFS(DATOS!G:G,CONFIG_METADATA!$B$4,DATOS!I:I,B40)</f>
        <v>0</v>
      </c>
      <c r="E40" s="14" t="str">
        <f>IFERROR(AVERAGEIFS(DATOS!K:K,DATOS!G:G,CONFIG_METADATA!$B$4,DATOS!I:I,B40),"—")</f>
        <v>—</v>
      </c>
      <c r="F40" s="14" t="str" cm="1">
        <f t="array" ref="F40">IFERROR(_xlfn.STDEV.P(IF((DATOS!$G$2:$G$20000=CONFIG_METADATA!$B$4)*(DATOS!$I$2:$I$20000=B40),DATOS!$K$2:$K$20000)),"—")</f>
        <v>—</v>
      </c>
      <c r="G40" t="str" cm="1">
        <f t="array" ref="G40">IFERROR(_xlfn.MODE.SNGL(IF((DATOS!$G$2:$G$20000=CONFIG_METADATA!$B$4)*(DATOS!$I$2:$I$20000=B40),DATOS!$K$2:$K$20000)),"—")</f>
        <v>—</v>
      </c>
      <c r="H40" s="15" t="str">
        <f>IFERROR(COUNTIFS(DATOS!G:G,CONFIG_METADATA!$B$4,DATOS!I:I,B40,DATOS!L:L,"S")/COUNTIFS(DATOS!G:G,CONFIG_METADATA!$B$4,DATOS!I:I,B40),"—")</f>
        <v>—</v>
      </c>
      <c r="I40" s="15" t="str">
        <f>IFERROR(COUNTIFS(DATOS!G:G,CONFIG_METADATA!$B$4,DATOS!I:I,B40,DATOS!L:L,"N")/COUNTIFS(DATOS!G:G,CONFIG_METADATA!$B$4,DATOS!I:I,B40),"—")</f>
        <v>—</v>
      </c>
      <c r="J40" t="str" cm="1">
        <f t="array" ref="J40">IFERROR(_xlfn.MODE.SNGL(IF((DATOS!$G$2:$G$20000=CONFIG_METADATA!$B$4)*(DATOS!$I$2:$I$20000=B40)*(DATOS!$L$2:$L$20000="S"),DATOS!$K$2:$K$20000)),"—")</f>
        <v>—</v>
      </c>
      <c r="K40" t="str" cm="1">
        <f t="array" ref="K40">IFERROR(_xlfn.MODE.SNGL(IF((DATOS!$G$2:$G$20000=CONFIG_METADATA!$B$4)*(DATOS!$I$2:$I$20000=B40)*(DATOS!$L$2:$L$20000="N"),DATOS!$K$2:$K$20000)),"—")</f>
        <v>—</v>
      </c>
      <c r="L40">
        <f>COUNTIFS(DATOS!G:G,CONFIG_METADATA!$B$4,DATOS!I:I,B40,DATOS!K:K,1)</f>
        <v>0</v>
      </c>
      <c r="M40">
        <f>COUNTIFS(DATOS!G:G,CONFIG_METADATA!$B$4,DATOS!I:I,B40,DATOS!K:K,2)</f>
        <v>0</v>
      </c>
      <c r="N40">
        <f>COUNTIFS(DATOS!G:G,CONFIG_METADATA!$B$4,DATOS!I:I,B40,DATOS!K:K,3)</f>
        <v>0</v>
      </c>
      <c r="O40">
        <f>COUNTIFS(DATOS!G:G,CONFIG_METADATA!$B$4,DATOS!I:I,B40,DATOS!K:K,4)</f>
        <v>0</v>
      </c>
      <c r="P40">
        <f>COUNTIFS(DATOS!G:G,CONFIG_METADATA!$B$4,DATOS!I:I,B40,DATOS!K:K,5)</f>
        <v>0</v>
      </c>
      <c r="Q40">
        <f>COUNTIFS(DATOS!G:G,CONFIG_METADATA!$B$4,DATOS!I:I,B40,DATOS!K:K,6)</f>
        <v>0</v>
      </c>
      <c r="R40">
        <f>COUNTIFS(DATOS!G:G,CONFIG_METADATA!$B$4,DATOS!I:I,B40,DATOS!K:K,7)</f>
        <v>0</v>
      </c>
      <c r="S40">
        <f>COUNTIFS(DATOS!G:G,CONFIG_METADATA!$B$4,DATOS!I:I,B40,DATOS!K:K,8)</f>
        <v>0</v>
      </c>
      <c r="T40">
        <f>COUNTIFS(DATOS!G:G,CONFIG_METADATA!$B$4,DATOS!I:I,B40,DATOS!K:K,9)</f>
        <v>0</v>
      </c>
      <c r="U40">
        <f>COUNTIFS(DATOS!G:G,CONFIG_METADATA!$B$4,DATOS!I:I,B40,DATOS!K:K,10)</f>
        <v>0</v>
      </c>
    </row>
    <row r="41" spans="1:22">
      <c r="A41" s="3" t="inlineStr">
        <is>
          <t xml:space="preserve">GLOBAL</t>
        </is>
      </c>
      <c r="B41" s="3" cm="1">
        <f t="array" ref="B41">IFERROR(INDEX(_xlfn._xlws.FILTER(CONFIG_ASIGNATURAS!$B$2:$B$61,CONFIG_ASIGNATURAS!$G$2:$G$61="Sí"),37),"")</f>
      </c>
      <c r="C41" s="3">
        <f>IF(B41="","",IFERROR(IF(VLOOKUP(B41,CONFIG_ASIGNATURAS!$B$2:$F$61,5,FALSE())="Sí","Especialidad","Asignatura"),"Asignatura"))</f>
      </c>
      <c r="D41">
        <f>COUNTIFS(DATOS!G:G,CONFIG_METADATA!$B$4,DATOS!I:I,B41)</f>
        <v>0</v>
      </c>
      <c r="E41" s="14" t="str">
        <f>IFERROR(AVERAGEIFS(DATOS!K:K,DATOS!G:G,CONFIG_METADATA!$B$4,DATOS!I:I,B41),"—")</f>
        <v>—</v>
      </c>
      <c r="F41" s="14" t="str" cm="1">
        <f t="array" ref="F41">IFERROR(_xlfn.STDEV.P(IF((DATOS!$G$2:$G$20000=CONFIG_METADATA!$B$4)*(DATOS!$I$2:$I$20000=B41),DATOS!$K$2:$K$20000)),"—")</f>
        <v>—</v>
      </c>
      <c r="G41" t="str" cm="1">
        <f t="array" ref="G41">IFERROR(_xlfn.MODE.SNGL(IF((DATOS!$G$2:$G$20000=CONFIG_METADATA!$B$4)*(DATOS!$I$2:$I$20000=B41),DATOS!$K$2:$K$20000)),"—")</f>
        <v>—</v>
      </c>
      <c r="H41" s="15" t="str">
        <f>IFERROR(COUNTIFS(DATOS!G:G,CONFIG_METADATA!$B$4,DATOS!I:I,B41,DATOS!L:L,"S")/COUNTIFS(DATOS!G:G,CONFIG_METADATA!$B$4,DATOS!I:I,B41),"—")</f>
        <v>—</v>
      </c>
      <c r="I41" s="15" t="str">
        <f>IFERROR(COUNTIFS(DATOS!G:G,CONFIG_METADATA!$B$4,DATOS!I:I,B41,DATOS!L:L,"N")/COUNTIFS(DATOS!G:G,CONFIG_METADATA!$B$4,DATOS!I:I,B41),"—")</f>
        <v>—</v>
      </c>
      <c r="J41" t="str" cm="1">
        <f t="array" ref="J41">IFERROR(_xlfn.MODE.SNGL(IF((DATOS!$G$2:$G$20000=CONFIG_METADATA!$B$4)*(DATOS!$I$2:$I$20000=B41)*(DATOS!$L$2:$L$20000="S"),DATOS!$K$2:$K$20000)),"—")</f>
        <v>—</v>
      </c>
      <c r="K41" t="str" cm="1">
        <f t="array" ref="K41">IFERROR(_xlfn.MODE.SNGL(IF((DATOS!$G$2:$G$20000=CONFIG_METADATA!$B$4)*(DATOS!$I$2:$I$20000=B41)*(DATOS!$L$2:$L$20000="N"),DATOS!$K$2:$K$20000)),"—")</f>
        <v>—</v>
      </c>
      <c r="L41">
        <f>COUNTIFS(DATOS!G:G,CONFIG_METADATA!$B$4,DATOS!I:I,B41,DATOS!K:K,1)</f>
        <v>0</v>
      </c>
      <c r="M41">
        <f>COUNTIFS(DATOS!G:G,CONFIG_METADATA!$B$4,DATOS!I:I,B41,DATOS!K:K,2)</f>
        <v>0</v>
      </c>
      <c r="N41">
        <f>COUNTIFS(DATOS!G:G,CONFIG_METADATA!$B$4,DATOS!I:I,B41,DATOS!K:K,3)</f>
        <v>0</v>
      </c>
      <c r="O41">
        <f>COUNTIFS(DATOS!G:G,CONFIG_METADATA!$B$4,DATOS!I:I,B41,DATOS!K:K,4)</f>
        <v>0</v>
      </c>
      <c r="P41">
        <f>COUNTIFS(DATOS!G:G,CONFIG_METADATA!$B$4,DATOS!I:I,B41,DATOS!K:K,5)</f>
        <v>0</v>
      </c>
      <c r="Q41">
        <f>COUNTIFS(DATOS!G:G,CONFIG_METADATA!$B$4,DATOS!I:I,B41,DATOS!K:K,6)</f>
        <v>0</v>
      </c>
      <c r="R41">
        <f>COUNTIFS(DATOS!G:G,CONFIG_METADATA!$B$4,DATOS!I:I,B41,DATOS!K:K,7)</f>
        <v>0</v>
      </c>
      <c r="S41">
        <f>COUNTIFS(DATOS!G:G,CONFIG_METADATA!$B$4,DATOS!I:I,B41,DATOS!K:K,8)</f>
        <v>0</v>
      </c>
      <c r="T41">
        <f>COUNTIFS(DATOS!G:G,CONFIG_METADATA!$B$4,DATOS!I:I,B41,DATOS!K:K,9)</f>
        <v>0</v>
      </c>
      <c r="U41">
        <f>COUNTIFS(DATOS!G:G,CONFIG_METADATA!$B$4,DATOS!I:I,B41,DATOS!K:K,10)</f>
        <v>0</v>
      </c>
    </row>
    <row r="42" spans="1:22">
      <c r="A42" s="3" t="inlineStr">
        <is>
          <t xml:space="preserve">GLOBAL</t>
        </is>
      </c>
      <c r="B42" s="3" cm="1">
        <f t="array" ref="B42">IFERROR(INDEX(_xlfn._xlws.FILTER(CONFIG_ASIGNATURAS!$B$2:$B$61,CONFIG_ASIGNATURAS!$G$2:$G$61="Sí"),38),"")</f>
      </c>
      <c r="C42" s="3">
        <f>IF(B42="","",IFERROR(IF(VLOOKUP(B42,CONFIG_ASIGNATURAS!$B$2:$F$61,5,FALSE())="Sí","Especialidad","Asignatura"),"Asignatura"))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IFERROR(_xlfn.STDEV.P(IF((DATOS!$G$2:$G$20000=CONFIG_METADATA!$B$4)*(DATOS!$I$2:$I$20000=B42),DATOS!$K$2:$K$20000)),"—")</f>
        <v>—</v>
      </c>
      <c r="G42" t="str" cm="1">
        <f t="array" ref="G42">IFERROR(_xlfn.MODE.SNGL(IF((DATOS!$G$2:$G$20000=CONFIG_METADATA!$B$4)*(DATOS!$I$2:$I$20000=B42),DATOS!$K$2:$K$20000)),"—")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IFERROR(_xlfn.MODE.SNGL(IF((DATOS!$G$2:$G$20000=CONFIG_METADATA!$B$4)*(DATOS!$I$2:$I$20000=B42)*(DATOS!$L$2:$L$20000="S"),DATOS!$K$2:$K$20000)),"—")</f>
        <v>—</v>
      </c>
      <c r="K42" t="str" cm="1">
        <f t="array" ref="K42">IFERROR(_xlfn.MODE.SNGL(IF((DATOS!$G$2:$G$20000=CONFIG_METADATA!$B$4)*(DATOS!$I$2:$I$20000=B42)*(DATOS!$L$2:$L$20000="N"),DATOS!$K$2:$K$20000)),"—")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GLOBAL</t>
        </is>
      </c>
      <c r="B43" s="3" cm="1">
        <f t="array" ref="B43">IFERROR(INDEX(_xlfn._xlws.FILTER(CONFIG_ASIGNATURAS!$B$2:$B$61,CONFIG_ASIGNATURAS!$G$2:$G$61="Sí"),39),"")</f>
      </c>
      <c r="C43" s="3">
        <f>IF(B43="","",IFERROR(IF(VLOOKUP(B43,CONFIG_ASIGNATURAS!$B$2:$F$61,5,FALSE())="Sí","Especialidad","Asignatura"),"Asignatura"))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IFERROR(_xlfn.STDEV.P(IF((DATOS!$G$2:$G$20000=CONFIG_METADATA!$B$4)*(DATOS!$I$2:$I$20000=B43),DATOS!$K$2:$K$20000)),"—")</f>
        <v>—</v>
      </c>
      <c r="G43" t="str" cm="1">
        <f t="array" ref="G43">IFERROR(_xlfn.MODE.SNGL(IF((DATOS!$G$2:$G$20000=CONFIG_METADATA!$B$4)*(DATOS!$I$2:$I$20000=B43),DATOS!$K$2:$K$20000)),"—")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IFERROR(_xlfn.MODE.SNGL(IF((DATOS!$G$2:$G$20000=CONFIG_METADATA!$B$4)*(DATOS!$I$2:$I$20000=B43)*(DATOS!$L$2:$L$20000="S"),DATOS!$K$2:$K$20000)),"—")</f>
        <v>—</v>
      </c>
      <c r="K43" t="str" cm="1">
        <f t="array" ref="K43">IFERROR(_xlfn.MODE.SNGL(IF((DATOS!$G$2:$G$20000=CONFIG_METADATA!$B$4)*(DATOS!$I$2:$I$20000=B43)*(DATOS!$L$2:$L$20000="N"),DATOS!$K$2:$K$20000)),"—")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GLOBAL</t>
        </is>
      </c>
      <c r="B44" s="3" cm="1">
        <f t="array" ref="B44">IFERROR(INDEX(_xlfn._xlws.FILTER(CONFIG_ASIGNATURAS!$B$2:$B$61,CONFIG_ASIGNATURAS!$G$2:$G$61="Sí"),40),"")</f>
      </c>
      <c r="C44" s="3">
        <f>IF(B44="","",IFERROR(IF(VLOOKUP(B44,CONFIG_ASIGNATURAS!$B$2:$F$61,5,FALSE())="Sí","Especialidad","Asignatura"),"Asignatura"))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IFERROR(_xlfn.STDEV.P(IF((DATOS!$G$2:$G$20000=CONFIG_METADATA!$B$4)*(DATOS!$I$2:$I$20000=B44),DATOS!$K$2:$K$20000)),"—")</f>
        <v>—</v>
      </c>
      <c r="G44" t="str" cm="1">
        <f t="array" ref="G44">IFERROR(_xlfn.MODE.SNGL(IF((DATOS!$G$2:$G$20000=CONFIG_METADATA!$B$4)*(DATOS!$I$2:$I$20000=B44),DATOS!$K$2:$K$20000)),"—")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IFERROR(_xlfn.MODE.SNGL(IF((DATOS!$G$2:$G$20000=CONFIG_METADATA!$B$4)*(DATOS!$I$2:$I$20000=B44)*(DATOS!$L$2:$L$20000="S"),DATOS!$K$2:$K$20000)),"—")</f>
        <v>—</v>
      </c>
      <c r="K44" t="str" cm="1">
        <f t="array" ref="K44">IFERROR(_xlfn.MODE.SNGL(IF((DATOS!$G$2:$G$20000=CONFIG_METADATA!$B$4)*(DATOS!$I$2:$I$20000=B44)*(DATOS!$L$2:$L$20000="N"),DATOS!$K$2:$K$20000)),"—")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GLOBAL</t>
        </is>
      </c>
      <c r="B45" s="3" cm="1">
        <f t="array" ref="B45">IFERROR(INDEX(_xlfn._xlws.FILTER(CONFIG_ASIGNATURAS!$B$2:$B$61,CONFIG_ASIGNATURAS!$G$2:$G$61="Sí"),41),"")</f>
      </c>
      <c r="C45" s="3">
        <f>IF(B45="","",IFERROR(IF(VLOOKUP(B45,CONFIG_ASIGNATURAS!$B$2:$F$61,5,FALSE())="Sí","Especialidad","Asignatura"),"Asignatura"))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IFERROR(_xlfn.STDEV.P(IF((DATOS!$G$2:$G$20000=CONFIG_METADATA!$B$4)*(DATOS!$I$2:$I$20000=B45),DATOS!$K$2:$K$20000)),"—")</f>
        <v>—</v>
      </c>
      <c r="G45" t="str" cm="1">
        <f t="array" ref="G45">IFERROR(_xlfn.MODE.SNGL(IF((DATOS!$G$2:$G$20000=CONFIG_METADATA!$B$4)*(DATOS!$I$2:$I$20000=B45),DATOS!$K$2:$K$20000)),"—")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IFERROR(_xlfn.MODE.SNGL(IF((DATOS!$G$2:$G$20000=CONFIG_METADATA!$B$4)*(DATOS!$I$2:$I$20000=B45)*(DATOS!$L$2:$L$20000="S"),DATOS!$K$2:$K$20000)),"—")</f>
        <v>—</v>
      </c>
      <c r="K45" t="str" cm="1">
        <f t="array" ref="K45">IFERROR(_xlfn.MODE.SNGL(IF((DATOS!$G$2:$G$20000=CONFIG_METADATA!$B$4)*(DATOS!$I$2:$I$20000=B45)*(DATOS!$L$2:$L$20000="N"),DATOS!$K$2:$K$20000)),"—")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GLOBAL</t>
        </is>
      </c>
      <c r="B46" s="3" cm="1">
        <f t="array" ref="B46">IFERROR(INDEX(_xlfn._xlws.FILTER(CONFIG_ASIGNATURAS!$B$2:$B$61,CONFIG_ASIGNATURAS!$G$2:$G$61="Sí"),42),"")</f>
      </c>
      <c r="C46" s="3">
        <f>IF(B46="","",IFERROR(IF(VLOOKUP(B46,CONFIG_ASIGNATURAS!$B$2:$F$61,5,FALSE())="Sí","Especialidad","Asignatura"),"Asignatura"))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IFERROR(_xlfn.STDEV.P(IF((DATOS!$G$2:$G$20000=CONFIG_METADATA!$B$4)*(DATOS!$I$2:$I$20000=B46),DATOS!$K$2:$K$20000)),"—")</f>
        <v>—</v>
      </c>
      <c r="G46" t="str" cm="1">
        <f t="array" ref="G46">IFERROR(_xlfn.MODE.SNGL(IF((DATOS!$G$2:$G$20000=CONFIG_METADATA!$B$4)*(DATOS!$I$2:$I$20000=B46),DATOS!$K$2:$K$20000)),"—")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IFERROR(_xlfn.MODE.SNGL(IF((DATOS!$G$2:$G$20000=CONFIG_METADATA!$B$4)*(DATOS!$I$2:$I$20000=B46)*(DATOS!$L$2:$L$20000="S"),DATOS!$K$2:$K$20000)),"—")</f>
        <v>—</v>
      </c>
      <c r="K46" t="str" cm="1">
        <f t="array" ref="K46">IFERROR(_xlfn.MODE.SNGL(IF((DATOS!$G$2:$G$20000=CONFIG_METADATA!$B$4)*(DATOS!$I$2:$I$20000=B46)*(DATOS!$L$2:$L$20000="N"),DATOS!$K$2:$K$20000)),"—")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GLOBAL</t>
        </is>
      </c>
      <c r="B47" s="3" cm="1">
        <f t="array" ref="B47">IFERROR(INDEX(_xlfn._xlws.FILTER(CONFIG_ASIGNATURAS!$B$2:$B$61,CONFIG_ASIGNATURAS!$G$2:$G$61="Sí"),43),"")</f>
      </c>
      <c r="C47" s="3">
        <f>IF(B47="","",IFERROR(IF(VLOOKUP(B47,CONFIG_ASIGNATURAS!$B$2:$F$61,5,FALSE())="Sí","Especialidad","Asignatura"),"Asignatura"))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IFERROR(_xlfn.STDEV.P(IF((DATOS!$G$2:$G$20000=CONFIG_METADATA!$B$4)*(DATOS!$I$2:$I$20000=B47),DATOS!$K$2:$K$20000)),"—")</f>
        <v>—</v>
      </c>
      <c r="G47" t="str" cm="1">
        <f t="array" ref="G47">IFERROR(_xlfn.MODE.SNGL(IF((DATOS!$G$2:$G$20000=CONFIG_METADATA!$B$4)*(DATOS!$I$2:$I$20000=B47),DATOS!$K$2:$K$20000)),"—")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IFERROR(_xlfn.MODE.SNGL(IF((DATOS!$G$2:$G$20000=CONFIG_METADATA!$B$4)*(DATOS!$I$2:$I$20000=B47)*(DATOS!$L$2:$L$20000="S"),DATOS!$K$2:$K$20000)),"—")</f>
        <v>—</v>
      </c>
      <c r="K47" t="str" cm="1">
        <f t="array" ref="K47">IFERROR(_xlfn.MODE.SNGL(IF((DATOS!$G$2:$G$20000=CONFIG_METADATA!$B$4)*(DATOS!$I$2:$I$20000=B47)*(DATOS!$L$2:$L$20000="N"),DATOS!$K$2:$K$20000)),"—")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GLOBAL</t>
        </is>
      </c>
      <c r="B48" s="3" cm="1">
        <f t="array" ref="B48">IFERROR(INDEX(_xlfn._xlws.FILTER(CONFIG_ASIGNATURAS!$B$2:$B$61,CONFIG_ASIGNATURAS!$G$2:$G$61="Sí"),44),"")</f>
      </c>
      <c r="C48" s="3">
        <f>IF(B48="","",IFERROR(IF(VLOOKUP(B48,CONFIG_ASIGNATURAS!$B$2:$F$61,5,FALSE())="Sí","Especialidad","Asignatura"),"Asignatura"))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IFERROR(_xlfn.STDEV.P(IF((DATOS!$G$2:$G$20000=CONFIG_METADATA!$B$4)*(DATOS!$I$2:$I$20000=B48),DATOS!$K$2:$K$20000)),"—")</f>
        <v>—</v>
      </c>
      <c r="G48" t="str" cm="1">
        <f t="array" ref="G48">IFERROR(_xlfn.MODE.SNGL(IF((DATOS!$G$2:$G$20000=CONFIG_METADATA!$B$4)*(DATOS!$I$2:$I$20000=B48),DATOS!$K$2:$K$20000)),"—")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IFERROR(_xlfn.MODE.SNGL(IF((DATOS!$G$2:$G$20000=CONFIG_METADATA!$B$4)*(DATOS!$I$2:$I$20000=B48)*(DATOS!$L$2:$L$20000="S"),DATOS!$K$2:$K$20000)),"—")</f>
        <v>—</v>
      </c>
      <c r="K48" t="str" cm="1">
        <f t="array" ref="K48">IFERROR(_xlfn.MODE.SNGL(IF((DATOS!$G$2:$G$20000=CONFIG_METADATA!$B$4)*(DATOS!$I$2:$I$20000=B48)*(DATOS!$L$2:$L$20000="N"),DATOS!$K$2:$K$20000)),"—")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GLOBAL</t>
        </is>
      </c>
      <c r="B49" s="3" cm="1">
        <f t="array" ref="B49">IFERROR(INDEX(_xlfn._xlws.FILTER(CONFIG_ASIGNATURAS!$B$2:$B$61,CONFIG_ASIGNATURAS!$G$2:$G$61="Sí"),45),"")</f>
      </c>
      <c r="C49" s="3">
        <f>IF(B49="","",IFERROR(IF(VLOOKUP(B49,CONFIG_ASIGNATURAS!$B$2:$F$61,5,FALSE())="Sí","Especialidad","Asignatura"),"Asignatura"))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IFERROR(_xlfn.STDEV.P(IF((DATOS!$G$2:$G$20000=CONFIG_METADATA!$B$4)*(DATOS!$I$2:$I$20000=B49),DATOS!$K$2:$K$20000)),"—")</f>
        <v>—</v>
      </c>
      <c r="G49" t="str" cm="1">
        <f t="array" ref="G49">IFERROR(_xlfn.MODE.SNGL(IF((DATOS!$G$2:$G$20000=CONFIG_METADATA!$B$4)*(DATOS!$I$2:$I$20000=B49),DATOS!$K$2:$K$20000)),"—")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IFERROR(_xlfn.MODE.SNGL(IF((DATOS!$G$2:$G$20000=CONFIG_METADATA!$B$4)*(DATOS!$I$2:$I$20000=B49)*(DATOS!$L$2:$L$20000="S"),DATOS!$K$2:$K$20000)),"—")</f>
        <v>—</v>
      </c>
      <c r="K49" t="str" cm="1">
        <f t="array" ref="K49">IFERROR(_xlfn.MODE.SNGL(IF((DATOS!$G$2:$G$20000=CONFIG_METADATA!$B$4)*(DATOS!$I$2:$I$20000=B49)*(DATOS!$L$2:$L$20000="N"),DATOS!$K$2:$K$20000)),"—")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GLOBAL</t>
        </is>
      </c>
      <c r="B50" s="3" cm="1">
        <f t="array" ref="B50">IFERROR(INDEX(_xlfn._xlws.FILTER(CONFIG_ASIGNATURAS!$B$2:$B$61,CONFIG_ASIGNATURAS!$G$2:$G$61="Sí"),46),"")</f>
      </c>
      <c r="C50" s="3">
        <f>IF(B50="","",IFERROR(IF(VLOOKUP(B50,CONFIG_ASIGNATURAS!$B$2:$F$61,5,FALSE())="Sí","Especialidad","Asignatura"),"Asignatura"))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IFERROR(_xlfn.STDEV.P(IF((DATOS!$G$2:$G$20000=CONFIG_METADATA!$B$4)*(DATOS!$I$2:$I$20000=B50),DATOS!$K$2:$K$20000)),"—")</f>
        <v>—</v>
      </c>
      <c r="G50" t="str" cm="1">
        <f t="array" ref="G50">IFERROR(_xlfn.MODE.SNGL(IF((DATOS!$G$2:$G$20000=CONFIG_METADATA!$B$4)*(DATOS!$I$2:$I$20000=B50),DATOS!$K$2:$K$20000)),"—")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IFERROR(_xlfn.MODE.SNGL(IF((DATOS!$G$2:$G$20000=CONFIG_METADATA!$B$4)*(DATOS!$I$2:$I$20000=B50)*(DATOS!$L$2:$L$20000="S"),DATOS!$K$2:$K$20000)),"—")</f>
        <v>—</v>
      </c>
      <c r="K50" t="str" cm="1">
        <f t="array" ref="K50">IFERROR(_xlfn.MODE.SNGL(IF((DATOS!$G$2:$G$20000=CONFIG_METADATA!$B$4)*(DATOS!$I$2:$I$20000=B50)*(DATOS!$L$2:$L$20000="N"),DATOS!$K$2:$K$20000)),"—")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GLOBAL</t>
        </is>
      </c>
      <c r="B51" s="3" cm="1">
        <f t="array" ref="B51">IFERROR(INDEX(_xlfn._xlws.FILTER(CONFIG_ASIGNATURAS!$B$2:$B$61,CONFIG_ASIGNATURAS!$G$2:$G$61="Sí"),47),"")</f>
      </c>
      <c r="C51" s="3">
        <f>IF(B51="","",IFERROR(IF(VLOOKUP(B51,CONFIG_ASIGNATURAS!$B$2:$F$61,5,FALSE())="Sí","Especialidad","Asignatura"),"Asignatura"))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IFERROR(_xlfn.STDEV.P(IF((DATOS!$G$2:$G$20000=CONFIG_METADATA!$B$4)*(DATOS!$I$2:$I$20000=B51),DATOS!$K$2:$K$20000)),"—")</f>
        <v>—</v>
      </c>
      <c r="G51" t="str" cm="1">
        <f t="array" ref="G51">IFERROR(_xlfn.MODE.SNGL(IF((DATOS!$G$2:$G$20000=CONFIG_METADATA!$B$4)*(DATOS!$I$2:$I$20000=B51),DATOS!$K$2:$K$20000)),"—")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IFERROR(_xlfn.MODE.SNGL(IF((DATOS!$G$2:$G$20000=CONFIG_METADATA!$B$4)*(DATOS!$I$2:$I$20000=B51)*(DATOS!$L$2:$L$20000="S"),DATOS!$K$2:$K$20000)),"—")</f>
        <v>—</v>
      </c>
      <c r="K51" t="str" cm="1">
        <f t="array" ref="K51">IFERROR(_xlfn.MODE.SNGL(IF((DATOS!$G$2:$G$20000=CONFIG_METADATA!$B$4)*(DATOS!$I$2:$I$20000=B51)*(DATOS!$L$2:$L$20000="N"),DATOS!$K$2:$K$20000)),"—")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GLOBAL</t>
        </is>
      </c>
      <c r="B52" s="3" cm="1">
        <f t="array" ref="B52">IFERROR(INDEX(_xlfn._xlws.FILTER(CONFIG_ASIGNATURAS!$B$2:$B$61,CONFIG_ASIGNATURAS!$G$2:$G$61="Sí"),48),"")</f>
      </c>
      <c r="C52" s="3">
        <f>IF(B52="","",IFERROR(IF(VLOOKUP(B52,CONFIG_ASIGNATURAS!$B$2:$F$61,5,FALSE())="Sí","Especialidad","Asignatura"),"Asignatura"))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IFERROR(_xlfn.STDEV.P(IF((DATOS!$G$2:$G$20000=CONFIG_METADATA!$B$4)*(DATOS!$I$2:$I$20000=B52),DATOS!$K$2:$K$20000)),"—")</f>
        <v>—</v>
      </c>
      <c r="G52" t="str" cm="1">
        <f t="array" ref="G52">IFERROR(_xlfn.MODE.SNGL(IF((DATOS!$G$2:$G$20000=CONFIG_METADATA!$B$4)*(DATOS!$I$2:$I$20000=B52),DATOS!$K$2:$K$20000)),"—")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IFERROR(_xlfn.MODE.SNGL(IF((DATOS!$G$2:$G$20000=CONFIG_METADATA!$B$4)*(DATOS!$I$2:$I$20000=B52)*(DATOS!$L$2:$L$20000="S"),DATOS!$K$2:$K$20000)),"—")</f>
        <v>—</v>
      </c>
      <c r="K52" t="str" cm="1">
        <f t="array" ref="K52">IFERROR(_xlfn.MODE.SNGL(IF((DATOS!$G$2:$G$20000=CONFIG_METADATA!$B$4)*(DATOS!$I$2:$I$20000=B52)*(DATOS!$L$2:$L$20000="N"),DATOS!$K$2:$K$20000)),"—")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GLOBAL</t>
        </is>
      </c>
      <c r="B53" s="3" cm="1">
        <f t="array" ref="B53">IFERROR(INDEX(_xlfn._xlws.FILTER(CONFIG_ASIGNATURAS!$B$2:$B$61,CONFIG_ASIGNATURAS!$G$2:$G$61="Sí"),49),"")</f>
      </c>
      <c r="C53" s="3">
        <f>IF(B53="","",IFERROR(IF(VLOOKUP(B53,CONFIG_ASIGNATURAS!$B$2:$F$61,5,FALSE())="Sí","Especialidad","Asignatura"),"Asignatura"))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IFERROR(_xlfn.STDEV.P(IF((DATOS!$G$2:$G$20000=CONFIG_METADATA!$B$4)*(DATOS!$I$2:$I$20000=B53),DATOS!$K$2:$K$20000)),"—")</f>
        <v>—</v>
      </c>
      <c r="G53" t="str" cm="1">
        <f t="array" ref="G53">IFERROR(_xlfn.MODE.SNGL(IF((DATOS!$G$2:$G$20000=CONFIG_METADATA!$B$4)*(DATOS!$I$2:$I$20000=B53),DATOS!$K$2:$K$20000)),"—")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IFERROR(_xlfn.MODE.SNGL(IF((DATOS!$G$2:$G$20000=CONFIG_METADATA!$B$4)*(DATOS!$I$2:$I$20000=B53)*(DATOS!$L$2:$L$20000="S"),DATOS!$K$2:$K$20000)),"—")</f>
        <v>—</v>
      </c>
      <c r="K53" t="str" cm="1">
        <f t="array" ref="K53">IFERROR(_xlfn.MODE.SNGL(IF((DATOS!$G$2:$G$20000=CONFIG_METADATA!$B$4)*(DATOS!$I$2:$I$20000=B53)*(DATOS!$L$2:$L$20000="N"),DATOS!$K$2:$K$20000)),"—")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GLOBAL</t>
        </is>
      </c>
      <c r="B54" s="3" cm="1">
        <f t="array" ref="B54">IFERROR(INDEX(_xlfn._xlws.FILTER(CONFIG_ASIGNATURAS!$B$2:$B$61,CONFIG_ASIGNATURAS!$G$2:$G$61="Sí"),50),"")</f>
      </c>
      <c r="C54" s="3">
        <f>IF(B54="","",IFERROR(IF(VLOOKUP(B54,CONFIG_ASIGNATURAS!$B$2:$F$61,5,FALSE())="Sí","Especialidad","Asignatura"),"Asignatura"))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IFERROR(_xlfn.STDEV.P(IF((DATOS!$G$2:$G$20000=CONFIG_METADATA!$B$4)*(DATOS!$I$2:$I$20000=B54),DATOS!$K$2:$K$20000)),"—")</f>
        <v>—</v>
      </c>
      <c r="G54" t="str" cm="1">
        <f t="array" ref="G54">IFERROR(_xlfn.MODE.SNGL(IF((DATOS!$G$2:$G$20000=CONFIG_METADATA!$B$4)*(DATOS!$I$2:$I$20000=B54),DATOS!$K$2:$K$20000)),"—")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IFERROR(_xlfn.MODE.SNGL(IF((DATOS!$G$2:$G$20000=CONFIG_METADATA!$B$4)*(DATOS!$I$2:$I$20000=B54)*(DATOS!$L$2:$L$20000="S"),DATOS!$K$2:$K$20000)),"—")</f>
        <v>—</v>
      </c>
      <c r="K54" t="str" cm="1">
        <f t="array" ref="K54">IFERROR(_xlfn.MODE.SNGL(IF((DATOS!$G$2:$G$20000=CONFIG_METADATA!$B$4)*(DATOS!$I$2:$I$20000=B54)*(DATOS!$L$2:$L$20000="N"),DATOS!$K$2:$K$20000)),"—")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GLOBAL</t>
        </is>
      </c>
      <c r="B55" s="3" cm="1">
        <f t="array" ref="B55">IFERROR(INDEX(_xlfn._xlws.FILTER(CONFIG_ASIGNATURAS!$B$2:$B$61,CONFIG_ASIGNATURAS!$G$2:$G$61="Sí"),51),"")</f>
      </c>
      <c r="C55" s="3">
        <f>IF(B55="","",IFERROR(IF(VLOOKUP(B55,CONFIG_ASIGNATURAS!$B$2:$F$61,5,FALSE())="Sí","Especialidad","Asignatura"),"Asignatura"))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IFERROR(_xlfn.STDEV.P(IF((DATOS!$G$2:$G$20000=CONFIG_METADATA!$B$4)*(DATOS!$I$2:$I$20000=B55),DATOS!$K$2:$K$20000)),"—")</f>
        <v>—</v>
      </c>
      <c r="G55" t="str" cm="1">
        <f t="array" ref="G55">IFERROR(_xlfn.MODE.SNGL(IF((DATOS!$G$2:$G$20000=CONFIG_METADATA!$B$4)*(DATOS!$I$2:$I$20000=B55),DATOS!$K$2:$K$20000)),"—")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IFERROR(_xlfn.MODE.SNGL(IF((DATOS!$G$2:$G$20000=CONFIG_METADATA!$B$4)*(DATOS!$I$2:$I$20000=B55)*(DATOS!$L$2:$L$20000="S"),DATOS!$K$2:$K$20000)),"—")</f>
        <v>—</v>
      </c>
      <c r="K55" t="str" cm="1">
        <f t="array" ref="K55">IFERROR(_xlfn.MODE.SNGL(IF((DATOS!$G$2:$G$20000=CONFIG_METADATA!$B$4)*(DATOS!$I$2:$I$20000=B55)*(DATOS!$L$2:$L$20000="N"),DATOS!$K$2:$K$20000)),"—")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GLOBAL</t>
        </is>
      </c>
      <c r="B56" s="3" cm="1">
        <f t="array" ref="B56">IFERROR(INDEX(_xlfn._xlws.FILTER(CONFIG_ASIGNATURAS!$B$2:$B$61,CONFIG_ASIGNATURAS!$G$2:$G$61="Sí"),52),"")</f>
      </c>
      <c r="C56" s="3">
        <f>IF(B56="","",IFERROR(IF(VLOOKUP(B56,CONFIG_ASIGNATURAS!$B$2:$F$61,5,FALSE())="Sí","Especialidad","Asignatura"),"Asignatura"))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IFERROR(_xlfn.STDEV.P(IF((DATOS!$G$2:$G$20000=CONFIG_METADATA!$B$4)*(DATOS!$I$2:$I$20000=B56),DATOS!$K$2:$K$20000)),"—")</f>
        <v>—</v>
      </c>
      <c r="G56" t="str" cm="1">
        <f t="array" ref="G56">IFERROR(_xlfn.MODE.SNGL(IF((DATOS!$G$2:$G$20000=CONFIG_METADATA!$B$4)*(DATOS!$I$2:$I$20000=B56),DATOS!$K$2:$K$20000)),"—")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IFERROR(_xlfn.MODE.SNGL(IF((DATOS!$G$2:$G$20000=CONFIG_METADATA!$B$4)*(DATOS!$I$2:$I$20000=B56)*(DATOS!$L$2:$L$20000="S"),DATOS!$K$2:$K$20000)),"—")</f>
        <v>—</v>
      </c>
      <c r="K56" t="str" cm="1">
        <f t="array" ref="K56">IFERROR(_xlfn.MODE.SNGL(IF((DATOS!$G$2:$G$20000=CONFIG_METADATA!$B$4)*(DATOS!$I$2:$I$20000=B56)*(DATOS!$L$2:$L$20000="N"),DATOS!$K$2:$K$20000)),"—")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GLOBAL</t>
        </is>
      </c>
      <c r="B57" s="3" cm="1">
        <f t="array" ref="B57">IFERROR(INDEX(_xlfn._xlws.FILTER(CONFIG_ASIGNATURAS!$B$2:$B$61,CONFIG_ASIGNATURAS!$G$2:$G$61="Sí"),53),"")</f>
      </c>
      <c r="C57" s="3">
        <f>IF(B57="","",IFERROR(IF(VLOOKUP(B57,CONFIG_ASIGNATURAS!$B$2:$F$61,5,FALSE())="Sí","Especialidad","Asignatura"),"Asignatura"))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IFERROR(_xlfn.STDEV.P(IF((DATOS!$G$2:$G$20000=CONFIG_METADATA!$B$4)*(DATOS!$I$2:$I$20000=B57),DATOS!$K$2:$K$20000)),"—")</f>
        <v>—</v>
      </c>
      <c r="G57" t="str" cm="1">
        <f t="array" ref="G57">IFERROR(_xlfn.MODE.SNGL(IF((DATOS!$G$2:$G$20000=CONFIG_METADATA!$B$4)*(DATOS!$I$2:$I$20000=B57),DATOS!$K$2:$K$20000)),"—")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IFERROR(_xlfn.MODE.SNGL(IF((DATOS!$G$2:$G$20000=CONFIG_METADATA!$B$4)*(DATOS!$I$2:$I$20000=B57)*(DATOS!$L$2:$L$20000="S"),DATOS!$K$2:$K$20000)),"—")</f>
        <v>—</v>
      </c>
      <c r="K57" t="str" cm="1">
        <f t="array" ref="K57">IFERROR(_xlfn.MODE.SNGL(IF((DATOS!$G$2:$G$20000=CONFIG_METADATA!$B$4)*(DATOS!$I$2:$I$20000=B57)*(DATOS!$L$2:$L$20000="N"),DATOS!$K$2:$K$20000)),"—")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GLOBAL</t>
        </is>
      </c>
      <c r="B58" s="3" cm="1">
        <f t="array" ref="B58">IFERROR(INDEX(_xlfn._xlws.FILTER(CONFIG_ASIGNATURAS!$B$2:$B$61,CONFIG_ASIGNATURAS!$G$2:$G$61="Sí"),54),"")</f>
      </c>
      <c r="C58" s="3">
        <f>IF(B58="","",IFERROR(IF(VLOOKUP(B58,CONFIG_ASIGNATURAS!$B$2:$F$61,5,FALSE())="Sí","Especialidad","Asignatura"),"Asignatura"))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IFERROR(_xlfn.STDEV.P(IF((DATOS!$G$2:$G$20000=CONFIG_METADATA!$B$4)*(DATOS!$I$2:$I$20000=B58),DATOS!$K$2:$K$20000)),"—")</f>
        <v>—</v>
      </c>
      <c r="G58" t="str" cm="1">
        <f t="array" ref="G58">IFERROR(_xlfn.MODE.SNGL(IF((DATOS!$G$2:$G$20000=CONFIG_METADATA!$B$4)*(DATOS!$I$2:$I$20000=B58),DATOS!$K$2:$K$20000)),"—")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IFERROR(_xlfn.MODE.SNGL(IF((DATOS!$G$2:$G$20000=CONFIG_METADATA!$B$4)*(DATOS!$I$2:$I$20000=B58)*(DATOS!$L$2:$L$20000="S"),DATOS!$K$2:$K$20000)),"—")</f>
        <v>—</v>
      </c>
      <c r="K58" t="str" cm="1">
        <f t="array" ref="K58">IFERROR(_xlfn.MODE.SNGL(IF((DATOS!$G$2:$G$20000=CONFIG_METADATA!$B$4)*(DATOS!$I$2:$I$20000=B58)*(DATOS!$L$2:$L$20000="N"),DATOS!$K$2:$K$20000)),"—")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GLOBAL</t>
        </is>
      </c>
      <c r="B59" s="3" cm="1">
        <f t="array" ref="B59">IFERROR(INDEX(_xlfn._xlws.FILTER(CONFIG_ASIGNATURAS!$B$2:$B$61,CONFIG_ASIGNATURAS!$G$2:$G$61="Sí"),55),"")</f>
      </c>
      <c r="C59" s="3">
        <f>IF(B59="","",IFERROR(IF(VLOOKUP(B59,CONFIG_ASIGNATURAS!$B$2:$F$61,5,FALSE())="Sí","Especialidad","Asignatura"),"Asignatura"))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IFERROR(_xlfn.STDEV.P(IF((DATOS!$G$2:$G$20000=CONFIG_METADATA!$B$4)*(DATOS!$I$2:$I$20000=B59),DATOS!$K$2:$K$20000)),"—")</f>
        <v>—</v>
      </c>
      <c r="G59" t="str" cm="1">
        <f t="array" ref="G59">IFERROR(_xlfn.MODE.SNGL(IF((DATOS!$G$2:$G$20000=CONFIG_METADATA!$B$4)*(DATOS!$I$2:$I$20000=B59),DATOS!$K$2:$K$20000)),"—")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IFERROR(_xlfn.MODE.SNGL(IF((DATOS!$G$2:$G$20000=CONFIG_METADATA!$B$4)*(DATOS!$I$2:$I$20000=B59)*(DATOS!$L$2:$L$20000="S"),DATOS!$K$2:$K$20000)),"—")</f>
        <v>—</v>
      </c>
      <c r="K59" t="str" cm="1">
        <f t="array" ref="K59">IFERROR(_xlfn.MODE.SNGL(IF((DATOS!$G$2:$G$20000=CONFIG_METADATA!$B$4)*(DATOS!$I$2:$I$20000=B59)*(DATOS!$L$2:$L$20000="N"),DATOS!$K$2:$K$20000)),"—")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GLOBAL</t>
        </is>
      </c>
      <c r="B60" s="3" cm="1">
        <f t="array" ref="B60">IFERROR(INDEX(_xlfn._xlws.FILTER(CONFIG_ASIGNATURAS!$B$2:$B$61,CONFIG_ASIGNATURAS!$G$2:$G$61="Sí"),56),"")</f>
      </c>
      <c r="C60" s="3">
        <f>IF(B60="","",IFERROR(IF(VLOOKUP(B60,CONFIG_ASIGNATURAS!$B$2:$F$61,5,FALSE())="Sí","Especialidad","Asignatura"),"Asignatura"))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IFERROR(_xlfn.STDEV.P(IF((DATOS!$G$2:$G$20000=CONFIG_METADATA!$B$4)*(DATOS!$I$2:$I$20000=B60),DATOS!$K$2:$K$20000)),"—")</f>
        <v>—</v>
      </c>
      <c r="G60" t="str" cm="1">
        <f t="array" ref="G60">IFERROR(_xlfn.MODE.SNGL(IF((DATOS!$G$2:$G$20000=CONFIG_METADATA!$B$4)*(DATOS!$I$2:$I$20000=B60),DATOS!$K$2:$K$20000)),"—")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IFERROR(_xlfn.MODE.SNGL(IF((DATOS!$G$2:$G$20000=CONFIG_METADATA!$B$4)*(DATOS!$I$2:$I$20000=B60)*(DATOS!$L$2:$L$20000="S"),DATOS!$K$2:$K$20000)),"—")</f>
        <v>—</v>
      </c>
      <c r="K60" t="str" cm="1">
        <f t="array" ref="K60">IFERROR(_xlfn.MODE.SNGL(IF((DATOS!$G$2:$G$20000=CONFIG_METADATA!$B$4)*(DATOS!$I$2:$I$20000=B60)*(DATOS!$L$2:$L$20000="N"),DATOS!$K$2:$K$20000)),"—")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GLOBAL</t>
        </is>
      </c>
      <c r="B61" s="3" cm="1">
        <f t="array" ref="B61">IFERROR(INDEX(_xlfn._xlws.FILTER(CONFIG_ASIGNATURAS!$B$2:$B$61,CONFIG_ASIGNATURAS!$G$2:$G$61="Sí"),57),"")</f>
      </c>
      <c r="C61" s="3">
        <f>IF(B61="","",IFERROR(IF(VLOOKUP(B61,CONFIG_ASIGNATURAS!$B$2:$F$61,5,FALSE())="Sí","Especialidad","Asignatura"),"Asignatura"))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IFERROR(_xlfn.STDEV.P(IF((DATOS!$G$2:$G$20000=CONFIG_METADATA!$B$4)*(DATOS!$I$2:$I$20000=B61),DATOS!$K$2:$K$20000)),"—")</f>
        <v>—</v>
      </c>
      <c r="G61" t="str" cm="1">
        <f t="array" ref="G61">IFERROR(_xlfn.MODE.SNGL(IF((DATOS!$G$2:$G$20000=CONFIG_METADATA!$B$4)*(DATOS!$I$2:$I$20000=B61),DATOS!$K$2:$K$20000)),"—")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IFERROR(_xlfn.MODE.SNGL(IF((DATOS!$G$2:$G$20000=CONFIG_METADATA!$B$4)*(DATOS!$I$2:$I$20000=B61)*(DATOS!$L$2:$L$20000="S"),DATOS!$K$2:$K$20000)),"—")</f>
        <v>—</v>
      </c>
      <c r="K61" t="str" cm="1">
        <f t="array" ref="K61">IFERROR(_xlfn.MODE.SNGL(IF((DATOS!$G$2:$G$20000=CONFIG_METADATA!$B$4)*(DATOS!$I$2:$I$20000=B61)*(DATOS!$L$2:$L$20000="N"),DATOS!$K$2:$K$20000)),"—")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GLOBAL</t>
        </is>
      </c>
      <c r="B62" s="3" cm="1">
        <f t="array" ref="B62">IFERROR(INDEX(_xlfn._xlws.FILTER(CONFIG_ASIGNATURAS!$B$2:$B$61,CONFIG_ASIGNATURAS!$G$2:$G$61="Sí"),58),"")</f>
      </c>
      <c r="C62" s="3">
        <f>IF(B62="","",IFERROR(IF(VLOOKUP(B62,CONFIG_ASIGNATURAS!$B$2:$F$61,5,FALSE())="Sí","Especialidad","Asignatura"),"Asignatura"))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IFERROR(_xlfn.STDEV.P(IF((DATOS!$G$2:$G$20000=CONFIG_METADATA!$B$4)*(DATOS!$I$2:$I$20000=B62),DATOS!$K$2:$K$20000)),"—")</f>
        <v>—</v>
      </c>
      <c r="G62" t="str" cm="1">
        <f t="array" ref="G62">IFERROR(_xlfn.MODE.SNGL(IF((DATOS!$G$2:$G$20000=CONFIG_METADATA!$B$4)*(DATOS!$I$2:$I$20000=B62),DATOS!$K$2:$K$20000)),"—")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IFERROR(_xlfn.MODE.SNGL(IF((DATOS!$G$2:$G$20000=CONFIG_METADATA!$B$4)*(DATOS!$I$2:$I$20000=B62)*(DATOS!$L$2:$L$20000="S"),DATOS!$K$2:$K$20000)),"—")</f>
        <v>—</v>
      </c>
      <c r="K62" t="str" cm="1">
        <f t="array" ref="K62">IFERROR(_xlfn.MODE.SNGL(IF((DATOS!$G$2:$G$20000=CONFIG_METADATA!$B$4)*(DATOS!$I$2:$I$20000=B62)*(DATOS!$L$2:$L$20000="N"),DATOS!$K$2:$K$20000)),"—")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GLOBAL</t>
        </is>
      </c>
      <c r="B63" s="3" cm="1">
        <f t="array" ref="B63">IFERROR(INDEX(_xlfn._xlws.FILTER(CONFIG_ASIGNATURAS!$B$2:$B$61,CONFIG_ASIGNATURAS!$G$2:$G$61="Sí"),59),"")</f>
      </c>
      <c r="C63" s="3">
        <f>IF(B63="","",IFERROR(IF(VLOOKUP(B63,CONFIG_ASIGNATURAS!$B$2:$F$61,5,FALSE())="Sí","Especialidad","Asignatura"),"Asignatura"))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IFERROR(_xlfn.STDEV.P(IF((DATOS!$G$2:$G$20000=CONFIG_METADATA!$B$4)*(DATOS!$I$2:$I$20000=B63),DATOS!$K$2:$K$20000)),"—")</f>
        <v>—</v>
      </c>
      <c r="G63" t="str" cm="1">
        <f t="array" ref="G63">IFERROR(_xlfn.MODE.SNGL(IF((DATOS!$G$2:$G$20000=CONFIG_METADATA!$B$4)*(DATOS!$I$2:$I$20000=B63),DATOS!$K$2:$K$20000)),"—")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IFERROR(_xlfn.MODE.SNGL(IF((DATOS!$G$2:$G$20000=CONFIG_METADATA!$B$4)*(DATOS!$I$2:$I$20000=B63)*(DATOS!$L$2:$L$20000="S"),DATOS!$K$2:$K$20000)),"—")</f>
        <v>—</v>
      </c>
      <c r="K63" t="str" cm="1">
        <f t="array" ref="K63">IFERROR(_xlfn.MODE.SNGL(IF((DATOS!$G$2:$G$20000=CONFIG_METADATA!$B$4)*(DATOS!$I$2:$I$20000=B63)*(DATOS!$L$2:$L$20000="N"),DATOS!$K$2:$K$20000)),"—")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GLOBAL</t>
        </is>
      </c>
      <c r="B64" s="3" cm="1">
        <f t="array" ref="B64">IFERROR(INDEX(_xlfn._xlws.FILTER(CONFIG_ASIGNATURAS!$B$2:$B$61,CONFIG_ASIGNATURAS!$G$2:$G$61="Sí"),60),"")</f>
      </c>
      <c r="C64" s="3">
        <f>IF(B64="","",IFERROR(IF(VLOOKUP(B64,CONFIG_ASIGNATURAS!$B$2:$F$61,5,FALSE())="Sí","Especialidad","Asignatura"),"Asignatura"))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IFERROR(_xlfn.STDEV.P(IF((DATOS!$G$2:$G$20000=CONFIG_METADATA!$B$4)*(DATOS!$I$2:$I$20000=B64),DATOS!$K$2:$K$20000)),"—")</f>
        <v>—</v>
      </c>
      <c r="G64" t="str" cm="1">
        <f t="array" ref="G64">IFERROR(_xlfn.MODE.SNGL(IF((DATOS!$G$2:$G$20000=CONFIG_METADATA!$B$4)*(DATOS!$I$2:$I$20000=B64),DATOS!$K$2:$K$20000)),"—")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IFERROR(_xlfn.MODE.SNGL(IF((DATOS!$G$2:$G$20000=CONFIG_METADATA!$B$4)*(DATOS!$I$2:$I$20000=B64)*(DATOS!$L$2:$L$20000="S"),DATOS!$K$2:$K$20000)),"—")</f>
        <v>—</v>
      </c>
      <c r="K64" t="str" cm="1">
        <f t="array" ref="K64">IFERROR(_xlfn.MODE.SNGL(IF((DATOS!$G$2:$G$20000=CONFIG_METADATA!$B$4)*(DATOS!$I$2:$I$20000=B64)*(DATOS!$L$2:$L$20000="N"),DATOS!$K$2:$K$20000)),"—")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 t="inlineStr">
        <is>
          <t xml:space="preserve">Total</t>
        </is>
      </c>
      <c r="C65" s="3" t="inlineStr">
        <is>
          <t xml:space="preserve">Total</t>
        </is>
      </c>
      <c r="D65">
        <f>COUNTIFS(DATOS!G:G,CONFIG_METADATA!$B$4,DATOS!D:D,A65)</f>
        <v>0</v>
      </c>
      <c r="E65" s="14" t="str">
        <f>IFERROR(AVERAGEIFS(DATOS!K:K,DATOS!G:G,CONFIG_METADATA!$B$4,DATOS!D:D,A65),"—")</f>
        <v>—</v>
      </c>
      <c r="F65" s="14" t="str" cm="1">
        <f t="array" ref="F65">IFERROR(_xlfn.STDEV.P(IF((DATOS!$G$2:$G$20000=CONFIG_METADATA!$B$4)*(DATOS!$D$2:$D$20000=A65),DATOS!$K$2:$K$20000)),"—")</f>
        <v>—</v>
      </c>
      <c r="G65" t="str" cm="1">
        <f t="array" ref="G65">IFERROR(_xlfn.MODE.SNGL(IF((DATOS!$G$2:$G$20000=CONFIG_METADATA!$B$4)*(DATOS!$D$2:$D$20000=A65),DATOS!$K$2:$K$20000)),"—")</f>
        <v>—</v>
      </c>
      <c r="H65" s="15" t="str">
        <f>IFERROR(COUNTIFS(DATOS!$G$2:$G$20000,CONFIG_METADATA!$B$4,DATOS!$D$2:$D$20000,A65,DATOS!$L$2:$L$20000,"S")/COUNTIFS(DATOS!$G$2:$G$20000,CONFIG_METADATA!$B$4,DATOS!$D$2:$D$20000,A65),"—")</f>
        <v>—</v>
      </c>
      <c r="I65" s="15" t="str">
        <f>IFERROR(COUNTIFS(DATOS!$G$2:$G$20000,CONFIG_METADATA!$B$4,DATOS!$D$2:$D$20000,A65,DATOS!$L$2:$L$20000,"N")/COUNTIFS(DATOS!$G$2:$G$20000,CONFIG_METADATA!$B$4,DATOS!$D$2:$D$20000,A65),"—")</f>
        <v>—</v>
      </c>
      <c r="J65" t="str" cm="1">
        <f t="array" ref="J65">IFERROR(_xlfn.MODE.SNGL(IF((DATOS!$G$2:$G$20000=CONFIG_METADATA!$B$4)*(DATOS!$D$2:$D$20000=A65)*(DATOS!$L$2:$L$20000="S"),DATOS!$K$2:$K$20000)),"—")</f>
        <v>—</v>
      </c>
      <c r="K65" t="str" cm="1">
        <f t="array" ref="K65">IFERROR(_xlfn.MODE.SNGL(IF((DATOS!$G$2:$G$20000=CONFIG_METADATA!$B$4)*(DATOS!$D$2:$D$20000=A65)*(DATOS!$L$2:$L$20000="N"),DATOS!$K$2:$K$20000)),"—")</f>
        <v>—</v>
      </c>
      <c r="L65" cm="1">
        <f t="array" ref="L65">SUMPRODUCT((DATOS!$G$2:$G$20000=CONFIG_METADATA!$B$4)*(DATOS!$D$2:$D$20000=A65)*(DATOS!$K$2:$K$20000=1))</f>
        <v>0</v>
      </c>
      <c r="M65" cm="1">
        <f t="array" ref="M65">SUMPRODUCT((DATOS!$G$2:$G$20000=CONFIG_METADATA!$B$4)*(DATOS!$D$2:$D$20000=A65)*(DATOS!$K$2:$K$20000=2))</f>
        <v>0</v>
      </c>
      <c r="N65" cm="1">
        <f t="array" ref="N65">SUMPRODUCT((DATOS!$G$2:$G$20000=CONFIG_METADATA!$B$4)*(DATOS!$D$2:$D$20000=A65)*(DATOS!$K$2:$K$20000=3))</f>
        <v>0</v>
      </c>
      <c r="O65" cm="1">
        <f t="array" ref="O65">SUMPRODUCT((DATOS!$G$2:$G$20000=CONFIG_METADATA!$B$4)*(DATOS!$D$2:$D$20000=A65)*(DATOS!$K$2:$K$20000=4))</f>
        <v>0</v>
      </c>
      <c r="P65" cm="1">
        <f t="array" ref="P65">SUMPRODUCT((DATOS!$G$2:$G$20000=CONFIG_METADATA!$B$4)*(DATOS!$D$2:$D$20000=A65)*(DATOS!$K$2:$K$20000=5))</f>
        <v>0</v>
      </c>
      <c r="Q65" cm="1">
        <f t="array" ref="Q65">SUMPRODUCT((DATOS!$G$2:$G$20000=CONFIG_METADATA!$B$4)*(DATOS!$D$2:$D$20000=A65)*(DATOS!$K$2:$K$20000=6))</f>
        <v>0</v>
      </c>
      <c r="R65" cm="1">
        <f t="array" ref="R65">SUMPRODUCT((DATOS!$G$2:$G$20000=CONFIG_METADATA!$B$4)*(DATOS!$D$2:$D$20000=A65)*(DATOS!$K$2:$K$20000=7))</f>
        <v>0</v>
      </c>
      <c r="S65" cm="1">
        <f t="array" ref="S65">SUMPRODUCT((DATOS!$G$2:$G$20000=CONFIG_METADATA!$B$4)*(DATOS!$D$2:$D$20000=A65)*(DATOS!$K$2:$K$20000=8))</f>
        <v>0</v>
      </c>
      <c r="T65" cm="1">
        <f t="array" ref="T65">SUMPRODUCT((DATOS!$G$2:$G$20000=CONFIG_METADATA!$B$4)*(DATOS!$D$2:$D$20000=A65)*(DATOS!$K$2:$K$20000=9))</f>
        <v>0</v>
      </c>
      <c r="U65" cm="1">
        <f t="array" ref="U65">SUMPRODUCT((DATOS!$G$2:$G$20000=CONFIG_METADATA!$B$4)*(DATOS!$D$2:$D$20000=A65)*(DATOS!$K$2:$K$20000=10))</f>
        <v>0</v>
      </c>
    </row>
    <row r="66" spans="1:22">
      <c r="A66" s="3" t="inlineStr">
        <is>
          <t xml:space="preserve">1EEM</t>
        </is>
      </c>
      <c r="B66" s="3" t="inlineStr">
        <is>
          <t xml:space="preserve">Total Especialidad</t>
        </is>
      </c>
      <c r="C66" s="3" t="inlineStr">
        <is>
          <t xml:space="preserve">TotalEsp</t>
        </is>
      </c>
      <c r="D66">
        <f>SUMPRODUCT((DATOS!$G$2:$G$20000=CONFIG_METADATA!$B$4)*(DATOS!$D$2:$D$20000=A66)*(COUNTIFS(CONFIG_ASIGNATURAS!$B$2:$B$61,DATOS!$I$2:$I$20000,CONFIG_ASIGNATURAS!$D$2:$D$61,"Especialidad",CONFIG_ASIGNATURAS!$G$2:$G$61,"Sí")&gt;0)*1)</f>
      </c>
      <c r="E66" s="14">
        <f>IFERROR(AVERAGE(IF((DATOS!$G$2:$G$20000=CONFIG_METADATA!$B$4)*(DATOS!$D$2:$D$20000=A66)*(COUNTIFS(CONFIG_ASIGNATURAS!$B$2:$B$61,DATOS!$I$2:$I$20000,CONFIG_ASIGNATURAS!$D$2:$D$61,"Especialidad",CONFIG_ASIGNATURAS!$G$2:$G$61,"Sí")&gt;0),DATOS!$K$2:$K$20000)),"—")</f>
      </c>
      <c r="F66" s="14">
        <f>IFERROR(_xlfn.STDEV.P(IF((DATOS!$G$2:$G$20000=CONFIG_METADATA!$B$4)*(DATOS!$D$2:$D$20000=A66)*(COUNTIFS(CONFIG_ASIGNATURAS!$B$2:$B$61,DATOS!$I$2:$I$20000,CONFIG_ASIGNATURAS!$D$2:$D$61,"Especialidad",CONFIG_ASIGNATURAS!$G$2:$G$61,"Sí")&gt;0),DATOS!$K$2:$K$20000)),"—")</f>
      </c>
      <c r="G66">
        <f>IFERROR(_xlfn.MODE.SNGL(IF((DATOS!$G$2:$G$20000=CONFIG_METADATA!$B$4)*(DATOS!$D$2:$D$20000=A66)*(COUNTIFS(CONFIG_ASIGNATURAS!$B$2:$B$61,DATOS!$I$2:$I$20000,CONFIG_ASIGNATURAS!$D$2:$D$61,"Especialidad",CONFIG_ASIGNATURAS!$G$2:$G$61,"Sí")&gt;0),DATOS!$K$2:$K$20000)),"—")</f>
      </c>
      <c r="H66" s="15">
        <f>IFERROR(SUMPRODUCT((DATOS!$G$2:$G$20000=CONFIG_METADATA!$B$4)*(DATOS!$D$2:$D$20000=A66)*(COUNTIFS(CONFIG_ASIGNATURAS!$B$2:$B$61,DATOS!$I$2:$I$20000,CONFIG_ASIGNATURAS!$D$2:$D$61,"Especialidad",CONFIG_ASIGNATURAS!$G$2:$G$61,"Sí")&gt;0)*(DATOS!$L$2:$L$20000="S"))/SUMPRODUCT((DATOS!$G$2:$G$20000=CONFIG_METADATA!$B$4)*(DATOS!$D$2:$D$20000=A66)*(COUNTIFS(CONFIG_ASIGNATURAS!$B$2:$B$61,DATOS!$I$2:$I$20000,CONFIG_ASIGNATURAS!$D$2:$D$61,"Especialidad",CONFIG_ASIGNATURAS!$G$2:$G$61,"Sí")&gt;0)*1),"—")</f>
      </c>
      <c r="I66" s="15">
        <f>IFERROR(SUMPRODUCT((DATOS!$G$2:$G$20000=CONFIG_METADATA!$B$4)*(DATOS!$D$2:$D$20000=A66)*(COUNTIFS(CONFIG_ASIGNATURAS!$B$2:$B$61,DATOS!$I$2:$I$20000,CONFIG_ASIGNATURAS!$D$2:$D$61,"Especialidad",CONFIG_ASIGNATURAS!$G$2:$G$61,"Sí")&gt;0)*(DATOS!$L$2:$L$20000="N"))/SUMPRODUCT((DATOS!$G$2:$G$20000=CONFIG_METADATA!$B$4)*(DATOS!$D$2:$D$20000=A66)*(COUNTIFS(CONFIG_ASIGNATURAS!$B$2:$B$61,DATOS!$I$2:$I$20000,CONFIG_ASIGNATURAS!$D$2:$D$61,"Especialidad",CONFIG_ASIGNATURAS!$G$2:$G$61,"Sí")&gt;0)*1),"—")</f>
      </c>
      <c r="J66">
        <f>IFERROR(_xlfn.MODE.SNGL(IF((DATOS!$G$2:$G$20000=CONFIG_METADATA!$B$4)*(DATOS!$D$2:$D$20000=A66)*(COUNTIFS(CONFIG_ASIGNATURAS!$B$2:$B$61,DATOS!$I$2:$I$20000,CONFIG_ASIGNATURAS!$D$2:$D$61,"Especialidad",CONFIG_ASIGNATURAS!$G$2:$G$61,"Sí")&gt;0)*(DATOS!$L$2:$L$20000="S"),DATOS!$K$2:$K$20000)),"—")</f>
      </c>
      <c r="K66">
        <f>IFERROR(_xlfn.MODE.SNGL(IF((DATOS!$G$2:$G$20000=CONFIG_METADATA!$B$4)*(DATOS!$D$2:$D$20000=A66)*(COUNTIFS(CONFIG_ASIGNATURAS!$B$2:$B$61,DATOS!$I$2:$I$20000,CONFIG_ASIGNATURAS!$D$2:$D$61,"Especialidad",CONFIG_ASIGNATURAS!$G$2:$G$61,"Sí")&gt;0)*(DATOS!$L$2:$L$20000="N"),DATOS!$K$2:$K$20000)),"—")</f>
      </c>
      <c r="L66">
        <f>SUMPRODUCT((DATOS!$G$2:$G$20000=CONFIG_METADATA!$B$4)*(DATOS!$D$2:$D$20000=A66)*(COUNTIFS(CONFIG_ASIGNATURAS!$B$2:$B$61,DATOS!$I$2:$I$20000,CONFIG_ASIGNATURAS!$D$2:$D$61,"Especialidad",CONFIG_ASIGNATURAS!$G$2:$G$61,"Sí")&gt;0)*(DATOS!$K$2:$K$20000=1))</f>
      </c>
      <c r="M66">
        <f>SUMPRODUCT((DATOS!$G$2:$G$20000=CONFIG_METADATA!$B$4)*(DATOS!$D$2:$D$20000=A66)*(COUNTIFS(CONFIG_ASIGNATURAS!$B$2:$B$61,DATOS!$I$2:$I$20000,CONFIG_ASIGNATURAS!$D$2:$D$61,"Especialidad",CONFIG_ASIGNATURAS!$G$2:$G$61,"Sí")&gt;0)*(DATOS!$K$2:$K$20000=2))</f>
      </c>
      <c r="N66">
        <f>SUMPRODUCT((DATOS!$G$2:$G$20000=CONFIG_METADATA!$B$4)*(DATOS!$D$2:$D$20000=A66)*(COUNTIFS(CONFIG_ASIGNATURAS!$B$2:$B$61,DATOS!$I$2:$I$20000,CONFIG_ASIGNATURAS!$D$2:$D$61,"Especialidad",CONFIG_ASIGNATURAS!$G$2:$G$61,"Sí")&gt;0)*(DATOS!$K$2:$K$20000=3))</f>
      </c>
      <c r="O66">
        <f>SUMPRODUCT((DATOS!$G$2:$G$20000=CONFIG_METADATA!$B$4)*(DATOS!$D$2:$D$20000=A66)*(COUNTIFS(CONFIG_ASIGNATURAS!$B$2:$B$61,DATOS!$I$2:$I$20000,CONFIG_ASIGNATURAS!$D$2:$D$61,"Especialidad",CONFIG_ASIGNATURAS!$G$2:$G$61,"Sí")&gt;0)*(DATOS!$K$2:$K$20000=4))</f>
      </c>
      <c r="P66">
        <f>SUMPRODUCT((DATOS!$G$2:$G$20000=CONFIG_METADATA!$B$4)*(DATOS!$D$2:$D$20000=A66)*(COUNTIFS(CONFIG_ASIGNATURAS!$B$2:$B$61,DATOS!$I$2:$I$20000,CONFIG_ASIGNATURAS!$D$2:$D$61,"Especialidad",CONFIG_ASIGNATURAS!$G$2:$G$61,"Sí")&gt;0)*(DATOS!$K$2:$K$20000=5))</f>
      </c>
      <c r="Q66">
        <f>SUMPRODUCT((DATOS!$G$2:$G$20000=CONFIG_METADATA!$B$4)*(DATOS!$D$2:$D$20000=A66)*(COUNTIFS(CONFIG_ASIGNATURAS!$B$2:$B$61,DATOS!$I$2:$I$20000,CONFIG_ASIGNATURAS!$D$2:$D$61,"Especialidad",CONFIG_ASIGNATURAS!$G$2:$G$61,"Sí")&gt;0)*(DATOS!$K$2:$K$20000=6))</f>
      </c>
      <c r="R66">
        <f>SUMPRODUCT((DATOS!$G$2:$G$20000=CONFIG_METADATA!$B$4)*(DATOS!$D$2:$D$20000=A66)*(COUNTIFS(CONFIG_ASIGNATURAS!$B$2:$B$61,DATOS!$I$2:$I$20000,CONFIG_ASIGNATURAS!$D$2:$D$61,"Especialidad",CONFIG_ASIGNATURAS!$G$2:$G$61,"Sí")&gt;0)*(DATOS!$K$2:$K$20000=7))</f>
      </c>
      <c r="S66">
        <f>SUMPRODUCT((DATOS!$G$2:$G$20000=CONFIG_METADATA!$B$4)*(DATOS!$D$2:$D$20000=A66)*(COUNTIFS(CONFIG_ASIGNATURAS!$B$2:$B$61,DATOS!$I$2:$I$20000,CONFIG_ASIGNATURAS!$D$2:$D$61,"Especialidad",CONFIG_ASIGNATURAS!$G$2:$G$61,"Sí")&gt;0)*(DATOS!$K$2:$K$20000=8))</f>
      </c>
      <c r="T66">
        <f>SUMPRODUCT((DATOS!$G$2:$G$20000=CONFIG_METADATA!$B$4)*(DATOS!$D$2:$D$20000=A66)*(COUNTIFS(CONFIG_ASIGNATURAS!$B$2:$B$61,DATOS!$I$2:$I$20000,CONFIG_ASIGNATURAS!$D$2:$D$61,"Especialidad",CONFIG_ASIGNATURAS!$G$2:$G$61,"Sí")&gt;0)*(DATOS!$K$2:$K$20000=9))</f>
      </c>
      <c r="U66">
        <f>SUMPRODUCT((DATOS!$G$2:$G$20000=CONFIG_METADATA!$B$4)*(DATOS!$D$2:$D$20000=A66)*(COUNTIFS(CONFIG_ASIGNATURAS!$B$2:$B$61,DATOS!$I$2:$I$20000,CONFIG_ASIGNATURAS!$D$2:$D$61,"Especialidad",CONFIG_ASIGNATURAS!$G$2:$G$61,"Sí")&gt;0)*(DATOS!$K$2:$K$20000=10))</f>
      </c>
    </row>
    <row r="67" spans="1:22">
      <c r="A67" s="3" t="inlineStr">
        <is>
          <t xml:space="preserve">1EEM</t>
        </is>
      </c>
      <c r="B67" s="3" t="inlineStr">
        <is>
          <t xml:space="preserve">Total no Especialidad</t>
        </is>
      </c>
      <c r="C67" s="3" t="inlineStr">
        <is>
          <t xml:space="preserve">TotalNoEsp</t>
        </is>
      </c>
      <c r="D67">
        <f>SUMPRODUCT((DATOS!$G$2:$G$20000=CONFIG_METADATA!$B$4)*(DATOS!$D$2:$D$20000=A67)*(COUNTIFS(CONFIG_ASIGNATURAS!$B$2:$B$61,DATOS!$I$2:$I$20000,CONFIG_ASIGNATURAS!$D$2:$D$61,"&lt;&gt;Especialidad",CONFIG_ASIGNATURAS!$G$2:$G$61,"Sí")&gt;0)*1)</f>
      </c>
      <c r="E67" s="14">
        <f>IFERROR(AVERAGE(IF((DATOS!$G$2:$G$20000=CONFIG_METADATA!$B$4)*(DATOS!$D$2:$D$20000=A67)*(COUNTIFS(CONFIG_ASIGNATURAS!$B$2:$B$61,DATOS!$I$2:$I$20000,CONFIG_ASIGNATURAS!$D$2:$D$61,"&lt;&gt;Especialidad",CONFIG_ASIGNATURAS!$G$2:$G$61,"Sí")&gt;0),DATOS!$K$2:$K$20000)),"—")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F67" s="14">
        <f>IFERROR(_xlfn.STDEV.P(IF((DATOS!$G$2:$G$20000=CONFIG_METADATA!$B$4)*(DATOS!$D$2:$D$20000=A67)*(COUNTIFS(CONFIG_ASIGNATURAS!$B$2:$B$61,DATOS!$I$2:$I$20000,CONFIG_ASIGNATURAS!$D$2:$D$61,"&lt;&gt;Especialidad",CONFIG_ASIGNATURAS!$G$2:$G$61,"Sí")&gt;0),DATOS!$K$2:$K$20000)),"—")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G67">
        <f>IFERROR(_xlfn.MODE.SNGL(IF((DATOS!$G$2:$G$20000=CONFIG_METADATA!$B$4)*(DATOS!$D$2:$D$20000=A67)*(COUNTIFS(CONFIG_ASIGNATURAS!$B$2:$B$61,DATOS!$I$2:$I$20000,CONFIG_ASIGNATURAS!$D$2:$D$61,"&lt;&gt;Especialidad",CONFIG_ASIGNATURAS!$G$2:$G$61,"Sí")&gt;0),DATOS!$K$2:$K$20000)),"—")</f>
      </c>
      <c r="H67" s="15">
        <f>IFERROR(SUMPRODUCT((DATOS!$G$2:$G$20000=CONFIG_METADATA!$B$4)*(DATOS!$D$2:$D$20000=A67)*(COUNTIFS(CONFIG_ASIGNATURAS!$B$2:$B$61,DATOS!$I$2:$I$20000,CONFIG_ASIGNATURAS!$D$2:$D$61,"&lt;&gt;Especialidad",CONFIG_ASIGNATURAS!$G$2:$G$61,"Sí")&gt;0)*(DATOS!$L$2:$L$20000="S"))/SUMPRODUCT((DATOS!$G$2:$G$20000=CONFIG_METADATA!$B$4)*(DATOS!$D$2:$D$20000=A67)*(COUNTIFS(CONFIG_ASIGNATURAS!$B$2:$B$61,DATOS!$I$2:$I$20000,CONFIG_ASIGNATURAS!$D$2:$D$61,"&lt;&gt;Especialidad",CONFIG_ASIGNATURAS!$G$2:$G$61,"Sí")&gt;0)*1),"—")</f>
      </c>
      <c r="I67" s="15">
        <f>IFERROR(SUMPRODUCT((DATOS!$G$2:$G$20000=CONFIG_METADATA!$B$4)*(DATOS!$D$2:$D$20000=A67)*(COUNTIFS(CONFIG_ASIGNATURAS!$B$2:$B$61,DATOS!$I$2:$I$20000,CONFIG_ASIGNATURAS!$D$2:$D$61,"&lt;&gt;Especialidad",CONFIG_ASIGNATURAS!$G$2:$G$61,"Sí")&gt;0)*(DATOS!$L$2:$L$20000="N"))/SUMPRODUCT((DATOS!$G$2:$G$20000=CONFIG_METADATA!$B$4)*(DATOS!$D$2:$D$20000=A67)*(COUNTIFS(CONFIG_ASIGNATURAS!$B$2:$B$61,DATOS!$I$2:$I$20000,CONFIG_ASIGNATURAS!$D$2:$D$61,"&lt;&gt;Especialidad",CONFIG_ASIGNATURAS!$G$2:$G$61,"Sí")&gt;0)*1),"—")</f>
      </c>
      <c r="J67">
        <f>IFERROR(_xlfn.MODE.SNGL(IF((DATOS!$G$2:$G$20000=CONFIG_METADATA!$B$4)*(DATOS!$D$2:$D$20000=A67)*(COUNTIFS(CONFIG_ASIGNATURAS!$B$2:$B$61,DATOS!$I$2:$I$20000,CONFIG_ASIGNATURAS!$D$2:$D$61,"&lt;&gt;Especialidad",CONFIG_ASIGNATURAS!$G$2:$G$61,"Sí")&gt;0)*(DATOS!$L$2:$L$20000="S"),DATOS!$K$2:$K$20000)),"—")</f>
      </c>
      <c r="K67">
        <f>IFERROR(_xlfn.MODE.SNGL(IF((DATOS!$G$2:$G$20000=CONFIG_METADATA!$B$4)*(DATOS!$D$2:$D$20000=A67)*(COUNTIFS(CONFIG_ASIGNATURAS!$B$2:$B$61,DATOS!$I$2:$I$20000,CONFIG_ASIGNATURAS!$D$2:$D$61,"&lt;&gt;Especialidad",CONFIG_ASIGNATURAS!$G$2:$G$61,"Sí")&gt;0)*(DATOS!$L$2:$L$20000="N"),DATOS!$K$2:$K$20000)),"—")</f>
      </c>
      <c r="L67">
        <f>SUMPRODUCT((DATOS!$G$2:$G$20000=CONFIG_METADATA!$B$4)*(DATOS!$D$2:$D$20000=A67)*(COUNTIFS(CONFIG_ASIGNATURAS!$B$2:$B$61,DATOS!$I$2:$I$20000,CONFIG_ASIGNATURAS!$D$2:$D$61,"&lt;&gt;Especialidad",CONFIG_ASIGNATURAS!$G$2:$G$61,"Sí")&gt;0)*(DATOS!$K$2:$K$20000=1))</f>
      </c>
      <c r="M67">
        <f>SUMPRODUCT((DATOS!$G$2:$G$20000=CONFIG_METADATA!$B$4)*(DATOS!$D$2:$D$20000=A67)*(COUNTIFS(CONFIG_ASIGNATURAS!$B$2:$B$61,DATOS!$I$2:$I$20000,CONFIG_ASIGNATURAS!$D$2:$D$61,"&lt;&gt;Especialidad",CONFIG_ASIGNATURAS!$G$2:$G$61,"Sí")&gt;0)*(DATOS!$K$2:$K$20000=2))</f>
      </c>
      <c r="N67">
        <f>SUMPRODUCT((DATOS!$G$2:$G$20000=CONFIG_METADATA!$B$4)*(DATOS!$D$2:$D$20000=A67)*(COUNTIFS(CONFIG_ASIGNATURAS!$B$2:$B$61,DATOS!$I$2:$I$20000,CONFIG_ASIGNATURAS!$D$2:$D$61,"&lt;&gt;Especialidad",CONFIG_ASIGNATURAS!$G$2:$G$61,"Sí")&gt;0)*(DATOS!$K$2:$K$20000=3))</f>
      </c>
      <c r="O67">
        <f>SUMPRODUCT((DATOS!$G$2:$G$20000=CONFIG_METADATA!$B$4)*(DATOS!$D$2:$D$20000=A67)*(COUNTIFS(CONFIG_ASIGNATURAS!$B$2:$B$61,DATOS!$I$2:$I$20000,CONFIG_ASIGNATURAS!$D$2:$D$61,"&lt;&gt;Especialidad",CONFIG_ASIGNATURAS!$G$2:$G$61,"Sí")&gt;0)*(DATOS!$K$2:$K$20000=4))</f>
      </c>
      <c r="P67">
        <f>SUMPRODUCT((DATOS!$G$2:$G$20000=CONFIG_METADATA!$B$4)*(DATOS!$D$2:$D$20000=A67)*(COUNTIFS(CONFIG_ASIGNATURAS!$B$2:$B$61,DATOS!$I$2:$I$20000,CONFIG_ASIGNATURAS!$D$2:$D$61,"&lt;&gt;Especialidad",CONFIG_ASIGNATURAS!$G$2:$G$61,"Sí")&gt;0)*(DATOS!$K$2:$K$20000=5))</f>
      </c>
      <c r="Q67">
        <f>SUMPRODUCT((DATOS!$G$2:$G$20000=CONFIG_METADATA!$B$4)*(DATOS!$D$2:$D$20000=A67)*(COUNTIFS(CONFIG_ASIGNATURAS!$B$2:$B$61,DATOS!$I$2:$I$20000,CONFIG_ASIGNATURAS!$D$2:$D$61,"&lt;&gt;Especialidad",CONFIG_ASIGNATURAS!$G$2:$G$61,"Sí")&gt;0)*(DATOS!$K$2:$K$20000=6))</f>
      </c>
      <c r="R67">
        <f>SUMPRODUCT((DATOS!$G$2:$G$20000=CONFIG_METADATA!$B$4)*(DATOS!$D$2:$D$20000=A67)*(COUNTIFS(CONFIG_ASIGNATURAS!$B$2:$B$61,DATOS!$I$2:$I$20000,CONFIG_ASIGNATURAS!$D$2:$D$61,"&lt;&gt;Especialidad",CONFIG_ASIGNATURAS!$G$2:$G$61,"Sí")&gt;0)*(DATOS!$K$2:$K$20000=7))</f>
      </c>
      <c r="S67">
        <f>SUMPRODUCT((DATOS!$G$2:$G$20000=CONFIG_METADATA!$B$4)*(DATOS!$D$2:$D$20000=A67)*(COUNTIFS(CONFIG_ASIGNATURAS!$B$2:$B$61,DATOS!$I$2:$I$20000,CONFIG_ASIGNATURAS!$D$2:$D$61,"&lt;&gt;Especialidad",CONFIG_ASIGNATURAS!$G$2:$G$61,"Sí")&gt;0)*(DATOS!$K$2:$K$20000=8))</f>
      </c>
      <c r="T67">
        <f>SUMPRODUCT((DATOS!$G$2:$G$20000=CONFIG_METADATA!$B$4)*(DATOS!$D$2:$D$20000=A67)*(COUNTIFS(CONFIG_ASIGNATURAS!$B$2:$B$61,DATOS!$I$2:$I$20000,CONFIG_ASIGNATURAS!$D$2:$D$61,"&lt;&gt;Especialidad",CONFIG_ASIGNATURAS!$G$2:$G$61,"Sí")&gt;0)*(DATOS!$K$2:$K$20000=9))</f>
      </c>
      <c r="U67">
        <f>SUMPRODUCT((DATOS!$G$2:$G$20000=CONFIG_METADATA!$B$4)*(DATOS!$D$2:$D$20000=A67)*(COUNTIFS(CONFIG_ASIGNATURAS!$B$2:$B$61,DATOS!$I$2:$I$20000,CONFIG_ASIGNATURAS!$D$2:$D$61,"&lt;&gt;Especialidad",CONFIG_ASIGNATURAS!$G$2:$G$61,"Sí")&gt;0)*(DATOS!$K$2:$K$20000=10))</f>
      </c>
    </row>
    <row r="68" spans="1:22">
      <c r="A68" s="3" t="inlineStr">
        <is>
          <t xml:space="preserve">1EEM</t>
        </is>
      </c>
      <c r="B68" s="3" cm="1">
        <f t="array" ref="B68">IFERROR(INDEX(_xlfn._xlws.FILTER(CONFIG_ASIGNATURAS!$B$2:$B$61,(CONFIG_ASIGNATURAS!$G$2:$G$61="Sí")*ISNUMBER(SEARCH("1EEM",CONFIG_ASIGNATURAS!$C$2:$C$61))),1),"")</f>
      </c>
      <c r="C68" s="3">
        <f>IF(B68="","",IFERROR(IF(VLOOKUP(B68,CONFIG_ASIGNATURAS!$B$2:$F$61,5,FALSE())="Sí","Especialidad","Asignatura"),"Asignatura"))</f>
      </c>
      <c r="D68">
        <f>IF(V68="Sí",COUNTIFS(DATOS!G:G,CONFIG_METADATA!$B$4,DATOS!D:D,A68,DATOS!I:I,B68),"")</f>
        <v>0</v>
      </c>
      <c r="E68" s="14" t="str">
        <f>IF(V68="Sí",IFERROR(AVERAGEIFS(DATOS!K:K,DATOS!G:G,CONFIG_METADATA!$B$4,DATOS!D:D,A68,DATOS!I:I,B68),"—"),"")</f>
        <v>—</v>
      </c>
      <c r="F68" s="14" t="str" cm="1">
        <f t="array" ref="F68">IF(V68="Sí",IFERROR(_xlfn.STDEV.P(IF((DATOS!$G$2:$G$20000=CONFIG_METADATA!$B$4)*(DATOS!$D$2:$D$20000=A68)*(DATOS!$I$2:$I$20000=B68),DATOS!$K$2:$K$20000)),"—"),"")</f>
        <v>—</v>
      </c>
      <c r="G68" t="str" cm="1">
        <f t="array" ref="G68">IF(V68="Sí",IFERROR(_xlfn.MODE.SNGL(IF((DATOS!$G$2:$G$20000=CONFIG_METADATA!$B$4)*(DATOS!$D$2:$D$20000=A68)*(DATOS!$I$2:$I$20000=B68),DATOS!$K$2:$K$20000)),"—"),"")</f>
        <v>—</v>
      </c>
      <c r="H68" s="15" t="str">
        <f>IF(V68="Sí",IFERROR(COUNTIFS(DATOS!G:G,CONFIG_METADATA!$B$4,DATOS!D:D,A68,DATOS!I:I,B68,DATOS!L:L,"S")/COUNTIFS(DATOS!G:G,CONFIG_METADATA!$B$4,DATOS!D:D,A68,DATOS!I:I,B68),"—"),"")</f>
        <v>—</v>
      </c>
      <c r="I68" s="15" t="str">
        <f>IF(V68="Sí",IFERROR(COUNTIFS(DATOS!G:G,CONFIG_METADATA!$B$4,DATOS!D:D,A68,DATOS!I:I,B68,DATOS!L:L,"N")/COUNTIFS(DATOS!G:G,CONFIG_METADATA!$B$4,DATOS!D:D,A68,DATOS!I:I,B68),"—"),"")</f>
        <v>—</v>
      </c>
      <c r="J68" t="str" cm="1">
        <f t="array" ref="J68">IF(V68="Sí",IFERROR(_xlfn.MODE.SNGL(IF((DATOS!$G$2:$G$20000=CONFIG_METADATA!$B$4)*(DATOS!$D$2:$D$20000=A68)*(DATOS!$I$2:$I$20000=B68)*(DATOS!$L$2:$L$20000="S"),DATOS!$K$2:$K$20000)),"—"),"")</f>
        <v>—</v>
      </c>
      <c r="K68" t="str" cm="1">
        <f t="array" ref="K68">IF(V68="Sí",IFERROR(_xlfn.MODE.SNGL(IF((DATOS!$G$2:$G$20000=CONFIG_METADATA!$B$4)*(DATOS!$D$2:$D$20000=A68)*(DATOS!$I$2:$I$20000=B68)*(DATOS!$L$2:$L$20000="N"),DATOS!$K$2:$K$20000)),"—"),"")</f>
        <v>—</v>
      </c>
      <c r="L68">
        <f>IF(V68="Sí",COUNTIFS(DATOS!G:G,CONFIG_METADATA!$B$4,DATOS!D:D,A68,DATOS!I:I,B68,DATOS!K:K,1),"")</f>
        <v>0</v>
      </c>
      <c r="M68">
        <f>IF(V68="Sí",COUNTIFS(DATOS!G:G,CONFIG_METADATA!$B$4,DATOS!D:D,A68,DATOS!I:I,B68,DATOS!K:K,2),"")</f>
        <v>0</v>
      </c>
      <c r="N68">
        <f>IF(V68="Sí",COUNTIFS(DATOS!G:G,CONFIG_METADATA!$B$4,DATOS!D:D,A68,DATOS!I:I,B68,DATOS!K:K,3),"")</f>
        <v>0</v>
      </c>
      <c r="O68">
        <f>IF(V68="Sí",COUNTIFS(DATOS!G:G,CONFIG_METADATA!$B$4,DATOS!D:D,A68,DATOS!I:I,B68,DATOS!K:K,4),"")</f>
        <v>0</v>
      </c>
      <c r="P68">
        <f>IF(V68="Sí",COUNTIFS(DATOS!G:G,CONFIG_METADATA!$B$4,DATOS!D:D,A68,DATOS!I:I,B68,DATOS!K:K,5),"")</f>
        <v>0</v>
      </c>
      <c r="Q68">
        <f>IF(V68="Sí",COUNTIFS(DATOS!G:G,CONFIG_METADATA!$B$4,DATOS!D:D,A68,DATOS!I:I,B68,DATOS!K:K,6),"")</f>
        <v>0</v>
      </c>
      <c r="R68">
        <f>IF(V68="Sí",COUNTIFS(DATOS!G:G,CONFIG_METADATA!$B$4,DATOS!D:D,A68,DATOS!I:I,B68,DATOS!K:K,7),"")</f>
        <v>0</v>
      </c>
      <c r="S68">
        <f>IF(V68="Sí",COUNTIFS(DATOS!G:G,CONFIG_METADATA!$B$4,DATOS!D:D,A68,DATOS!I:I,B68,DATOS!K:K,8),"")</f>
        <v>0</v>
      </c>
      <c r="T68">
        <f>IF(V68="Sí",COUNTIFS(DATOS!G:G,CONFIG_METADATA!$B$4,DATOS!D:D,A68,DATOS!I:I,B68,DATOS!K:K,9),"")</f>
        <v>0</v>
      </c>
      <c r="U68">
        <f>IF(V68="Sí",COUNTIFS(DATOS!G:G,CONFIG_METADATA!$B$4,DATOS!D:D,A68,DATOS!I:I,B68,DATOS!K:K,10),"")</f>
        <v>0</v>
      </c>
      <c r="V68" t="str">
        <f>IFERROR(IF(ISERROR(FIND(A68,VLOOKUP(B68,CONFIG_ASIGNATURAS!B:C,2,FALSE()))),"No","Sí"),"No")</f>
        <v>Sí</v>
      </c>
    </row>
    <row r="69" spans="1:22">
      <c r="A69" s="3" t="inlineStr">
        <is>
          <t xml:space="preserve">1EEM</t>
        </is>
      </c>
      <c r="B69" s="3" cm="1">
        <f t="array" ref="B69">IFERROR(INDEX(_xlfn._xlws.FILTER(CONFIG_ASIGNATURAS!$B$2:$B$61,(CONFIG_ASIGNATURAS!$G$2:$G$61="Sí")*ISNUMBER(SEARCH("1EEM",CONFIG_ASIGNATURAS!$C$2:$C$61))),2),"")</f>
      </c>
      <c r="C69" s="3">
        <f>IF(B69="","",IFERROR(IF(VLOOKUP(B69,CONFIG_ASIGNATURAS!$B$2:$F$61,5,FALSE())="Sí","Especialidad","Asignatura"),"Asignatura"))</f>
      </c>
      <c r="D69">
        <f>IF(V69="Sí",COUNTIFS(DATOS!G:G,CONFIG_METADATA!$B$4,DATOS!D:D,A69,DATOS!I:I,B69),"")</f>
        <v>0</v>
      </c>
      <c r="E69" s="14" t="str">
        <f>IF(V69="Sí",IFERROR(AVERAGEIFS(DATOS!K:K,DATOS!G:G,CONFIG_METADATA!$B$4,DATOS!D:D,A69,DATOS!I:I,B69),"—"),"")</f>
        <v>—</v>
      </c>
      <c r="F69" s="14" t="str" cm="1">
        <f t="array" ref="F69">IF(V69="Sí",IFERROR(_xlfn.STDEV.P(IF((DATOS!$G$2:$G$20000=CONFIG_METADATA!$B$4)*(DATOS!$D$2:$D$20000=A69)*(DATOS!$I$2:$I$20000=B69),DATOS!$K$2:$K$20000)),"—"),"")</f>
        <v>—</v>
      </c>
      <c r="G69" t="str" cm="1">
        <f t="array" ref="G69">IF(V69="Sí",IFERROR(_xlfn.MODE.SNGL(IF((DATOS!$G$2:$G$20000=CONFIG_METADATA!$B$4)*(DATOS!$D$2:$D$20000=A69)*(DATOS!$I$2:$I$20000=B69),DATOS!$K$2:$K$20000)),"—"),"")</f>
        <v>—</v>
      </c>
      <c r="H69" s="15" t="str">
        <f>IF(V69="Sí",IFERROR(COUNTIFS(DATOS!G:G,CONFIG_METADATA!$B$4,DATOS!D:D,A69,DATOS!I:I,B69,DATOS!L:L,"S")/COUNTIFS(DATOS!G:G,CONFIG_METADATA!$B$4,DATOS!D:D,A69,DATOS!I:I,B69),"—"),"")</f>
        <v>—</v>
      </c>
      <c r="I69" s="15" t="str">
        <f>IF(V69="Sí",IFERROR(COUNTIFS(DATOS!G:G,CONFIG_METADATA!$B$4,DATOS!D:D,A69,DATOS!I:I,B69,DATOS!L:L,"N")/COUNTIFS(DATOS!G:G,CONFIG_METADATA!$B$4,DATOS!D:D,A69,DATOS!I:I,B69),"—"),"")</f>
        <v>—</v>
      </c>
      <c r="J69" t="str" cm="1">
        <f t="array" ref="J69">IF(V69="Sí",IFERROR(_xlfn.MODE.SNGL(IF((DATOS!$G$2:$G$20000=CONFIG_METADATA!$B$4)*(DATOS!$D$2:$D$20000=A69)*(DATOS!$I$2:$I$20000=B69)*(DATOS!$L$2:$L$20000="S"),DATOS!$K$2:$K$20000)),"—"),"")</f>
        <v>—</v>
      </c>
      <c r="K69" t="str" cm="1">
        <f t="array" ref="K69">IF(V69="Sí",IFERROR(_xlfn.MODE.SNGL(IF((DATOS!$G$2:$G$20000=CONFIG_METADATA!$B$4)*(DATOS!$D$2:$D$20000=A69)*(DATOS!$I$2:$I$20000=B69)*(DATOS!$L$2:$L$20000="N"),DATOS!$K$2:$K$20000)),"—"),"")</f>
        <v>—</v>
      </c>
      <c r="L69">
        <f>IF(V69="Sí",COUNTIFS(DATOS!G:G,CONFIG_METADATA!$B$4,DATOS!D:D,A69,DATOS!I:I,B69,DATOS!K:K,1),"")</f>
        <v>0</v>
      </c>
      <c r="M69">
        <f>IF(V69="Sí",COUNTIFS(DATOS!G:G,CONFIG_METADATA!$B$4,DATOS!D:D,A69,DATOS!I:I,B69,DATOS!K:K,2),"")</f>
        <v>0</v>
      </c>
      <c r="N69">
        <f>IF(V69="Sí",COUNTIFS(DATOS!G:G,CONFIG_METADATA!$B$4,DATOS!D:D,A69,DATOS!I:I,B69,DATOS!K:K,3),"")</f>
        <v>0</v>
      </c>
      <c r="O69">
        <f>IF(V69="Sí",COUNTIFS(DATOS!G:G,CONFIG_METADATA!$B$4,DATOS!D:D,A69,DATOS!I:I,B69,DATOS!K:K,4),"")</f>
        <v>0</v>
      </c>
      <c r="P69">
        <f>IF(V69="Sí",COUNTIFS(DATOS!G:G,CONFIG_METADATA!$B$4,DATOS!D:D,A69,DATOS!I:I,B69,DATOS!K:K,5),"")</f>
        <v>0</v>
      </c>
      <c r="Q69">
        <f>IF(V69="Sí",COUNTIFS(DATOS!G:G,CONFIG_METADATA!$B$4,DATOS!D:D,A69,DATOS!I:I,B69,DATOS!K:K,6),"")</f>
        <v>0</v>
      </c>
      <c r="R69">
        <f>IF(V69="Sí",COUNTIFS(DATOS!G:G,CONFIG_METADATA!$B$4,DATOS!D:D,A69,DATOS!I:I,B69,DATOS!K:K,7),"")</f>
        <v>0</v>
      </c>
      <c r="S69">
        <f>IF(V69="Sí",COUNTIFS(DATOS!G:G,CONFIG_METADATA!$B$4,DATOS!D:D,A69,DATOS!I:I,B69,DATOS!K:K,8),"")</f>
        <v>0</v>
      </c>
      <c r="T69">
        <f>IF(V69="Sí",COUNTIFS(DATOS!G:G,CONFIG_METADATA!$B$4,DATOS!D:D,A69,DATOS!I:I,B69,DATOS!K:K,9),"")</f>
        <v>0</v>
      </c>
      <c r="U69">
        <f>IF(V69="Sí",COUNTIFS(DATOS!G:G,CONFIG_METADATA!$B$4,DATOS!D:D,A69,DATOS!I:I,B69,DATOS!K:K,10),"")</f>
        <v>0</v>
      </c>
      <c r="V69" t="str">
        <f>IFERROR(IF(ISERROR(FIND(A69,VLOOKUP(B69,CONFIG_ASIGNATURAS!B:C,2,FALSE()))),"No","Sí"),"No")</f>
        <v>Sí</v>
      </c>
    </row>
    <row r="70" spans="1:22">
      <c r="A70" s="3" t="inlineStr">
        <is>
          <t xml:space="preserve">1EEM</t>
        </is>
      </c>
      <c r="B70" s="3" cm="1">
        <f t="array" ref="B70">IFERROR(INDEX(_xlfn._xlws.FILTER(CONFIG_ASIGNATURAS!$B$2:$B$61,(CONFIG_ASIGNATURAS!$G$2:$G$61="Sí")*ISNUMBER(SEARCH("1EEM",CONFIG_ASIGNATURAS!$C$2:$C$61))),3),"")</f>
      </c>
      <c r="C70" s="3">
        <f>IF(B70="","",IFERROR(IF(VLOOKUP(B70,CONFIG_ASIGNATURAS!$B$2:$F$61,5,FALSE())="Sí","Especialidad","Asignatura"),"Asignatura"))</f>
      </c>
      <c r="D70">
        <f>IF(V70="Sí",COUNTIFS(DATOS!G:G,CONFIG_METADATA!$B$4,DATOS!D:D,A70,DATOS!I:I,B70),"")</f>
        <v>0</v>
      </c>
      <c r="E70" s="14" t="str">
        <f>IF(V70="Sí",IFERROR(AVERAGEIFS(DATOS!K:K,DATOS!G:G,CONFIG_METADATA!$B$4,DATOS!D:D,A70,DATOS!I:I,B70),"—"),"")</f>
        <v>—</v>
      </c>
      <c r="F70" s="14" t="str" cm="1">
        <f t="array" ref="F70">IF(V70="Sí",IFERROR(_xlfn.STDEV.P(IF((DATOS!$G$2:$G$20000=CONFIG_METADATA!$B$4)*(DATOS!$D$2:$D$20000=A70)*(DATOS!$I$2:$I$20000=B70),DATOS!$K$2:$K$20000)),"—"),"")</f>
        <v>—</v>
      </c>
      <c r="G70" t="str" cm="1">
        <f t="array" ref="G70">IF(V70="Sí",IFERROR(_xlfn.MODE.SNGL(IF((DATOS!$G$2:$G$20000=CONFIG_METADATA!$B$4)*(DATOS!$D$2:$D$20000=A70)*(DATOS!$I$2:$I$20000=B70),DATOS!$K$2:$K$20000)),"—"),"")</f>
        <v>—</v>
      </c>
      <c r="H70" s="15" t="str">
        <f>IF(V70="Sí",IFERROR(COUNTIFS(DATOS!G:G,CONFIG_METADATA!$B$4,DATOS!D:D,A70,DATOS!I:I,B70,DATOS!L:L,"S")/COUNTIFS(DATOS!G:G,CONFIG_METADATA!$B$4,DATOS!D:D,A70,DATOS!I:I,B70),"—"),"")</f>
        <v>—</v>
      </c>
      <c r="I70" s="15" t="str">
        <f>IF(V70="Sí",IFERROR(COUNTIFS(DATOS!G:G,CONFIG_METADATA!$B$4,DATOS!D:D,A70,DATOS!I:I,B70,DATOS!L:L,"N")/COUNTIFS(DATOS!G:G,CONFIG_METADATA!$B$4,DATOS!D:D,A70,DATOS!I:I,B70),"—"),"")</f>
        <v>—</v>
      </c>
      <c r="J70" t="str" cm="1">
        <f t="array" ref="J70">IF(V70="Sí",IFERROR(_xlfn.MODE.SNGL(IF((DATOS!$G$2:$G$20000=CONFIG_METADATA!$B$4)*(DATOS!$D$2:$D$20000=A70)*(DATOS!$I$2:$I$20000=B70)*(DATOS!$L$2:$L$20000="S"),DATOS!$K$2:$K$20000)),"—"),"")</f>
        <v>—</v>
      </c>
      <c r="K70" t="str" cm="1">
        <f t="array" ref="K70">IF(V70="Sí",IFERROR(_xlfn.MODE.SNGL(IF((DATOS!$G$2:$G$20000=CONFIG_METADATA!$B$4)*(DATOS!$D$2:$D$20000=A70)*(DATOS!$I$2:$I$20000=B70)*(DATOS!$L$2:$L$20000="N"),DATOS!$K$2:$K$20000)),"—"),"")</f>
        <v>—</v>
      </c>
      <c r="L70">
        <f>IF(V70="Sí",COUNTIFS(DATOS!G:G,CONFIG_METADATA!$B$4,DATOS!D:D,A70,DATOS!I:I,B70,DATOS!K:K,1),"")</f>
        <v>0</v>
      </c>
      <c r="M70">
        <f>IF(V70="Sí",COUNTIFS(DATOS!G:G,CONFIG_METADATA!$B$4,DATOS!D:D,A70,DATOS!I:I,B70,DATOS!K:K,2),"")</f>
        <v>0</v>
      </c>
      <c r="N70">
        <f>IF(V70="Sí",COUNTIFS(DATOS!G:G,CONFIG_METADATA!$B$4,DATOS!D:D,A70,DATOS!I:I,B70,DATOS!K:K,3),"")</f>
        <v>0</v>
      </c>
      <c r="O70">
        <f>IF(V70="Sí",COUNTIFS(DATOS!G:G,CONFIG_METADATA!$B$4,DATOS!D:D,A70,DATOS!I:I,B70,DATOS!K:K,4),"")</f>
        <v>0</v>
      </c>
      <c r="P70">
        <f>IF(V70="Sí",COUNTIFS(DATOS!G:G,CONFIG_METADATA!$B$4,DATOS!D:D,A70,DATOS!I:I,B70,DATOS!K:K,5),"")</f>
        <v>0</v>
      </c>
      <c r="Q70">
        <f>IF(V70="Sí",COUNTIFS(DATOS!G:G,CONFIG_METADATA!$B$4,DATOS!D:D,A70,DATOS!I:I,B70,DATOS!K:K,6),"")</f>
        <v>0</v>
      </c>
      <c r="R70">
        <f>IF(V70="Sí",COUNTIFS(DATOS!G:G,CONFIG_METADATA!$B$4,DATOS!D:D,A70,DATOS!I:I,B70,DATOS!K:K,7),"")</f>
        <v>0</v>
      </c>
      <c r="S70">
        <f>IF(V70="Sí",COUNTIFS(DATOS!G:G,CONFIG_METADATA!$B$4,DATOS!D:D,A70,DATOS!I:I,B70,DATOS!K:K,8),"")</f>
        <v>0</v>
      </c>
      <c r="T70">
        <f>IF(V70="Sí",COUNTIFS(DATOS!G:G,CONFIG_METADATA!$B$4,DATOS!D:D,A70,DATOS!I:I,B70,DATOS!K:K,9),"")</f>
        <v>0</v>
      </c>
      <c r="U70">
        <f>IF(V70="Sí",COUNTIFS(DATOS!G:G,CONFIG_METADATA!$B$4,DATOS!D:D,A70,DATOS!I:I,B70,DATOS!K:K,10),"")</f>
        <v>0</v>
      </c>
      <c r="V70" t="str">
        <f>IFERROR(IF(ISERROR(FIND(A70,VLOOKUP(B70,CONFIG_ASIGNATURAS!B:C,2,FALSE()))),"No","Sí"),"No")</f>
        <v>Sí</v>
      </c>
    </row>
    <row r="71" spans="1:22">
      <c r="A71" s="3" t="inlineStr">
        <is>
          <t xml:space="preserve">1EEM</t>
        </is>
      </c>
      <c r="B71" s="3" cm="1">
        <f t="array" ref="B71">IFERROR(INDEX(_xlfn._xlws.FILTER(CONFIG_ASIGNATURAS!$B$2:$B$61,(CONFIG_ASIGNATURAS!$G$2:$G$61="Sí")*ISNUMBER(SEARCH("1EEM",CONFIG_ASIGNATURAS!$C$2:$C$61))),4),"")</f>
      </c>
      <c r="C71" s="3">
        <f>IF(B71="","",IFERROR(IF(VLOOKUP(B71,CONFIG_ASIGNATURAS!$B$2:$F$61,5,FALSE())="Sí","Especialidad","Asignatura"),"Asignatura"))</f>
      </c>
      <c r="D71">
        <f>IF(V71="Sí",COUNTIFS(DATOS!G:G,CONFIG_METADATA!$B$4,DATOS!D:D,A71,DATOS!I:I,B71),"")</f>
        <v>0</v>
      </c>
      <c r="E71" s="14" t="str">
        <f>IF(V71="Sí",IFERROR(AVERAGEIFS(DATOS!K:K,DATOS!G:G,CONFIG_METADATA!$B$4,DATOS!D:D,A71,DATOS!I:I,B71),"—"),"")</f>
        <v>—</v>
      </c>
      <c r="F71" s="14" t="str" cm="1">
        <f t="array" ref="F71">IF(V71="Sí",IFERROR(_xlfn.STDEV.P(IF((DATOS!$G$2:$G$20000=CONFIG_METADATA!$B$4)*(DATOS!$D$2:$D$20000=A71)*(DATOS!$I$2:$I$20000=B71),DATOS!$K$2:$K$20000)),"—"),"")</f>
        <v>—</v>
      </c>
      <c r="G71" t="str" cm="1">
        <f t="array" ref="G71">IF(V71="Sí",IFERROR(_xlfn.MODE.SNGL(IF((DATOS!$G$2:$G$20000=CONFIG_METADATA!$B$4)*(DATOS!$D$2:$D$20000=A71)*(DATOS!$I$2:$I$20000=B71),DATOS!$K$2:$K$20000)),"—"),"")</f>
        <v>—</v>
      </c>
      <c r="H71" s="15" t="str">
        <f>IF(V71="Sí",IFERROR(COUNTIFS(DATOS!G:G,CONFIG_METADATA!$B$4,DATOS!D:D,A71,DATOS!I:I,B71,DATOS!L:L,"S")/COUNTIFS(DATOS!G:G,CONFIG_METADATA!$B$4,DATOS!D:D,A71,DATOS!I:I,B71),"—"),"")</f>
        <v>—</v>
      </c>
      <c r="I71" s="15" t="str">
        <f>IF(V71="Sí",IFERROR(COUNTIFS(DATOS!G:G,CONFIG_METADATA!$B$4,DATOS!D:D,A71,DATOS!I:I,B71,DATOS!L:L,"N")/COUNTIFS(DATOS!G:G,CONFIG_METADATA!$B$4,DATOS!D:D,A71,DATOS!I:I,B71),"—"),"")</f>
        <v>—</v>
      </c>
      <c r="J71" t="str" cm="1">
        <f t="array" ref="J71">IF(V71="Sí",IFERROR(_xlfn.MODE.SNGL(IF((DATOS!$G$2:$G$20000=CONFIG_METADATA!$B$4)*(DATOS!$D$2:$D$20000=A71)*(DATOS!$I$2:$I$20000=B71)*(DATOS!$L$2:$L$20000="S"),DATOS!$K$2:$K$20000)),"—"),"")</f>
        <v>—</v>
      </c>
      <c r="K71" t="str" cm="1">
        <f t="array" ref="K71">IF(V71="Sí",IFERROR(_xlfn.MODE.SNGL(IF((DATOS!$G$2:$G$20000=CONFIG_METADATA!$B$4)*(DATOS!$D$2:$D$20000=A71)*(DATOS!$I$2:$I$20000=B71)*(DATOS!$L$2:$L$20000="N"),DATOS!$K$2:$K$20000)),"—"),"")</f>
        <v>—</v>
      </c>
      <c r="L71">
        <f>IF(V71="Sí",COUNTIFS(DATOS!G:G,CONFIG_METADATA!$B$4,DATOS!D:D,A71,DATOS!I:I,B71,DATOS!K:K,1),"")</f>
        <v>0</v>
      </c>
      <c r="M71">
        <f>IF(V71="Sí",COUNTIFS(DATOS!G:G,CONFIG_METADATA!$B$4,DATOS!D:D,A71,DATOS!I:I,B71,DATOS!K:K,2),"")</f>
        <v>0</v>
      </c>
      <c r="N71">
        <f>IF(V71="Sí",COUNTIFS(DATOS!G:G,CONFIG_METADATA!$B$4,DATOS!D:D,A71,DATOS!I:I,B71,DATOS!K:K,3),"")</f>
        <v>0</v>
      </c>
      <c r="O71">
        <f>IF(V71="Sí",COUNTIFS(DATOS!G:G,CONFIG_METADATA!$B$4,DATOS!D:D,A71,DATOS!I:I,B71,DATOS!K:K,4),"")</f>
        <v>0</v>
      </c>
      <c r="P71">
        <f>IF(V71="Sí",COUNTIFS(DATOS!G:G,CONFIG_METADATA!$B$4,DATOS!D:D,A71,DATOS!I:I,B71,DATOS!K:K,5),"")</f>
        <v>0</v>
      </c>
      <c r="Q71">
        <f>IF(V71="Sí",COUNTIFS(DATOS!G:G,CONFIG_METADATA!$B$4,DATOS!D:D,A71,DATOS!I:I,B71,DATOS!K:K,6),"")</f>
        <v>0</v>
      </c>
      <c r="R71">
        <f>IF(V71="Sí",COUNTIFS(DATOS!G:G,CONFIG_METADATA!$B$4,DATOS!D:D,A71,DATOS!I:I,B71,DATOS!K:K,7),"")</f>
        <v>0</v>
      </c>
      <c r="S71">
        <f>IF(V71="Sí",COUNTIFS(DATOS!G:G,CONFIG_METADATA!$B$4,DATOS!D:D,A71,DATOS!I:I,B71,DATOS!K:K,8),"")</f>
        <v>0</v>
      </c>
      <c r="T71">
        <f>IF(V71="Sí",COUNTIFS(DATOS!G:G,CONFIG_METADATA!$B$4,DATOS!D:D,A71,DATOS!I:I,B71,DATOS!K:K,9),"")</f>
        <v>0</v>
      </c>
      <c r="U71">
        <f>IF(V71="Sí",COUNTIFS(DATOS!G:G,CONFIG_METADATA!$B$4,DATOS!D:D,A71,DATOS!I:I,B71,DATOS!K:K,10),"")</f>
        <v>0</v>
      </c>
      <c r="V71" t="str">
        <f>IFERROR(IF(ISERROR(FIND(A71,VLOOKUP(B71,CONFIG_ASIGNATURAS!B:C,2,FALSE()))),"No","Sí"),"No")</f>
        <v>Sí</v>
      </c>
    </row>
    <row r="72" spans="1:22">
      <c r="A72" s="3" t="inlineStr">
        <is>
          <t xml:space="preserve">1EEM</t>
        </is>
      </c>
      <c r="B72" s="3" cm="1">
        <f t="array" ref="B72">IFERROR(INDEX(_xlfn._xlws.FILTER(CONFIG_ASIGNATURAS!$B$2:$B$61,(CONFIG_ASIGNATURAS!$G$2:$G$61="Sí")*ISNUMBER(SEARCH("1EEM",CONFIG_ASIGNATURAS!$C$2:$C$61))),5),"")</f>
      </c>
      <c r="C72" s="3">
        <f>IF(B72="","",IFERROR(IF(VLOOKUP(B72,CONFIG_ASIGNATURAS!$B$2:$F$61,5,FALSE())="Sí","Especialidad","Asignatura"),"Asignatura"))</f>
      </c>
      <c r="D72">
        <f>IF(V72="Sí",COUNTIFS(DATOS!G:G,CONFIG_METADATA!$B$4,DATOS!D:D,A72,DATOS!I:I,B72),"")</f>
        <v>0</v>
      </c>
      <c r="E72" s="14" t="str">
        <f>IF(V72="Sí",IFERROR(AVERAGEIFS(DATOS!K:K,DATOS!G:G,CONFIG_METADATA!$B$4,DATOS!D:D,A72,DATOS!I:I,B72),"—"),"")</f>
        <v>—</v>
      </c>
      <c r="F72" s="14" t="str" cm="1">
        <f t="array" ref="F72">IF(V72="Sí",IFERROR(_xlfn.STDEV.P(IF((DATOS!$G$2:$G$20000=CONFIG_METADATA!$B$4)*(DATOS!$D$2:$D$20000=A72)*(DATOS!$I$2:$I$20000=B72),DATOS!$K$2:$K$20000)),"—"),"")</f>
        <v>—</v>
      </c>
      <c r="G72" t="str" cm="1">
        <f t="array" ref="G72">IF(V72="Sí",IFERROR(_xlfn.MODE.SNGL(IF((DATOS!$G$2:$G$20000=CONFIG_METADATA!$B$4)*(DATOS!$D$2:$D$20000=A72)*(DATOS!$I$2:$I$20000=B72),DATOS!$K$2:$K$20000)),"—"),"")</f>
        <v>—</v>
      </c>
      <c r="H72" s="15" t="str">
        <f>IF(V72="Sí",IFERROR(COUNTIFS(DATOS!G:G,CONFIG_METADATA!$B$4,DATOS!D:D,A72,DATOS!I:I,B72,DATOS!L:L,"S")/COUNTIFS(DATOS!G:G,CONFIG_METADATA!$B$4,DATOS!D:D,A72,DATOS!I:I,B72),"—"),"")</f>
        <v>—</v>
      </c>
      <c r="I72" s="15" t="str">
        <f>IF(V72="Sí",IFERROR(COUNTIFS(DATOS!G:G,CONFIG_METADATA!$B$4,DATOS!D:D,A72,DATOS!I:I,B72,DATOS!L:L,"N")/COUNTIFS(DATOS!G:G,CONFIG_METADATA!$B$4,DATOS!D:D,A72,DATOS!I:I,B72),"—"),"")</f>
        <v>—</v>
      </c>
      <c r="J72" t="str" cm="1">
        <f t="array" ref="J72">IF(V72="Sí",IFERROR(_xlfn.MODE.SNGL(IF((DATOS!$G$2:$G$20000=CONFIG_METADATA!$B$4)*(DATOS!$D$2:$D$20000=A72)*(DATOS!$I$2:$I$20000=B72)*(DATOS!$L$2:$L$20000="S"),DATOS!$K$2:$K$20000)),"—"),"")</f>
        <v>—</v>
      </c>
      <c r="K72" t="str" cm="1">
        <f t="array" ref="K72">IF(V72="Sí",IFERROR(_xlfn.MODE.SNGL(IF((DATOS!$G$2:$G$20000=CONFIG_METADATA!$B$4)*(DATOS!$D$2:$D$20000=A72)*(DATOS!$I$2:$I$20000=B72)*(DATOS!$L$2:$L$20000="N"),DATOS!$K$2:$K$20000)),"—"),"")</f>
        <v>—</v>
      </c>
      <c r="L72">
        <f>IF(V72="Sí",COUNTIFS(DATOS!G:G,CONFIG_METADATA!$B$4,DATOS!D:D,A72,DATOS!I:I,B72,DATOS!K:K,1),"")</f>
        <v>0</v>
      </c>
      <c r="M72">
        <f>IF(V72="Sí",COUNTIFS(DATOS!G:G,CONFIG_METADATA!$B$4,DATOS!D:D,A72,DATOS!I:I,B72,DATOS!K:K,2),"")</f>
        <v>0</v>
      </c>
      <c r="N72">
        <f>IF(V72="Sí",COUNTIFS(DATOS!G:G,CONFIG_METADATA!$B$4,DATOS!D:D,A72,DATOS!I:I,B72,DATOS!K:K,3),"")</f>
        <v>0</v>
      </c>
      <c r="O72">
        <f>IF(V72="Sí",COUNTIFS(DATOS!G:G,CONFIG_METADATA!$B$4,DATOS!D:D,A72,DATOS!I:I,B72,DATOS!K:K,4),"")</f>
        <v>0</v>
      </c>
      <c r="P72">
        <f>IF(V72="Sí",COUNTIFS(DATOS!G:G,CONFIG_METADATA!$B$4,DATOS!D:D,A72,DATOS!I:I,B72,DATOS!K:K,5),"")</f>
        <v>0</v>
      </c>
      <c r="Q72">
        <f>IF(V72="Sí",COUNTIFS(DATOS!G:G,CONFIG_METADATA!$B$4,DATOS!D:D,A72,DATOS!I:I,B72,DATOS!K:K,6),"")</f>
        <v>0</v>
      </c>
      <c r="R72">
        <f>IF(V72="Sí",COUNTIFS(DATOS!G:G,CONFIG_METADATA!$B$4,DATOS!D:D,A72,DATOS!I:I,B72,DATOS!K:K,7),"")</f>
        <v>0</v>
      </c>
      <c r="S72">
        <f>IF(V72="Sí",COUNTIFS(DATOS!G:G,CONFIG_METADATA!$B$4,DATOS!D:D,A72,DATOS!I:I,B72,DATOS!K:K,8),"")</f>
        <v>0</v>
      </c>
      <c r="T72">
        <f>IF(V72="Sí",COUNTIFS(DATOS!G:G,CONFIG_METADATA!$B$4,DATOS!D:D,A72,DATOS!I:I,B72,DATOS!K:K,9),"")</f>
        <v>0</v>
      </c>
      <c r="U72">
        <f>IF(V72="Sí",COUNTIFS(DATOS!G:G,CONFIG_METADATA!$B$4,DATOS!D:D,A72,DATOS!I:I,B72,DATOS!K:K,10),"")</f>
        <v>0</v>
      </c>
      <c r="V72" t="str">
        <f>IFERROR(IF(ISERROR(FIND(A72,VLOOKUP(B72,CONFIG_ASIGNATURAS!B:C,2,FALSE()))),"No","Sí"),"No")</f>
        <v>Sí</v>
      </c>
    </row>
    <row r="73" spans="1:22">
      <c r="A73" s="3" t="inlineStr">
        <is>
          <t xml:space="preserve">1EEM</t>
        </is>
      </c>
      <c r="B73" s="3" cm="1">
        <f t="array" ref="B73">IFERROR(INDEX(_xlfn._xlws.FILTER(CONFIG_ASIGNATURAS!$B$2:$B$61,(CONFIG_ASIGNATURAS!$G$2:$G$61="Sí")*ISNUMBER(SEARCH("1EEM",CONFIG_ASIGNATURAS!$C$2:$C$61))),6),"")</f>
      </c>
      <c r="C73" s="3">
        <f>IF(B73="","",IFERROR(IF(VLOOKUP(B73,CONFIG_ASIGNATURAS!$B$2:$F$61,5,FALSE())="Sí","Especialidad","Asignatura"),"Asignatura"))</f>
      </c>
      <c r="D73">
        <f>IF(V73="Sí",COUNTIFS(DATOS!G:G,CONFIG_METADATA!$B$4,DATOS!D:D,A73,DATOS!I:I,B73),"")</f>
        <v>0</v>
      </c>
      <c r="E73" s="14" t="str">
        <f>IF(V73="Sí",IFERROR(AVERAGEIFS(DATOS!K:K,DATOS!G:G,CONFIG_METADATA!$B$4,DATOS!D:D,A73,DATOS!I:I,B73),"—"),"")</f>
        <v>—</v>
      </c>
      <c r="F73" s="14" t="str" cm="1">
        <f t="array" ref="F73">IF(V73="Sí",IFERROR(_xlfn.STDEV.P(IF((DATOS!$G$2:$G$20000=CONFIG_METADATA!$B$4)*(DATOS!$D$2:$D$20000=A73)*(DATOS!$I$2:$I$20000=B73),DATOS!$K$2:$K$20000)),"—"),"")</f>
        <v>—</v>
      </c>
      <c r="G73" t="str" cm="1">
        <f t="array" ref="G73">IF(V73="Sí",IFERROR(_xlfn.MODE.SNGL(IF((DATOS!$G$2:$G$20000=CONFIG_METADATA!$B$4)*(DATOS!$D$2:$D$20000=A73)*(DATOS!$I$2:$I$20000=B73),DATOS!$K$2:$K$20000)),"—"),"")</f>
        <v>—</v>
      </c>
      <c r="H73" s="15" t="str">
        <f>IF(V73="Sí",IFERROR(COUNTIFS(DATOS!G:G,CONFIG_METADATA!$B$4,DATOS!D:D,A73,DATOS!I:I,B73,DATOS!L:L,"S")/COUNTIFS(DATOS!G:G,CONFIG_METADATA!$B$4,DATOS!D:D,A73,DATOS!I:I,B73),"—"),"")</f>
        <v>—</v>
      </c>
      <c r="I73" s="15" t="str">
        <f>IF(V73="Sí",IFERROR(COUNTIFS(DATOS!G:G,CONFIG_METADATA!$B$4,DATOS!D:D,A73,DATOS!I:I,B73,DATOS!L:L,"N")/COUNTIFS(DATOS!G:G,CONFIG_METADATA!$B$4,DATOS!D:D,A73,DATOS!I:I,B73),"—"),"")</f>
        <v>—</v>
      </c>
      <c r="J73" t="str" cm="1">
        <f t="array" ref="J73">IF(V73="Sí",IFERROR(_xlfn.MODE.SNGL(IF((DATOS!$G$2:$G$20000=CONFIG_METADATA!$B$4)*(DATOS!$D$2:$D$20000=A73)*(DATOS!$I$2:$I$20000=B73)*(DATOS!$L$2:$L$20000="S"),DATOS!$K$2:$K$20000)),"—"),"")</f>
        <v>—</v>
      </c>
      <c r="K73" t="str" cm="1">
        <f t="array" ref="K73">IF(V73="Sí",IFERROR(_xlfn.MODE.SNGL(IF((DATOS!$G$2:$G$20000=CONFIG_METADATA!$B$4)*(DATOS!$D$2:$D$20000=A73)*(DATOS!$I$2:$I$20000=B73)*(DATOS!$L$2:$L$20000="N"),DATOS!$K$2:$K$20000)),"—"),"")</f>
        <v>—</v>
      </c>
      <c r="L73">
        <f>IF(V73="Sí",COUNTIFS(DATOS!G:G,CONFIG_METADATA!$B$4,DATOS!D:D,A73,DATOS!I:I,B73,DATOS!K:K,1),"")</f>
        <v>0</v>
      </c>
      <c r="M73">
        <f>IF(V73="Sí",COUNTIFS(DATOS!G:G,CONFIG_METADATA!$B$4,DATOS!D:D,A73,DATOS!I:I,B73,DATOS!K:K,2),"")</f>
        <v>0</v>
      </c>
      <c r="N73">
        <f>IF(V73="Sí",COUNTIFS(DATOS!G:G,CONFIG_METADATA!$B$4,DATOS!D:D,A73,DATOS!I:I,B73,DATOS!K:K,3),"")</f>
        <v>0</v>
      </c>
      <c r="O73">
        <f>IF(V73="Sí",COUNTIFS(DATOS!G:G,CONFIG_METADATA!$B$4,DATOS!D:D,A73,DATOS!I:I,B73,DATOS!K:K,4),"")</f>
        <v>0</v>
      </c>
      <c r="P73">
        <f>IF(V73="Sí",COUNTIFS(DATOS!G:G,CONFIG_METADATA!$B$4,DATOS!D:D,A73,DATOS!I:I,B73,DATOS!K:K,5),"")</f>
        <v>0</v>
      </c>
      <c r="Q73">
        <f>IF(V73="Sí",COUNTIFS(DATOS!G:G,CONFIG_METADATA!$B$4,DATOS!D:D,A73,DATOS!I:I,B73,DATOS!K:K,6),"")</f>
        <v>0</v>
      </c>
      <c r="R73">
        <f>IF(V73="Sí",COUNTIFS(DATOS!G:G,CONFIG_METADATA!$B$4,DATOS!D:D,A73,DATOS!I:I,B73,DATOS!K:K,7),"")</f>
        <v>0</v>
      </c>
      <c r="S73">
        <f>IF(V73="Sí",COUNTIFS(DATOS!G:G,CONFIG_METADATA!$B$4,DATOS!D:D,A73,DATOS!I:I,B73,DATOS!K:K,8),"")</f>
        <v>0</v>
      </c>
      <c r="T73">
        <f>IF(V73="Sí",COUNTIFS(DATOS!G:G,CONFIG_METADATA!$B$4,DATOS!D:D,A73,DATOS!I:I,B73,DATOS!K:K,9),"")</f>
        <v>0</v>
      </c>
      <c r="U73">
        <f>IF(V73="Sí",COUNTIFS(DATOS!G:G,CONFIG_METADATA!$B$4,DATOS!D:D,A73,DATOS!I:I,B73,DATOS!K:K,10),"")</f>
        <v>0</v>
      </c>
      <c r="V73" t="str">
        <f>IFERROR(IF(ISERROR(FIND(A73,VLOOKUP(B73,CONFIG_ASIGNATURAS!B:C,2,FALSE()))),"No","Sí"),"No")</f>
        <v>Sí</v>
      </c>
    </row>
    <row r="74" spans="1:22">
      <c r="A74" s="3" t="inlineStr">
        <is>
          <t xml:space="preserve">1EEM</t>
        </is>
      </c>
      <c r="B74" s="3" cm="1">
        <f t="array" ref="B74">IFERROR(INDEX(_xlfn._xlws.FILTER(CONFIG_ASIGNATURAS!$B$2:$B$61,(CONFIG_ASIGNATURAS!$G$2:$G$61="Sí")*ISNUMBER(SEARCH("1EEM",CONFIG_ASIGNATURAS!$C$2:$C$61))),7),"")</f>
      </c>
      <c r="C74" s="3">
        <f>IF(B74="","",IFERROR(IF(VLOOKUP(B74,CONFIG_ASIGNATURAS!$B$2:$F$61,5,FALSE())="Sí","Especialidad","Asignatura"),"Asignatura"))</f>
      </c>
      <c r="D74">
        <f>IF(V74="Sí",COUNTIFS(DATOS!G:G,CONFIG_METADATA!$B$4,DATOS!D:D,A74,DATOS!I:I,B74),"")</f>
        <v>0</v>
      </c>
      <c r="E74" s="14" t="str">
        <f>IF(V74="Sí",IFERROR(AVERAGEIFS(DATOS!K:K,DATOS!G:G,CONFIG_METADATA!$B$4,DATOS!D:D,A74,DATOS!I:I,B74),"—"),"")</f>
        <v>—</v>
      </c>
      <c r="F74" s="14" t="str" cm="1">
        <f t="array" ref="F74">IF(V74="Sí",IFERROR(_xlfn.STDEV.P(IF((DATOS!$G$2:$G$20000=CONFIG_METADATA!$B$4)*(DATOS!$D$2:$D$20000=A74)*(DATOS!$I$2:$I$20000=B74),DATOS!$K$2:$K$20000)),"—"),"")</f>
        <v>—</v>
      </c>
      <c r="G74" t="str" cm="1">
        <f t="array" ref="G74">IF(V74="Sí",IFERROR(_xlfn.MODE.SNGL(IF((DATOS!$G$2:$G$20000=CONFIG_METADATA!$B$4)*(DATOS!$D$2:$D$20000=A74)*(DATOS!$I$2:$I$20000=B74),DATOS!$K$2:$K$20000)),"—"),"")</f>
        <v>—</v>
      </c>
      <c r="H74" s="15" t="str">
        <f>IF(V74="Sí",IFERROR(COUNTIFS(DATOS!G:G,CONFIG_METADATA!$B$4,DATOS!D:D,A74,DATOS!I:I,B74,DATOS!L:L,"S")/COUNTIFS(DATOS!G:G,CONFIG_METADATA!$B$4,DATOS!D:D,A74,DATOS!I:I,B74),"—"),"")</f>
        <v>—</v>
      </c>
      <c r="I74" s="15" t="str">
        <f>IF(V74="Sí",IFERROR(COUNTIFS(DATOS!G:G,CONFIG_METADATA!$B$4,DATOS!D:D,A74,DATOS!I:I,B74,DATOS!L:L,"N")/COUNTIFS(DATOS!G:G,CONFIG_METADATA!$B$4,DATOS!D:D,A74,DATOS!I:I,B74),"—"),"")</f>
        <v>—</v>
      </c>
      <c r="J74" t="str" cm="1">
        <f t="array" ref="J74">IF(V74="Sí",IFERROR(_xlfn.MODE.SNGL(IF((DATOS!$G$2:$G$20000=CONFIG_METADATA!$B$4)*(DATOS!$D$2:$D$20000=A74)*(DATOS!$I$2:$I$20000=B74)*(DATOS!$L$2:$L$20000="S"),DATOS!$K$2:$K$20000)),"—"),"")</f>
        <v>—</v>
      </c>
      <c r="K74" t="str" cm="1">
        <f t="array" ref="K74">IF(V74="Sí",IFERROR(_xlfn.MODE.SNGL(IF((DATOS!$G$2:$G$20000=CONFIG_METADATA!$B$4)*(DATOS!$D$2:$D$20000=A74)*(DATOS!$I$2:$I$20000=B74)*(DATOS!$L$2:$L$20000="N"),DATOS!$K$2:$K$20000)),"—"),"")</f>
        <v>—</v>
      </c>
      <c r="L74">
        <f>IF(V74="Sí",COUNTIFS(DATOS!G:G,CONFIG_METADATA!$B$4,DATOS!D:D,A74,DATOS!I:I,B74,DATOS!K:K,1),"")</f>
        <v>0</v>
      </c>
      <c r="M74">
        <f>IF(V74="Sí",COUNTIFS(DATOS!G:G,CONFIG_METADATA!$B$4,DATOS!D:D,A74,DATOS!I:I,B74,DATOS!K:K,2),"")</f>
        <v>0</v>
      </c>
      <c r="N74">
        <f>IF(V74="Sí",COUNTIFS(DATOS!G:G,CONFIG_METADATA!$B$4,DATOS!D:D,A74,DATOS!I:I,B74,DATOS!K:K,3),"")</f>
        <v>0</v>
      </c>
      <c r="O74">
        <f>IF(V74="Sí",COUNTIFS(DATOS!G:G,CONFIG_METADATA!$B$4,DATOS!D:D,A74,DATOS!I:I,B74,DATOS!K:K,4),"")</f>
        <v>0</v>
      </c>
      <c r="P74">
        <f>IF(V74="Sí",COUNTIFS(DATOS!G:G,CONFIG_METADATA!$B$4,DATOS!D:D,A74,DATOS!I:I,B74,DATOS!K:K,5),"")</f>
        <v>0</v>
      </c>
      <c r="Q74">
        <f>IF(V74="Sí",COUNTIFS(DATOS!G:G,CONFIG_METADATA!$B$4,DATOS!D:D,A74,DATOS!I:I,B74,DATOS!K:K,6),"")</f>
        <v>0</v>
      </c>
      <c r="R74">
        <f>IF(V74="Sí",COUNTIFS(DATOS!G:G,CONFIG_METADATA!$B$4,DATOS!D:D,A74,DATOS!I:I,B74,DATOS!K:K,7),"")</f>
        <v>0</v>
      </c>
      <c r="S74">
        <f>IF(V74="Sí",COUNTIFS(DATOS!G:G,CONFIG_METADATA!$B$4,DATOS!D:D,A74,DATOS!I:I,B74,DATOS!K:K,8),"")</f>
        <v>0</v>
      </c>
      <c r="T74">
        <f>IF(V74="Sí",COUNTIFS(DATOS!G:G,CONFIG_METADATA!$B$4,DATOS!D:D,A74,DATOS!I:I,B74,DATOS!K:K,9),"")</f>
        <v>0</v>
      </c>
      <c r="U74">
        <f>IF(V74="Sí",COUNTIFS(DATOS!G:G,CONFIG_METADATA!$B$4,DATOS!D:D,A74,DATOS!I:I,B74,DATOS!K:K,10),"")</f>
        <v>0</v>
      </c>
      <c r="V74" t="str">
        <f>IFERROR(IF(ISERROR(FIND(A74,VLOOKUP(B74,CONFIG_ASIGNATURAS!B:C,2,FALSE()))),"No","Sí"),"No")</f>
        <v>Sí</v>
      </c>
    </row>
    <row r="75" spans="1:22">
      <c r="A75" s="3" t="inlineStr">
        <is>
          <t xml:space="preserve">1EEM</t>
        </is>
      </c>
      <c r="B75" s="3" cm="1">
        <f t="array" ref="B75">IFERROR(INDEX(_xlfn._xlws.FILTER(CONFIG_ASIGNATURAS!$B$2:$B$61,(CONFIG_ASIGNATURAS!$G$2:$G$61="Sí")*ISNUMBER(SEARCH("1EEM",CONFIG_ASIGNATURAS!$C$2:$C$61))),8),"")</f>
      </c>
      <c r="C75" s="3">
        <f>IF(B75="","",IFERROR(IF(VLOOKUP(B75,CONFIG_ASIGNATURAS!$B$2:$F$61,5,FALSE())="Sí","Especialidad","Asignatura"),"Asignatura"))</f>
      </c>
      <c r="D75">
        <f>IF(V75="Sí",COUNTIFS(DATOS!G:G,CONFIG_METADATA!$B$4,DATOS!D:D,A75,DATOS!I:I,B75),"")</f>
        <v>0</v>
      </c>
      <c r="E75" s="14" t="str">
        <f>IF(V75="Sí",IFERROR(AVERAGEIFS(DATOS!K:K,DATOS!G:G,CONFIG_METADATA!$B$4,DATOS!D:D,A75,DATOS!I:I,B75),"—"),"")</f>
        <v>—</v>
      </c>
      <c r="F75" s="14" t="str" cm="1">
        <f t="array" ref="F75">IF(V75="Sí",IFERROR(_xlfn.STDEV.P(IF((DATOS!$G$2:$G$20000=CONFIG_METADATA!$B$4)*(DATOS!$D$2:$D$20000=A75)*(DATOS!$I$2:$I$20000=B75),DATOS!$K$2:$K$20000)),"—"),"")</f>
        <v>—</v>
      </c>
      <c r="G75" t="str" cm="1">
        <f t="array" ref="G75">IF(V75="Sí",IFERROR(_xlfn.MODE.SNGL(IF((DATOS!$G$2:$G$20000=CONFIG_METADATA!$B$4)*(DATOS!$D$2:$D$20000=A75)*(DATOS!$I$2:$I$20000=B75),DATOS!$K$2:$K$20000)),"—"),"")</f>
        <v>—</v>
      </c>
      <c r="H75" s="15" t="str">
        <f>IF(V75="Sí",IFERROR(COUNTIFS(DATOS!G:G,CONFIG_METADATA!$B$4,DATOS!D:D,A75,DATOS!I:I,B75,DATOS!L:L,"S")/COUNTIFS(DATOS!G:G,CONFIG_METADATA!$B$4,DATOS!D:D,A75,DATOS!I:I,B75),"—"),"")</f>
        <v>—</v>
      </c>
      <c r="I75" s="15" t="str">
        <f>IF(V75="Sí",IFERROR(COUNTIFS(DATOS!G:G,CONFIG_METADATA!$B$4,DATOS!D:D,A75,DATOS!I:I,B75,DATOS!L:L,"N")/COUNTIFS(DATOS!G:G,CONFIG_METADATA!$B$4,DATOS!D:D,A75,DATOS!I:I,B75),"—"),"")</f>
        <v>—</v>
      </c>
      <c r="J75" t="str" cm="1">
        <f t="array" ref="J75">IF(V75="Sí",IFERROR(_xlfn.MODE.SNGL(IF((DATOS!$G$2:$G$20000=CONFIG_METADATA!$B$4)*(DATOS!$D$2:$D$20000=A75)*(DATOS!$I$2:$I$20000=B75)*(DATOS!$L$2:$L$20000="S"),DATOS!$K$2:$K$20000)),"—"),"")</f>
        <v>—</v>
      </c>
      <c r="K75" t="str" cm="1">
        <f t="array" ref="K75">IF(V75="Sí",IFERROR(_xlfn.MODE.SNGL(IF((DATOS!$G$2:$G$20000=CONFIG_METADATA!$B$4)*(DATOS!$D$2:$D$20000=A75)*(DATOS!$I$2:$I$20000=B75)*(DATOS!$L$2:$L$20000="N"),DATOS!$K$2:$K$20000)),"—"),"")</f>
        <v>—</v>
      </c>
      <c r="L75">
        <f>IF(V75="Sí",COUNTIFS(DATOS!G:G,CONFIG_METADATA!$B$4,DATOS!D:D,A75,DATOS!I:I,B75,DATOS!K:K,1),"")</f>
        <v>0</v>
      </c>
      <c r="M75">
        <f>IF(V75="Sí",COUNTIFS(DATOS!G:G,CONFIG_METADATA!$B$4,DATOS!D:D,A75,DATOS!I:I,B75,DATOS!K:K,2),"")</f>
        <v>0</v>
      </c>
      <c r="N75">
        <f>IF(V75="Sí",COUNTIFS(DATOS!G:G,CONFIG_METADATA!$B$4,DATOS!D:D,A75,DATOS!I:I,B75,DATOS!K:K,3),"")</f>
        <v>0</v>
      </c>
      <c r="O75">
        <f>IF(V75="Sí",COUNTIFS(DATOS!G:G,CONFIG_METADATA!$B$4,DATOS!D:D,A75,DATOS!I:I,B75,DATOS!K:K,4),"")</f>
        <v>0</v>
      </c>
      <c r="P75">
        <f>IF(V75="Sí",COUNTIFS(DATOS!G:G,CONFIG_METADATA!$B$4,DATOS!D:D,A75,DATOS!I:I,B75,DATOS!K:K,5),"")</f>
        <v>0</v>
      </c>
      <c r="Q75">
        <f>IF(V75="Sí",COUNTIFS(DATOS!G:G,CONFIG_METADATA!$B$4,DATOS!D:D,A75,DATOS!I:I,B75,DATOS!K:K,6),"")</f>
        <v>0</v>
      </c>
      <c r="R75">
        <f>IF(V75="Sí",COUNTIFS(DATOS!G:G,CONFIG_METADATA!$B$4,DATOS!D:D,A75,DATOS!I:I,B75,DATOS!K:K,7),"")</f>
        <v>0</v>
      </c>
      <c r="S75">
        <f>IF(V75="Sí",COUNTIFS(DATOS!G:G,CONFIG_METADATA!$B$4,DATOS!D:D,A75,DATOS!I:I,B75,DATOS!K:K,8),"")</f>
        <v>0</v>
      </c>
      <c r="T75">
        <f>IF(V75="Sí",COUNTIFS(DATOS!G:G,CONFIG_METADATA!$B$4,DATOS!D:D,A75,DATOS!I:I,B75,DATOS!K:K,9),"")</f>
        <v>0</v>
      </c>
      <c r="U75">
        <f>IF(V75="Sí",COUNTIFS(DATOS!G:G,CONFIG_METADATA!$B$4,DATOS!D:D,A75,DATOS!I:I,B75,DATOS!K:K,10),"")</f>
        <v>0</v>
      </c>
      <c r="V75" t="str">
        <f>IFERROR(IF(ISERROR(FIND(A75,VLOOKUP(B75,CONFIG_ASIGNATURAS!B:C,2,FALSE()))),"No","Sí"),"No")</f>
        <v>Sí</v>
      </c>
    </row>
    <row r="76" spans="1:22">
      <c r="A76" s="3" t="inlineStr">
        <is>
          <t xml:space="preserve">1EEM</t>
        </is>
      </c>
      <c r="B76" s="3" cm="1">
        <f t="array" ref="B76">IFERROR(INDEX(_xlfn._xlws.FILTER(CONFIG_ASIGNATURAS!$B$2:$B$61,(CONFIG_ASIGNATURAS!$G$2:$G$61="Sí")*ISNUMBER(SEARCH("1EEM",CONFIG_ASIGNATURAS!$C$2:$C$61))),9),"")</f>
      </c>
      <c r="C76" s="3">
        <f>IF(B76="","",IFERROR(IF(VLOOKUP(B76,CONFIG_ASIGNATURAS!$B$2:$F$61,5,FALSE())="Sí","Especialidad","Asignatura"),"Asignatura"))</f>
      </c>
      <c r="D76">
        <f>IF(V76="Sí",COUNTIFS(DATOS!G:G,CONFIG_METADATA!$B$4,DATOS!D:D,A76,DATOS!I:I,B76),"")</f>
        <v>0</v>
      </c>
      <c r="E76" s="14" t="str">
        <f>IF(V76="Sí",IFERROR(AVERAGEIFS(DATOS!K:K,DATOS!G:G,CONFIG_METADATA!$B$4,DATOS!D:D,A76,DATOS!I:I,B76),"—"),"")</f>
        <v>—</v>
      </c>
      <c r="F76" s="14" t="str" cm="1">
        <f t="array" ref="F76">IF(V76="Sí",IFERROR(_xlfn.STDEV.P(IF((DATOS!$G$2:$G$20000=CONFIG_METADATA!$B$4)*(DATOS!$D$2:$D$20000=A76)*(DATOS!$I$2:$I$20000=B76),DATOS!$K$2:$K$20000)),"—"),"")</f>
        <v>—</v>
      </c>
      <c r="G76" t="str" cm="1">
        <f t="array" ref="G76">IF(V76="Sí",IFERROR(_xlfn.MODE.SNGL(IF((DATOS!$G$2:$G$20000=CONFIG_METADATA!$B$4)*(DATOS!$D$2:$D$20000=A76)*(DATOS!$I$2:$I$20000=B76),DATOS!$K$2:$K$20000)),"—"),"")</f>
        <v>—</v>
      </c>
      <c r="H76" s="15" t="str">
        <f>IF(V76="Sí",IFERROR(COUNTIFS(DATOS!G:G,CONFIG_METADATA!$B$4,DATOS!D:D,A76,DATOS!I:I,B76,DATOS!L:L,"S")/COUNTIFS(DATOS!G:G,CONFIG_METADATA!$B$4,DATOS!D:D,A76,DATOS!I:I,B76),"—"),"")</f>
        <v>—</v>
      </c>
      <c r="I76" s="15" t="str">
        <f>IF(V76="Sí",IFERROR(COUNTIFS(DATOS!G:G,CONFIG_METADATA!$B$4,DATOS!D:D,A76,DATOS!I:I,B76,DATOS!L:L,"N")/COUNTIFS(DATOS!G:G,CONFIG_METADATA!$B$4,DATOS!D:D,A76,DATOS!I:I,B76),"—"),"")</f>
        <v>—</v>
      </c>
      <c r="J76" t="str" cm="1">
        <f t="array" ref="J76">IF(V76="Sí",IFERROR(_xlfn.MODE.SNGL(IF((DATOS!$G$2:$G$20000=CONFIG_METADATA!$B$4)*(DATOS!$D$2:$D$20000=A76)*(DATOS!$I$2:$I$20000=B76)*(DATOS!$L$2:$L$20000="S"),DATOS!$K$2:$K$20000)),"—"),"")</f>
        <v>—</v>
      </c>
      <c r="K76" t="str" cm="1">
        <f t="array" ref="K76">IF(V76="Sí",IFERROR(_xlfn.MODE.SNGL(IF((DATOS!$G$2:$G$20000=CONFIG_METADATA!$B$4)*(DATOS!$D$2:$D$20000=A76)*(DATOS!$I$2:$I$20000=B76)*(DATOS!$L$2:$L$20000="N"),DATOS!$K$2:$K$20000)),"—"),"")</f>
        <v>—</v>
      </c>
      <c r="L76">
        <f>IF(V76="Sí",COUNTIFS(DATOS!G:G,CONFIG_METADATA!$B$4,DATOS!D:D,A76,DATOS!I:I,B76,DATOS!K:K,1),"")</f>
        <v>0</v>
      </c>
      <c r="M76">
        <f>IF(V76="Sí",COUNTIFS(DATOS!G:G,CONFIG_METADATA!$B$4,DATOS!D:D,A76,DATOS!I:I,B76,DATOS!K:K,2),"")</f>
        <v>0</v>
      </c>
      <c r="N76">
        <f>IF(V76="Sí",COUNTIFS(DATOS!G:G,CONFIG_METADATA!$B$4,DATOS!D:D,A76,DATOS!I:I,B76,DATOS!K:K,3),"")</f>
        <v>0</v>
      </c>
      <c r="O76">
        <f>IF(V76="Sí",COUNTIFS(DATOS!G:G,CONFIG_METADATA!$B$4,DATOS!D:D,A76,DATOS!I:I,B76,DATOS!K:K,4),"")</f>
        <v>0</v>
      </c>
      <c r="P76">
        <f>IF(V76="Sí",COUNTIFS(DATOS!G:G,CONFIG_METADATA!$B$4,DATOS!D:D,A76,DATOS!I:I,B76,DATOS!K:K,5),"")</f>
        <v>0</v>
      </c>
      <c r="Q76">
        <f>IF(V76="Sí",COUNTIFS(DATOS!G:G,CONFIG_METADATA!$B$4,DATOS!D:D,A76,DATOS!I:I,B76,DATOS!K:K,6),"")</f>
        <v>0</v>
      </c>
      <c r="R76">
        <f>IF(V76="Sí",COUNTIFS(DATOS!G:G,CONFIG_METADATA!$B$4,DATOS!D:D,A76,DATOS!I:I,B76,DATOS!K:K,7),"")</f>
        <v>0</v>
      </c>
      <c r="S76">
        <f>IF(V76="Sí",COUNTIFS(DATOS!G:G,CONFIG_METADATA!$B$4,DATOS!D:D,A76,DATOS!I:I,B76,DATOS!K:K,8),"")</f>
        <v>0</v>
      </c>
      <c r="T76">
        <f>IF(V76="Sí",COUNTIFS(DATOS!G:G,CONFIG_METADATA!$B$4,DATOS!D:D,A76,DATOS!I:I,B76,DATOS!K:K,9),"")</f>
        <v>0</v>
      </c>
      <c r="U76">
        <f>IF(V76="Sí",COUNTIFS(DATOS!G:G,CONFIG_METADATA!$B$4,DATOS!D:D,A76,DATOS!I:I,B76,DATOS!K:K,10),"")</f>
        <v>0</v>
      </c>
      <c r="V76" t="str">
        <f>IFERROR(IF(ISERROR(FIND(A76,VLOOKUP(B76,CONFIG_ASIGNATURAS!B:C,2,FALSE()))),"No","Sí"),"No")</f>
        <v>Sí</v>
      </c>
    </row>
    <row r="77" spans="1:22">
      <c r="A77" s="3" t="inlineStr">
        <is>
          <t xml:space="preserve">1EEM</t>
        </is>
      </c>
      <c r="B77" s="3" cm="1">
        <f t="array" ref="B77">IFERROR(INDEX(_xlfn._xlws.FILTER(CONFIG_ASIGNATURAS!$B$2:$B$61,(CONFIG_ASIGNATURAS!$G$2:$G$61="Sí")*ISNUMBER(SEARCH("1EEM",CONFIG_ASIGNATURAS!$C$2:$C$61))),10),"")</f>
      </c>
      <c r="C77" s="3">
        <f>IF(B77="","",IFERROR(IF(VLOOKUP(B77,CONFIG_ASIGNATURAS!$B$2:$F$61,5,FALSE())="Sí","Especialidad","Asignatura"),"Asignatura"))</f>
      </c>
      <c r="D77">
        <f>IF(V77="Sí",COUNTIFS(DATOS!G:G,CONFIG_METADATA!$B$4,DATOS!D:D,A77,DATOS!I:I,B77),"")</f>
        <v>0</v>
      </c>
      <c r="E77" s="14" t="str">
        <f>IF(V77="Sí",IFERROR(AVERAGEIFS(DATOS!K:K,DATOS!G:G,CONFIG_METADATA!$B$4,DATOS!D:D,A77,DATOS!I:I,B77),"—"),"")</f>
        <v>—</v>
      </c>
      <c r="F77" s="14" t="str" cm="1">
        <f t="array" ref="F77">IF(V77="Sí",IFERROR(_xlfn.STDEV.P(IF((DATOS!$G$2:$G$20000=CONFIG_METADATA!$B$4)*(DATOS!$D$2:$D$20000=A77)*(DATOS!$I$2:$I$20000=B77),DATOS!$K$2:$K$20000)),"—"),"")</f>
        <v>—</v>
      </c>
      <c r="G77" t="str" cm="1">
        <f t="array" ref="G77">IF(V77="Sí",IFERROR(_xlfn.MODE.SNGL(IF((DATOS!$G$2:$G$20000=CONFIG_METADATA!$B$4)*(DATOS!$D$2:$D$20000=A77)*(DATOS!$I$2:$I$20000=B77),DATOS!$K$2:$K$20000)),"—"),"")</f>
        <v>—</v>
      </c>
      <c r="H77" s="15" t="str">
        <f>IF(V77="Sí",IFERROR(COUNTIFS(DATOS!G:G,CONFIG_METADATA!$B$4,DATOS!D:D,A77,DATOS!I:I,B77,DATOS!L:L,"S")/COUNTIFS(DATOS!G:G,CONFIG_METADATA!$B$4,DATOS!D:D,A77,DATOS!I:I,B77),"—"),"")</f>
        <v>—</v>
      </c>
      <c r="I77" s="15" t="str">
        <f>IF(V77="Sí",IFERROR(COUNTIFS(DATOS!G:G,CONFIG_METADATA!$B$4,DATOS!D:D,A77,DATOS!I:I,B77,DATOS!L:L,"N")/COUNTIFS(DATOS!G:G,CONFIG_METADATA!$B$4,DATOS!D:D,A77,DATOS!I:I,B77),"—"),"")</f>
        <v>—</v>
      </c>
      <c r="J77" t="str" cm="1">
        <f t="array" ref="J77">IF(V77="Sí",IFERROR(_xlfn.MODE.SNGL(IF((DATOS!$G$2:$G$20000=CONFIG_METADATA!$B$4)*(DATOS!$D$2:$D$20000=A77)*(DATOS!$I$2:$I$20000=B77)*(DATOS!$L$2:$L$20000="S"),DATOS!$K$2:$K$20000)),"—"),"")</f>
        <v>—</v>
      </c>
      <c r="K77" t="str" cm="1">
        <f t="array" ref="K77">IF(V77="Sí",IFERROR(_xlfn.MODE.SNGL(IF((DATOS!$G$2:$G$20000=CONFIG_METADATA!$B$4)*(DATOS!$D$2:$D$20000=A77)*(DATOS!$I$2:$I$20000=B77)*(DATOS!$L$2:$L$20000="N"),DATOS!$K$2:$K$20000)),"—"),"")</f>
        <v>—</v>
      </c>
      <c r="L77">
        <f>IF(V77="Sí",COUNTIFS(DATOS!G:G,CONFIG_METADATA!$B$4,DATOS!D:D,A77,DATOS!I:I,B77,DATOS!K:K,1),"")</f>
        <v>0</v>
      </c>
      <c r="M77">
        <f>IF(V77="Sí",COUNTIFS(DATOS!G:G,CONFIG_METADATA!$B$4,DATOS!D:D,A77,DATOS!I:I,B77,DATOS!K:K,2),"")</f>
        <v>0</v>
      </c>
      <c r="N77">
        <f>IF(V77="Sí",COUNTIFS(DATOS!G:G,CONFIG_METADATA!$B$4,DATOS!D:D,A77,DATOS!I:I,B77,DATOS!K:K,3),"")</f>
        <v>0</v>
      </c>
      <c r="O77">
        <f>IF(V77="Sí",COUNTIFS(DATOS!G:G,CONFIG_METADATA!$B$4,DATOS!D:D,A77,DATOS!I:I,B77,DATOS!K:K,4),"")</f>
        <v>0</v>
      </c>
      <c r="P77">
        <f>IF(V77="Sí",COUNTIFS(DATOS!G:G,CONFIG_METADATA!$B$4,DATOS!D:D,A77,DATOS!I:I,B77,DATOS!K:K,5),"")</f>
        <v>0</v>
      </c>
      <c r="Q77">
        <f>IF(V77="Sí",COUNTIFS(DATOS!G:G,CONFIG_METADATA!$B$4,DATOS!D:D,A77,DATOS!I:I,B77,DATOS!K:K,6),"")</f>
        <v>0</v>
      </c>
      <c r="R77">
        <f>IF(V77="Sí",COUNTIFS(DATOS!G:G,CONFIG_METADATA!$B$4,DATOS!D:D,A77,DATOS!I:I,B77,DATOS!K:K,7),"")</f>
        <v>0</v>
      </c>
      <c r="S77">
        <f>IF(V77="Sí",COUNTIFS(DATOS!G:G,CONFIG_METADATA!$B$4,DATOS!D:D,A77,DATOS!I:I,B77,DATOS!K:K,8),"")</f>
        <v>0</v>
      </c>
      <c r="T77">
        <f>IF(V77="Sí",COUNTIFS(DATOS!G:G,CONFIG_METADATA!$B$4,DATOS!D:D,A77,DATOS!I:I,B77,DATOS!K:K,9),"")</f>
        <v>0</v>
      </c>
      <c r="U77">
        <f>IF(V77="Sí",COUNTIFS(DATOS!G:G,CONFIG_METADATA!$B$4,DATOS!D:D,A77,DATOS!I:I,B77,DATOS!K:K,10),"")</f>
        <v>0</v>
      </c>
      <c r="V77" t="str">
        <f>IFERROR(IF(ISERROR(FIND(A77,VLOOKUP(B77,CONFIG_ASIGNATURAS!B:C,2,FALSE()))),"No","Sí"),"No")</f>
        <v>Sí</v>
      </c>
    </row>
    <row r="78" spans="1:22">
      <c r="A78" s="3" t="inlineStr">
        <is>
          <t xml:space="preserve">1EEM</t>
        </is>
      </c>
      <c r="B78" s="3" cm="1">
        <f t="array" ref="B78">IFERROR(INDEX(_xlfn._xlws.FILTER(CONFIG_ASIGNATURAS!$B$2:$B$61,(CONFIG_ASIGNATURAS!$G$2:$G$61="Sí")*ISNUMBER(SEARCH("1EEM",CONFIG_ASIGNATURAS!$C$2:$C$61))),11),"")</f>
      </c>
      <c r="C78" s="3">
        <f>IF(B78="","",IFERROR(IF(VLOOKUP(B78,CONFIG_ASIGNATURAS!$B$2:$F$61,5,FALSE())="Sí","Especialidad","Asignatura"),"Asignatura"))</f>
      </c>
      <c r="D78">
        <f>IF(V78="Sí",COUNTIFS(DATOS!G:G,CONFIG_METADATA!$B$4,DATOS!D:D,A78,DATOS!I:I,B78),"")</f>
        <v>0</v>
      </c>
      <c r="E78" s="14" t="str">
        <f>IF(V78="Sí",IFERROR(AVERAGEIFS(DATOS!K:K,DATOS!G:G,CONFIG_METADATA!$B$4,DATOS!D:D,A78,DATOS!I:I,B78),"—"),"")</f>
        <v>—</v>
      </c>
      <c r="F78" s="14" t="str" cm="1">
        <f t="array" ref="F78">IF(V78="Sí",IFERROR(_xlfn.STDEV.P(IF((DATOS!$G$2:$G$20000=CONFIG_METADATA!$B$4)*(DATOS!$D$2:$D$20000=A78)*(DATOS!$I$2:$I$20000=B78),DATOS!$K$2:$K$20000)),"—"),"")</f>
        <v>—</v>
      </c>
      <c r="G78" t="str" cm="1">
        <f t="array" ref="G78">IF(V78="Sí",IFERROR(_xlfn.MODE.SNGL(IF((DATOS!$G$2:$G$20000=CONFIG_METADATA!$B$4)*(DATOS!$D$2:$D$20000=A78)*(DATOS!$I$2:$I$20000=B78),DATOS!$K$2:$K$20000)),"—"),"")</f>
        <v>—</v>
      </c>
      <c r="H78" s="15" t="str">
        <f>IF(V78="Sí",IFERROR(COUNTIFS(DATOS!G:G,CONFIG_METADATA!$B$4,DATOS!D:D,A78,DATOS!I:I,B78,DATOS!L:L,"S")/COUNTIFS(DATOS!G:G,CONFIG_METADATA!$B$4,DATOS!D:D,A78,DATOS!I:I,B78),"—"),"")</f>
        <v>—</v>
      </c>
      <c r="I78" s="15" t="str">
        <f>IF(V78="Sí",IFERROR(COUNTIFS(DATOS!G:G,CONFIG_METADATA!$B$4,DATOS!D:D,A78,DATOS!I:I,B78,DATOS!L:L,"N")/COUNTIFS(DATOS!G:G,CONFIG_METADATA!$B$4,DATOS!D:D,A78,DATOS!I:I,B78),"—"),"")</f>
        <v>—</v>
      </c>
      <c r="J78" t="str" cm="1">
        <f t="array" ref="J78">IF(V78="Sí",IFERROR(_xlfn.MODE.SNGL(IF((DATOS!$G$2:$G$20000=CONFIG_METADATA!$B$4)*(DATOS!$D$2:$D$20000=A78)*(DATOS!$I$2:$I$20000=B78)*(DATOS!$L$2:$L$20000="S"),DATOS!$K$2:$K$20000)),"—"),"")</f>
        <v>—</v>
      </c>
      <c r="K78" t="str" cm="1">
        <f t="array" ref="K78">IF(V78="Sí",IFERROR(_xlfn.MODE.SNGL(IF((DATOS!$G$2:$G$20000=CONFIG_METADATA!$B$4)*(DATOS!$D$2:$D$20000=A78)*(DATOS!$I$2:$I$20000=B78)*(DATOS!$L$2:$L$20000="N"),DATOS!$K$2:$K$20000)),"—"),"")</f>
        <v>—</v>
      </c>
      <c r="L78">
        <f>IF(V78="Sí",COUNTIFS(DATOS!G:G,CONFIG_METADATA!$B$4,DATOS!D:D,A78,DATOS!I:I,B78,DATOS!K:K,1),"")</f>
        <v>0</v>
      </c>
      <c r="M78">
        <f>IF(V78="Sí",COUNTIFS(DATOS!G:G,CONFIG_METADATA!$B$4,DATOS!D:D,A78,DATOS!I:I,B78,DATOS!K:K,2),"")</f>
        <v>0</v>
      </c>
      <c r="N78">
        <f>IF(V78="Sí",COUNTIFS(DATOS!G:G,CONFIG_METADATA!$B$4,DATOS!D:D,A78,DATOS!I:I,B78,DATOS!K:K,3),"")</f>
        <v>0</v>
      </c>
      <c r="O78">
        <f>IF(V78="Sí",COUNTIFS(DATOS!G:G,CONFIG_METADATA!$B$4,DATOS!D:D,A78,DATOS!I:I,B78,DATOS!K:K,4),"")</f>
        <v>0</v>
      </c>
      <c r="P78">
        <f>IF(V78="Sí",COUNTIFS(DATOS!G:G,CONFIG_METADATA!$B$4,DATOS!D:D,A78,DATOS!I:I,B78,DATOS!K:K,5),"")</f>
        <v>0</v>
      </c>
      <c r="Q78">
        <f>IF(V78="Sí",COUNTIFS(DATOS!G:G,CONFIG_METADATA!$B$4,DATOS!D:D,A78,DATOS!I:I,B78,DATOS!K:K,6),"")</f>
        <v>0</v>
      </c>
      <c r="R78">
        <f>IF(V78="Sí",COUNTIFS(DATOS!G:G,CONFIG_METADATA!$B$4,DATOS!D:D,A78,DATOS!I:I,B78,DATOS!K:K,7),"")</f>
        <v>0</v>
      </c>
      <c r="S78">
        <f>IF(V78="Sí",COUNTIFS(DATOS!G:G,CONFIG_METADATA!$B$4,DATOS!D:D,A78,DATOS!I:I,B78,DATOS!K:K,8),"")</f>
        <v>0</v>
      </c>
      <c r="T78">
        <f>IF(V78="Sí",COUNTIFS(DATOS!G:G,CONFIG_METADATA!$B$4,DATOS!D:D,A78,DATOS!I:I,B78,DATOS!K:K,9),"")</f>
        <v>0</v>
      </c>
      <c r="U78">
        <f>IF(V78="Sí",COUNTIFS(DATOS!G:G,CONFIG_METADATA!$B$4,DATOS!D:D,A78,DATOS!I:I,B78,DATOS!K:K,10),"")</f>
        <v>0</v>
      </c>
      <c r="V78" t="str">
        <f>IFERROR(IF(ISERROR(FIND(A78,VLOOKUP(B78,CONFIG_ASIGNATURAS!B:C,2,FALSE()))),"No","Sí"),"No")</f>
        <v>Sí</v>
      </c>
    </row>
    <row r="79" spans="1:22">
      <c r="A79" s="3" t="inlineStr">
        <is>
          <t xml:space="preserve">1EEM</t>
        </is>
      </c>
      <c r="B79" s="3" cm="1">
        <f t="array" ref="B79">IFERROR(INDEX(_xlfn._xlws.FILTER(CONFIG_ASIGNATURAS!$B$2:$B$61,(CONFIG_ASIGNATURAS!$G$2:$G$61="Sí")*ISNUMBER(SEARCH("1EEM",CONFIG_ASIGNATURAS!$C$2:$C$61))),12),"")</f>
      </c>
      <c r="C79" s="3">
        <f>IF(B79="","",IFERROR(IF(VLOOKUP(B79,CONFIG_ASIGNATURAS!$B$2:$F$61,5,FALSE())="Sí","Especialidad","Asignatura"),"Asignatura"))</f>
      </c>
      <c r="D79">
        <f>IF(V79="Sí",COUNTIFS(DATOS!G:G,CONFIG_METADATA!$B$4,DATOS!D:D,A79,DATOS!I:I,B79),"")</f>
        <v>0</v>
      </c>
      <c r="E79" s="14" t="str">
        <f>IF(V79="Sí",IFERROR(AVERAGEIFS(DATOS!K:K,DATOS!G:G,CONFIG_METADATA!$B$4,DATOS!D:D,A79,DATOS!I:I,B79),"—"),"")</f>
        <v>—</v>
      </c>
      <c r="F79" s="14" t="str" cm="1">
        <f t="array" ref="F79">IF(V79="Sí",IFERROR(_xlfn.STDEV.P(IF((DATOS!$G$2:$G$20000=CONFIG_METADATA!$B$4)*(DATOS!$D$2:$D$20000=A79)*(DATOS!$I$2:$I$20000=B79),DATOS!$K$2:$K$20000)),"—"),"")</f>
        <v>—</v>
      </c>
      <c r="G79" t="str" cm="1">
        <f t="array" ref="G79">IF(V79="Sí",IFERROR(_xlfn.MODE.SNGL(IF((DATOS!$G$2:$G$20000=CONFIG_METADATA!$B$4)*(DATOS!$D$2:$D$20000=A79)*(DATOS!$I$2:$I$20000=B79),DATOS!$K$2:$K$20000)),"—"),"")</f>
        <v>—</v>
      </c>
      <c r="H79" s="15" t="str">
        <f>IF(V79="Sí",IFERROR(COUNTIFS(DATOS!G:G,CONFIG_METADATA!$B$4,DATOS!D:D,A79,DATOS!I:I,B79,DATOS!L:L,"S")/COUNTIFS(DATOS!G:G,CONFIG_METADATA!$B$4,DATOS!D:D,A79,DATOS!I:I,B79),"—"),"")</f>
        <v>—</v>
      </c>
      <c r="I79" s="15" t="str">
        <f>IF(V79="Sí",IFERROR(COUNTIFS(DATOS!G:G,CONFIG_METADATA!$B$4,DATOS!D:D,A79,DATOS!I:I,B79,DATOS!L:L,"N")/COUNTIFS(DATOS!G:G,CONFIG_METADATA!$B$4,DATOS!D:D,A79,DATOS!I:I,B79),"—"),"")</f>
        <v>—</v>
      </c>
      <c r="J79" t="str" cm="1">
        <f t="array" ref="J79">IF(V79="Sí",IFERROR(_xlfn.MODE.SNGL(IF((DATOS!$G$2:$G$20000=CONFIG_METADATA!$B$4)*(DATOS!$D$2:$D$20000=A79)*(DATOS!$I$2:$I$20000=B79)*(DATOS!$L$2:$L$20000="S"),DATOS!$K$2:$K$20000)),"—"),"")</f>
        <v>—</v>
      </c>
      <c r="K79" t="str" cm="1">
        <f t="array" ref="K79">IF(V79="Sí",IFERROR(_xlfn.MODE.SNGL(IF((DATOS!$G$2:$G$20000=CONFIG_METADATA!$B$4)*(DATOS!$D$2:$D$20000=A79)*(DATOS!$I$2:$I$20000=B79)*(DATOS!$L$2:$L$20000="N"),DATOS!$K$2:$K$20000)),"—"),"")</f>
        <v>—</v>
      </c>
      <c r="L79">
        <f>IF(V79="Sí",COUNTIFS(DATOS!G:G,CONFIG_METADATA!$B$4,DATOS!D:D,A79,DATOS!I:I,B79,DATOS!K:K,1),"")</f>
        <v>0</v>
      </c>
      <c r="M79">
        <f>IF(V79="Sí",COUNTIFS(DATOS!G:G,CONFIG_METADATA!$B$4,DATOS!D:D,A79,DATOS!I:I,B79,DATOS!K:K,2),"")</f>
        <v>0</v>
      </c>
      <c r="N79">
        <f>IF(V79="Sí",COUNTIFS(DATOS!G:G,CONFIG_METADATA!$B$4,DATOS!D:D,A79,DATOS!I:I,B79,DATOS!K:K,3),"")</f>
        <v>0</v>
      </c>
      <c r="O79">
        <f>IF(V79="Sí",COUNTIFS(DATOS!G:G,CONFIG_METADATA!$B$4,DATOS!D:D,A79,DATOS!I:I,B79,DATOS!K:K,4),"")</f>
        <v>0</v>
      </c>
      <c r="P79">
        <f>IF(V79="Sí",COUNTIFS(DATOS!G:G,CONFIG_METADATA!$B$4,DATOS!D:D,A79,DATOS!I:I,B79,DATOS!K:K,5),"")</f>
        <v>0</v>
      </c>
      <c r="Q79">
        <f>IF(V79="Sí",COUNTIFS(DATOS!G:G,CONFIG_METADATA!$B$4,DATOS!D:D,A79,DATOS!I:I,B79,DATOS!K:K,6),"")</f>
        <v>0</v>
      </c>
      <c r="R79">
        <f>IF(V79="Sí",COUNTIFS(DATOS!G:G,CONFIG_METADATA!$B$4,DATOS!D:D,A79,DATOS!I:I,B79,DATOS!K:K,7),"")</f>
        <v>0</v>
      </c>
      <c r="S79">
        <f>IF(V79="Sí",COUNTIFS(DATOS!G:G,CONFIG_METADATA!$B$4,DATOS!D:D,A79,DATOS!I:I,B79,DATOS!K:K,8),"")</f>
        <v>0</v>
      </c>
      <c r="T79">
        <f>IF(V79="Sí",COUNTIFS(DATOS!G:G,CONFIG_METADATA!$B$4,DATOS!D:D,A79,DATOS!I:I,B79,DATOS!K:K,9),"")</f>
        <v>0</v>
      </c>
      <c r="U79">
        <f>IF(V79="Sí",COUNTIFS(DATOS!G:G,CONFIG_METADATA!$B$4,DATOS!D:D,A79,DATOS!I:I,B79,DATOS!K:K,10),"")</f>
        <v>0</v>
      </c>
      <c r="V79" t="str">
        <f>IFERROR(IF(ISERROR(FIND(A79,VLOOKUP(B79,CONFIG_ASIGNATURAS!B:C,2,FALSE()))),"No","Sí"),"No")</f>
        <v>Sí</v>
      </c>
    </row>
    <row r="80" spans="1:22">
      <c r="A80" s="3" t="inlineStr">
        <is>
          <t xml:space="preserve">1EEM</t>
        </is>
      </c>
      <c r="B80" s="3" cm="1">
        <f t="array" ref="B80">IFERROR(INDEX(_xlfn._xlws.FILTER(CONFIG_ASIGNATURAS!$B$2:$B$61,(CONFIG_ASIGNATURAS!$G$2:$G$61="Sí")*ISNUMBER(SEARCH("1EEM",CONFIG_ASIGNATURAS!$C$2:$C$61))),13),"")</f>
      </c>
      <c r="C80" s="3">
        <f>IF(B80="","",IFERROR(IF(VLOOKUP(B80,CONFIG_ASIGNATURAS!$B$2:$F$61,5,FALSE())="Sí","Especialidad","Asignatura"),"Asignatura"))</f>
      </c>
      <c r="D80">
        <f>IF(V80="Sí",COUNTIFS(DATOS!G:G,CONFIG_METADATA!$B$4,DATOS!D:D,A80,DATOS!I:I,B80),"")</f>
        <v>0</v>
      </c>
      <c r="E80" s="14" t="str">
        <f>IF(V80="Sí",IFERROR(AVERAGEIFS(DATOS!K:K,DATOS!G:G,CONFIG_METADATA!$B$4,DATOS!D:D,A80,DATOS!I:I,B80),"—"),"")</f>
        <v>—</v>
      </c>
      <c r="F80" s="14" t="str" cm="1">
        <f t="array" ref="F80">IF(V80="Sí",IFERROR(_xlfn.STDEV.P(IF((DATOS!$G$2:$G$20000=CONFIG_METADATA!$B$4)*(DATOS!$D$2:$D$20000=A80)*(DATOS!$I$2:$I$20000=B80),DATOS!$K$2:$K$20000)),"—"),"")</f>
        <v>—</v>
      </c>
      <c r="G80" t="str" cm="1">
        <f t="array" ref="G80">IF(V80="Sí",IFERROR(_xlfn.MODE.SNGL(IF((DATOS!$G$2:$G$20000=CONFIG_METADATA!$B$4)*(DATOS!$D$2:$D$20000=A80)*(DATOS!$I$2:$I$20000=B80),DATOS!$K$2:$K$20000)),"—"),"")</f>
        <v>—</v>
      </c>
      <c r="H80" s="15" t="str">
        <f>IF(V80="Sí",IFERROR(COUNTIFS(DATOS!G:G,CONFIG_METADATA!$B$4,DATOS!D:D,A80,DATOS!I:I,B80,DATOS!L:L,"S")/COUNTIFS(DATOS!G:G,CONFIG_METADATA!$B$4,DATOS!D:D,A80,DATOS!I:I,B80),"—"),"")</f>
        <v>—</v>
      </c>
      <c r="I80" s="15" t="str">
        <f>IF(V80="Sí",IFERROR(COUNTIFS(DATOS!G:G,CONFIG_METADATA!$B$4,DATOS!D:D,A80,DATOS!I:I,B80,DATOS!L:L,"N")/COUNTIFS(DATOS!G:G,CONFIG_METADATA!$B$4,DATOS!D:D,A80,DATOS!I:I,B80),"—"),"")</f>
        <v>—</v>
      </c>
      <c r="J80" t="str" cm="1">
        <f t="array" ref="J80">IF(V80="Sí",IFERROR(_xlfn.MODE.SNGL(IF((DATOS!$G$2:$G$20000=CONFIG_METADATA!$B$4)*(DATOS!$D$2:$D$20000=A80)*(DATOS!$I$2:$I$20000=B80)*(DATOS!$L$2:$L$20000="S"),DATOS!$K$2:$K$20000)),"—"),"")</f>
        <v>—</v>
      </c>
      <c r="K80" t="str" cm="1">
        <f t="array" ref="K80">IF(V80="Sí",IFERROR(_xlfn.MODE.SNGL(IF((DATOS!$G$2:$G$20000=CONFIG_METADATA!$B$4)*(DATOS!$D$2:$D$20000=A80)*(DATOS!$I$2:$I$20000=B80)*(DATOS!$L$2:$L$20000="N"),DATOS!$K$2:$K$20000)),"—"),"")</f>
        <v>—</v>
      </c>
      <c r="L80">
        <f>IF(V80="Sí",COUNTIFS(DATOS!G:G,CONFIG_METADATA!$B$4,DATOS!D:D,A80,DATOS!I:I,B80,DATOS!K:K,1),"")</f>
        <v>0</v>
      </c>
      <c r="M80">
        <f>IF(V80="Sí",COUNTIFS(DATOS!G:G,CONFIG_METADATA!$B$4,DATOS!D:D,A80,DATOS!I:I,B80,DATOS!K:K,2),"")</f>
        <v>0</v>
      </c>
      <c r="N80">
        <f>IF(V80="Sí",COUNTIFS(DATOS!G:G,CONFIG_METADATA!$B$4,DATOS!D:D,A80,DATOS!I:I,B80,DATOS!K:K,3),"")</f>
        <v>0</v>
      </c>
      <c r="O80">
        <f>IF(V80="Sí",COUNTIFS(DATOS!G:G,CONFIG_METADATA!$B$4,DATOS!D:D,A80,DATOS!I:I,B80,DATOS!K:K,4),"")</f>
        <v>0</v>
      </c>
      <c r="P80">
        <f>IF(V80="Sí",COUNTIFS(DATOS!G:G,CONFIG_METADATA!$B$4,DATOS!D:D,A80,DATOS!I:I,B80,DATOS!K:K,5),"")</f>
        <v>0</v>
      </c>
      <c r="Q80">
        <f>IF(V80="Sí",COUNTIFS(DATOS!G:G,CONFIG_METADATA!$B$4,DATOS!D:D,A80,DATOS!I:I,B80,DATOS!K:K,6),"")</f>
        <v>0</v>
      </c>
      <c r="R80">
        <f>IF(V80="Sí",COUNTIFS(DATOS!G:G,CONFIG_METADATA!$B$4,DATOS!D:D,A80,DATOS!I:I,B80,DATOS!K:K,7),"")</f>
        <v>0</v>
      </c>
      <c r="S80">
        <f>IF(V80="Sí",COUNTIFS(DATOS!G:G,CONFIG_METADATA!$B$4,DATOS!D:D,A80,DATOS!I:I,B80,DATOS!K:K,8),"")</f>
        <v>0</v>
      </c>
      <c r="T80">
        <f>IF(V80="Sí",COUNTIFS(DATOS!G:G,CONFIG_METADATA!$B$4,DATOS!D:D,A80,DATOS!I:I,B80,DATOS!K:K,9),"")</f>
        <v>0</v>
      </c>
      <c r="U80">
        <f>IF(V80="Sí",COUNTIFS(DATOS!G:G,CONFIG_METADATA!$B$4,DATOS!D:D,A80,DATOS!I:I,B80,DATOS!K:K,10),"")</f>
        <v>0</v>
      </c>
      <c r="V80" t="str">
        <f>IFERROR(IF(ISERROR(FIND(A80,VLOOKUP(B80,CONFIG_ASIGNATURAS!B:C,2,FALSE()))),"No","Sí"),"No")</f>
        <v>Sí</v>
      </c>
    </row>
    <row r="81" spans="1:22">
      <c r="A81" s="3" t="inlineStr">
        <is>
          <t xml:space="preserve">1EEM</t>
        </is>
      </c>
      <c r="B81" s="3" cm="1">
        <f t="array" ref="B81">IFERROR(INDEX(_xlfn._xlws.FILTER(CONFIG_ASIGNATURAS!$B$2:$B$61,(CONFIG_ASIGNATURAS!$G$2:$G$61="Sí")*ISNUMBER(SEARCH("1EEM",CONFIG_ASIGNATURAS!$C$2:$C$61))),14),"")</f>
      </c>
      <c r="C81" s="3">
        <f>IF(B81="","",IFERROR(IF(VLOOKUP(B81,CONFIG_ASIGNATURAS!$B$2:$F$61,5,FALSE())="Sí","Especialidad","Asignatura"),"Asignatura"))</f>
      </c>
      <c r="D81">
        <f>IF(V81="Sí",COUNTIFS(DATOS!G:G,CONFIG_METADATA!$B$4,DATOS!D:D,A81,DATOS!I:I,B81),"")</f>
        <v>0</v>
      </c>
      <c r="E81" s="14" t="str">
        <f>IF(V81="Sí",IFERROR(AVERAGEIFS(DATOS!K:K,DATOS!G:G,CONFIG_METADATA!$B$4,DATOS!D:D,A81,DATOS!I:I,B81),"—"),"")</f>
        <v>—</v>
      </c>
      <c r="F81" s="14" t="str" cm="1">
        <f t="array" ref="F81">IF(V81="Sí",IFERROR(_xlfn.STDEV.P(IF((DATOS!$G$2:$G$20000=CONFIG_METADATA!$B$4)*(DATOS!$D$2:$D$20000=A81)*(DATOS!$I$2:$I$20000=B81),DATOS!$K$2:$K$20000)),"—"),"")</f>
        <v>—</v>
      </c>
      <c r="G81" t="str" cm="1">
        <f t="array" ref="G81">IF(V81="Sí",IFERROR(_xlfn.MODE.SNGL(IF((DATOS!$G$2:$G$20000=CONFIG_METADATA!$B$4)*(DATOS!$D$2:$D$20000=A81)*(DATOS!$I$2:$I$20000=B81),DATOS!$K$2:$K$20000)),"—"),"")</f>
        <v>—</v>
      </c>
      <c r="H81" s="15" t="str">
        <f>IF(V81="Sí",IFERROR(COUNTIFS(DATOS!G:G,CONFIG_METADATA!$B$4,DATOS!D:D,A81,DATOS!I:I,B81,DATOS!L:L,"S")/COUNTIFS(DATOS!G:G,CONFIG_METADATA!$B$4,DATOS!D:D,A81,DATOS!I:I,B81),"—"),"")</f>
        <v>—</v>
      </c>
      <c r="I81" s="15" t="str">
        <f>IF(V81="Sí",IFERROR(COUNTIFS(DATOS!G:G,CONFIG_METADATA!$B$4,DATOS!D:D,A81,DATOS!I:I,B81,DATOS!L:L,"N")/COUNTIFS(DATOS!G:G,CONFIG_METADATA!$B$4,DATOS!D:D,A81,DATOS!I:I,B81),"—"),"")</f>
        <v>—</v>
      </c>
      <c r="J81" t="str" cm="1">
        <f t="array" ref="J81">IF(V81="Sí",IFERROR(_xlfn.MODE.SNGL(IF((DATOS!$G$2:$G$20000=CONFIG_METADATA!$B$4)*(DATOS!$D$2:$D$20000=A81)*(DATOS!$I$2:$I$20000=B81)*(DATOS!$L$2:$L$20000="S"),DATOS!$K$2:$K$20000)),"—"),"")</f>
        <v>—</v>
      </c>
      <c r="K81" t="str" cm="1">
        <f t="array" ref="K81">IF(V81="Sí",IFERROR(_xlfn.MODE.SNGL(IF((DATOS!$G$2:$G$20000=CONFIG_METADATA!$B$4)*(DATOS!$D$2:$D$20000=A81)*(DATOS!$I$2:$I$20000=B81)*(DATOS!$L$2:$L$20000="N"),DATOS!$K$2:$K$20000)),"—"),"")</f>
        <v>—</v>
      </c>
      <c r="L81">
        <f>IF(V81="Sí",COUNTIFS(DATOS!G:G,CONFIG_METADATA!$B$4,DATOS!D:D,A81,DATOS!I:I,B81,DATOS!K:K,1),"")</f>
        <v>0</v>
      </c>
      <c r="M81">
        <f>IF(V81="Sí",COUNTIFS(DATOS!G:G,CONFIG_METADATA!$B$4,DATOS!D:D,A81,DATOS!I:I,B81,DATOS!K:K,2),"")</f>
        <v>0</v>
      </c>
      <c r="N81">
        <f>IF(V81="Sí",COUNTIFS(DATOS!G:G,CONFIG_METADATA!$B$4,DATOS!D:D,A81,DATOS!I:I,B81,DATOS!K:K,3),"")</f>
        <v>0</v>
      </c>
      <c r="O81">
        <f>IF(V81="Sí",COUNTIFS(DATOS!G:G,CONFIG_METADATA!$B$4,DATOS!D:D,A81,DATOS!I:I,B81,DATOS!K:K,4),"")</f>
        <v>0</v>
      </c>
      <c r="P81">
        <f>IF(V81="Sí",COUNTIFS(DATOS!G:G,CONFIG_METADATA!$B$4,DATOS!D:D,A81,DATOS!I:I,B81,DATOS!K:K,5),"")</f>
        <v>0</v>
      </c>
      <c r="Q81">
        <f>IF(V81="Sí",COUNTIFS(DATOS!G:G,CONFIG_METADATA!$B$4,DATOS!D:D,A81,DATOS!I:I,B81,DATOS!K:K,6),"")</f>
        <v>0</v>
      </c>
      <c r="R81">
        <f>IF(V81="Sí",COUNTIFS(DATOS!G:G,CONFIG_METADATA!$B$4,DATOS!D:D,A81,DATOS!I:I,B81,DATOS!K:K,7),"")</f>
        <v>0</v>
      </c>
      <c r="S81">
        <f>IF(V81="Sí",COUNTIFS(DATOS!G:G,CONFIG_METADATA!$B$4,DATOS!D:D,A81,DATOS!I:I,B81,DATOS!K:K,8),"")</f>
        <v>0</v>
      </c>
      <c r="T81">
        <f>IF(V81="Sí",COUNTIFS(DATOS!G:G,CONFIG_METADATA!$B$4,DATOS!D:D,A81,DATOS!I:I,B81,DATOS!K:K,9),"")</f>
        <v>0</v>
      </c>
      <c r="U81">
        <f>IF(V81="Sí",COUNTIFS(DATOS!G:G,CONFIG_METADATA!$B$4,DATOS!D:D,A81,DATOS!I:I,B81,DATOS!K:K,10),"")</f>
        <v>0</v>
      </c>
      <c r="V81" t="str">
        <f>IFERROR(IF(ISERROR(FIND(A81,VLOOKUP(B81,CONFIG_ASIGNATURAS!B:C,2,FALSE()))),"No","Sí"),"No")</f>
        <v>Sí</v>
      </c>
    </row>
    <row r="82" spans="1:22">
      <c r="A82" s="3" t="inlineStr">
        <is>
          <t xml:space="preserve">1EEM</t>
        </is>
      </c>
      <c r="B82" s="3" cm="1">
        <f t="array" ref="B82">IFERROR(INDEX(_xlfn._xlws.FILTER(CONFIG_ASIGNATURAS!$B$2:$B$61,(CONFIG_ASIGNATURAS!$G$2:$G$61="Sí")*ISNUMBER(SEARCH("1EEM",CONFIG_ASIGNATURAS!$C$2:$C$61))),15),"")</f>
      </c>
      <c r="C82" s="3">
        <f>IF(B82="","",IFERROR(IF(VLOOKUP(B82,CONFIG_ASIGNATURAS!$B$2:$F$61,5,FALSE())="Sí","Especialidad","Asignatura"),"Asignatura"))</f>
      </c>
      <c r="D82">
        <f>IF(V82="Sí",COUNTIFS(DATOS!G:G,CONFIG_METADATA!$B$4,DATOS!D:D,A82,DATOS!I:I,B82),"")</f>
        <v>0</v>
      </c>
      <c r="E82" s="14" t="str">
        <f>IF(V82="Sí",IFERROR(AVERAGEIFS(DATOS!K:K,DATOS!G:G,CONFIG_METADATA!$B$4,DATOS!D:D,A82,DATOS!I:I,B82),"—"),"")</f>
        <v>—</v>
      </c>
      <c r="F82" s="14" t="str" cm="1">
        <f t="array" ref="F82">IF(V82="Sí",IFERROR(_xlfn.STDEV.P(IF((DATOS!$G$2:$G$20000=CONFIG_METADATA!$B$4)*(DATOS!$D$2:$D$20000=A82)*(DATOS!$I$2:$I$20000=B82),DATOS!$K$2:$K$20000)),"—"),"")</f>
        <v>—</v>
      </c>
      <c r="G82" t="str" cm="1">
        <f t="array" ref="G82">IF(V82="Sí",IFERROR(_xlfn.MODE.SNGL(IF((DATOS!$G$2:$G$20000=CONFIG_METADATA!$B$4)*(DATOS!$D$2:$D$20000=A82)*(DATOS!$I$2:$I$20000=B82),DATOS!$K$2:$K$20000)),"—"),"")</f>
        <v>—</v>
      </c>
      <c r="H82" s="15" t="str">
        <f>IF(V82="Sí",IFERROR(COUNTIFS(DATOS!G:G,CONFIG_METADATA!$B$4,DATOS!D:D,A82,DATOS!I:I,B82,DATOS!L:L,"S")/COUNTIFS(DATOS!G:G,CONFIG_METADATA!$B$4,DATOS!D:D,A82,DATOS!I:I,B82),"—"),"")</f>
        <v>—</v>
      </c>
      <c r="I82" s="15" t="str">
        <f>IF(V82="Sí",IFERROR(COUNTIFS(DATOS!G:G,CONFIG_METADATA!$B$4,DATOS!D:D,A82,DATOS!I:I,B82,DATOS!L:L,"N")/COUNTIFS(DATOS!G:G,CONFIG_METADATA!$B$4,DATOS!D:D,A82,DATOS!I:I,B82),"—"),"")</f>
        <v>—</v>
      </c>
      <c r="J82" t="str" cm="1">
        <f t="array" ref="J82">IF(V82="Sí",IFERROR(_xlfn.MODE.SNGL(IF((DATOS!$G$2:$G$20000=CONFIG_METADATA!$B$4)*(DATOS!$D$2:$D$20000=A82)*(DATOS!$I$2:$I$20000=B82)*(DATOS!$L$2:$L$20000="S"),DATOS!$K$2:$K$20000)),"—"),"")</f>
        <v>—</v>
      </c>
      <c r="K82" t="str" cm="1">
        <f t="array" ref="K82">IF(V82="Sí",IFERROR(_xlfn.MODE.SNGL(IF((DATOS!$G$2:$G$20000=CONFIG_METADATA!$B$4)*(DATOS!$D$2:$D$20000=A82)*(DATOS!$I$2:$I$20000=B82)*(DATOS!$L$2:$L$20000="N"),DATOS!$K$2:$K$20000)),"—"),"")</f>
        <v>—</v>
      </c>
      <c r="L82">
        <f>IF(V82="Sí",COUNTIFS(DATOS!G:G,CONFIG_METADATA!$B$4,DATOS!D:D,A82,DATOS!I:I,B82,DATOS!K:K,1),"")</f>
        <v>0</v>
      </c>
      <c r="M82">
        <f>IF(V82="Sí",COUNTIFS(DATOS!G:G,CONFIG_METADATA!$B$4,DATOS!D:D,A82,DATOS!I:I,B82,DATOS!K:K,2),"")</f>
        <v>0</v>
      </c>
      <c r="N82">
        <f>IF(V82="Sí",COUNTIFS(DATOS!G:G,CONFIG_METADATA!$B$4,DATOS!D:D,A82,DATOS!I:I,B82,DATOS!K:K,3),"")</f>
        <v>0</v>
      </c>
      <c r="O82">
        <f>IF(V82="Sí",COUNTIFS(DATOS!G:G,CONFIG_METADATA!$B$4,DATOS!D:D,A82,DATOS!I:I,B82,DATOS!K:K,4),"")</f>
        <v>0</v>
      </c>
      <c r="P82">
        <f>IF(V82="Sí",COUNTIFS(DATOS!G:G,CONFIG_METADATA!$B$4,DATOS!D:D,A82,DATOS!I:I,B82,DATOS!K:K,5),"")</f>
        <v>0</v>
      </c>
      <c r="Q82">
        <f>IF(V82="Sí",COUNTIFS(DATOS!G:G,CONFIG_METADATA!$B$4,DATOS!D:D,A82,DATOS!I:I,B82,DATOS!K:K,6),"")</f>
        <v>0</v>
      </c>
      <c r="R82">
        <f>IF(V82="Sí",COUNTIFS(DATOS!G:G,CONFIG_METADATA!$B$4,DATOS!D:D,A82,DATOS!I:I,B82,DATOS!K:K,7),"")</f>
        <v>0</v>
      </c>
      <c r="S82">
        <f>IF(V82="Sí",COUNTIFS(DATOS!G:G,CONFIG_METADATA!$B$4,DATOS!D:D,A82,DATOS!I:I,B82,DATOS!K:K,8),"")</f>
        <v>0</v>
      </c>
      <c r="T82">
        <f>IF(V82="Sí",COUNTIFS(DATOS!G:G,CONFIG_METADATA!$B$4,DATOS!D:D,A82,DATOS!I:I,B82,DATOS!K:K,9),"")</f>
        <v>0</v>
      </c>
      <c r="U82">
        <f>IF(V82="Sí",COUNTIFS(DATOS!G:G,CONFIG_METADATA!$B$4,DATOS!D:D,A82,DATOS!I:I,B82,DATOS!K:K,10),"")</f>
        <v>0</v>
      </c>
      <c r="V82" t="str">
        <f>IFERROR(IF(ISERROR(FIND(A82,VLOOKUP(B82,CONFIG_ASIGNATURAS!B:C,2,FALSE()))),"No","Sí"),"No")</f>
        <v>Sí</v>
      </c>
    </row>
    <row r="83" spans="1:22">
      <c r="A83" s="3" t="inlineStr">
        <is>
          <t xml:space="preserve">1EEM</t>
        </is>
      </c>
      <c r="B83" s="3" cm="1">
        <f t="array" ref="B83">IFERROR(INDEX(_xlfn._xlws.FILTER(CONFIG_ASIGNATURAS!$B$2:$B$61,(CONFIG_ASIGNATURAS!$G$2:$G$61="Sí")*ISNUMBER(SEARCH("1EEM",CONFIG_ASIGNATURAS!$C$2:$C$61))),16),"")</f>
      </c>
      <c r="C83" s="3">
        <f>IF(B83="","",IFERROR(IF(VLOOKUP(B83,CONFIG_ASIGNATURAS!$B$2:$F$61,5,FALSE())="Sí","Especialidad","Asignatura"),"Asignatura"))</f>
      </c>
      <c r="D83">
        <f>IF(V83="Sí",COUNTIFS(DATOS!G:G,CONFIG_METADATA!$B$4,DATOS!D:D,A83,DATOS!I:I,B83),"")</f>
        <v>0</v>
      </c>
      <c r="E83" s="14" t="str">
        <f>IF(V83="Sí",IFERROR(AVERAGEIFS(DATOS!K:K,DATOS!G:G,CONFIG_METADATA!$B$4,DATOS!D:D,A83,DATOS!I:I,B83),"—"),"")</f>
        <v>—</v>
      </c>
      <c r="F83" s="14" t="str" cm="1">
        <f t="array" ref="F83">IF(V83="Sí",IFERROR(_xlfn.STDEV.P(IF((DATOS!$G$2:$G$20000=CONFIG_METADATA!$B$4)*(DATOS!$D$2:$D$20000=A83)*(DATOS!$I$2:$I$20000=B83),DATOS!$K$2:$K$20000)),"—"),"")</f>
        <v>—</v>
      </c>
      <c r="G83" t="str" cm="1">
        <f t="array" ref="G83">IF(V83="Sí",IFERROR(_xlfn.MODE.SNGL(IF((DATOS!$G$2:$G$20000=CONFIG_METADATA!$B$4)*(DATOS!$D$2:$D$20000=A83)*(DATOS!$I$2:$I$20000=B83),DATOS!$K$2:$K$20000)),"—"),"")</f>
        <v>—</v>
      </c>
      <c r="H83" s="15" t="str">
        <f>IF(V83="Sí",IFERROR(COUNTIFS(DATOS!G:G,CONFIG_METADATA!$B$4,DATOS!D:D,A83,DATOS!I:I,B83,DATOS!L:L,"S")/COUNTIFS(DATOS!G:G,CONFIG_METADATA!$B$4,DATOS!D:D,A83,DATOS!I:I,B83),"—"),"")</f>
        <v>—</v>
      </c>
      <c r="I83" s="15" t="str">
        <f>IF(V83="Sí",IFERROR(COUNTIFS(DATOS!G:G,CONFIG_METADATA!$B$4,DATOS!D:D,A83,DATOS!I:I,B83,DATOS!L:L,"N")/COUNTIFS(DATOS!G:G,CONFIG_METADATA!$B$4,DATOS!D:D,A83,DATOS!I:I,B83),"—"),"")</f>
        <v>—</v>
      </c>
      <c r="J83" t="str" cm="1">
        <f t="array" ref="J83">IF(V83="Sí",IFERROR(_xlfn.MODE.SNGL(IF((DATOS!$G$2:$G$20000=CONFIG_METADATA!$B$4)*(DATOS!$D$2:$D$20000=A83)*(DATOS!$I$2:$I$20000=B83)*(DATOS!$L$2:$L$20000="S"),DATOS!$K$2:$K$20000)),"—"),"")</f>
        <v>—</v>
      </c>
      <c r="K83" t="str" cm="1">
        <f t="array" ref="K83">IF(V83="Sí",IFERROR(_xlfn.MODE.SNGL(IF((DATOS!$G$2:$G$20000=CONFIG_METADATA!$B$4)*(DATOS!$D$2:$D$20000=A83)*(DATOS!$I$2:$I$20000=B83)*(DATOS!$L$2:$L$20000="N"),DATOS!$K$2:$K$20000)),"—"),"")</f>
        <v>—</v>
      </c>
      <c r="L83">
        <f>IF(V83="Sí",COUNTIFS(DATOS!G:G,CONFIG_METADATA!$B$4,DATOS!D:D,A83,DATOS!I:I,B83,DATOS!K:K,1),"")</f>
        <v>0</v>
      </c>
      <c r="M83">
        <f>IF(V83="Sí",COUNTIFS(DATOS!G:G,CONFIG_METADATA!$B$4,DATOS!D:D,A83,DATOS!I:I,B83,DATOS!K:K,2),"")</f>
        <v>0</v>
      </c>
      <c r="N83">
        <f>IF(V83="Sí",COUNTIFS(DATOS!G:G,CONFIG_METADATA!$B$4,DATOS!D:D,A83,DATOS!I:I,B83,DATOS!K:K,3),"")</f>
        <v>0</v>
      </c>
      <c r="O83">
        <f>IF(V83="Sí",COUNTIFS(DATOS!G:G,CONFIG_METADATA!$B$4,DATOS!D:D,A83,DATOS!I:I,B83,DATOS!K:K,4),"")</f>
        <v>0</v>
      </c>
      <c r="P83">
        <f>IF(V83="Sí",COUNTIFS(DATOS!G:G,CONFIG_METADATA!$B$4,DATOS!D:D,A83,DATOS!I:I,B83,DATOS!K:K,5),"")</f>
        <v>0</v>
      </c>
      <c r="Q83">
        <f>IF(V83="Sí",COUNTIFS(DATOS!G:G,CONFIG_METADATA!$B$4,DATOS!D:D,A83,DATOS!I:I,B83,DATOS!K:K,6),"")</f>
        <v>0</v>
      </c>
      <c r="R83">
        <f>IF(V83="Sí",COUNTIFS(DATOS!G:G,CONFIG_METADATA!$B$4,DATOS!D:D,A83,DATOS!I:I,B83,DATOS!K:K,7),"")</f>
        <v>0</v>
      </c>
      <c r="S83">
        <f>IF(V83="Sí",COUNTIFS(DATOS!G:G,CONFIG_METADATA!$B$4,DATOS!D:D,A83,DATOS!I:I,B83,DATOS!K:K,8),"")</f>
        <v>0</v>
      </c>
      <c r="T83">
        <f>IF(V83="Sí",COUNTIFS(DATOS!G:G,CONFIG_METADATA!$B$4,DATOS!D:D,A83,DATOS!I:I,B83,DATOS!K:K,9),"")</f>
        <v>0</v>
      </c>
      <c r="U83">
        <f>IF(V83="Sí",COUNTIFS(DATOS!G:G,CONFIG_METADATA!$B$4,DATOS!D:D,A83,DATOS!I:I,B83,DATOS!K:K,10),"")</f>
        <v>0</v>
      </c>
      <c r="V83" t="str">
        <f>IFERROR(IF(ISERROR(FIND(A83,VLOOKUP(B83,CONFIG_ASIGNATURAS!B:C,2,FALSE()))),"No","Sí"),"No")</f>
        <v>Sí</v>
      </c>
    </row>
    <row r="84" spans="1:22">
      <c r="A84" s="3" t="inlineStr">
        <is>
          <t xml:space="preserve">1EEM</t>
        </is>
      </c>
      <c r="B84" s="3" cm="1">
        <f t="array" ref="B84">IFERROR(INDEX(_xlfn._xlws.FILTER(CONFIG_ASIGNATURAS!$B$2:$B$61,(CONFIG_ASIGNATURAS!$G$2:$G$61="Sí")*ISNUMBER(SEARCH("1EEM",CONFIG_ASIGNATURAS!$C$2:$C$61))),17),"")</f>
      </c>
      <c r="C84" s="3">
        <f>IF(B84="","",IFERROR(IF(VLOOKUP(B84,CONFIG_ASIGNATURAS!$B$2:$F$61,5,FALSE())="Sí","Especialidad","Asignatura"),"Asignatura"))</f>
      </c>
      <c r="D84">
        <f>IF(V84="Sí",COUNTIFS(DATOS!G:G,CONFIG_METADATA!$B$4,DATOS!D:D,A84,DATOS!I:I,B84),"")</f>
        <v>0</v>
      </c>
      <c r="E84" s="14" t="str">
        <f>IF(V84="Sí",IFERROR(AVERAGEIFS(DATOS!K:K,DATOS!G:G,CONFIG_METADATA!$B$4,DATOS!D:D,A84,DATOS!I:I,B84),"—"),"")</f>
        <v>—</v>
      </c>
      <c r="F84" s="14" t="str" cm="1">
        <f t="array" ref="F84">IF(V84="Sí",IFERROR(_xlfn.STDEV.P(IF((DATOS!$G$2:$G$20000=CONFIG_METADATA!$B$4)*(DATOS!$D$2:$D$20000=A84)*(DATOS!$I$2:$I$20000=B84),DATOS!$K$2:$K$20000)),"—"),"")</f>
        <v>—</v>
      </c>
      <c r="G84" t="str" cm="1">
        <f t="array" ref="G84">IF(V84="Sí",IFERROR(_xlfn.MODE.SNGL(IF((DATOS!$G$2:$G$20000=CONFIG_METADATA!$B$4)*(DATOS!$D$2:$D$20000=A84)*(DATOS!$I$2:$I$20000=B84),DATOS!$K$2:$K$20000)),"—"),"")</f>
        <v>—</v>
      </c>
      <c r="H84" s="15" t="str">
        <f>IF(V84="Sí",IFERROR(COUNTIFS(DATOS!G:G,CONFIG_METADATA!$B$4,DATOS!D:D,A84,DATOS!I:I,B84,DATOS!L:L,"S")/COUNTIFS(DATOS!G:G,CONFIG_METADATA!$B$4,DATOS!D:D,A84,DATOS!I:I,B84),"—"),"")</f>
        <v>—</v>
      </c>
      <c r="I84" s="15" t="str">
        <f>IF(V84="Sí",IFERROR(COUNTIFS(DATOS!G:G,CONFIG_METADATA!$B$4,DATOS!D:D,A84,DATOS!I:I,B84,DATOS!L:L,"N")/COUNTIFS(DATOS!G:G,CONFIG_METADATA!$B$4,DATOS!D:D,A84,DATOS!I:I,B84),"—"),"")</f>
        <v>—</v>
      </c>
      <c r="J84" t="str" cm="1">
        <f t="array" ref="J84">IF(V84="Sí",IFERROR(_xlfn.MODE.SNGL(IF((DATOS!$G$2:$G$20000=CONFIG_METADATA!$B$4)*(DATOS!$D$2:$D$20000=A84)*(DATOS!$I$2:$I$20000=B84)*(DATOS!$L$2:$L$20000="S"),DATOS!$K$2:$K$20000)),"—"),"")</f>
        <v>—</v>
      </c>
      <c r="K84" t="str" cm="1">
        <f t="array" ref="K84">IF(V84="Sí",IFERROR(_xlfn.MODE.SNGL(IF((DATOS!$G$2:$G$20000=CONFIG_METADATA!$B$4)*(DATOS!$D$2:$D$20000=A84)*(DATOS!$I$2:$I$20000=B84)*(DATOS!$L$2:$L$20000="N"),DATOS!$K$2:$K$20000)),"—"),"")</f>
        <v>—</v>
      </c>
      <c r="L84">
        <f>IF(V84="Sí",COUNTIFS(DATOS!G:G,CONFIG_METADATA!$B$4,DATOS!D:D,A84,DATOS!I:I,B84,DATOS!K:K,1),"")</f>
        <v>0</v>
      </c>
      <c r="M84">
        <f>IF(V84="Sí",COUNTIFS(DATOS!G:G,CONFIG_METADATA!$B$4,DATOS!D:D,A84,DATOS!I:I,B84,DATOS!K:K,2),"")</f>
        <v>0</v>
      </c>
      <c r="N84">
        <f>IF(V84="Sí",COUNTIFS(DATOS!G:G,CONFIG_METADATA!$B$4,DATOS!D:D,A84,DATOS!I:I,B84,DATOS!K:K,3),"")</f>
        <v>0</v>
      </c>
      <c r="O84">
        <f>IF(V84="Sí",COUNTIFS(DATOS!G:G,CONFIG_METADATA!$B$4,DATOS!D:D,A84,DATOS!I:I,B84,DATOS!K:K,4),"")</f>
        <v>0</v>
      </c>
      <c r="P84">
        <f>IF(V84="Sí",COUNTIFS(DATOS!G:G,CONFIG_METADATA!$B$4,DATOS!D:D,A84,DATOS!I:I,B84,DATOS!K:K,5),"")</f>
        <v>0</v>
      </c>
      <c r="Q84">
        <f>IF(V84="Sí",COUNTIFS(DATOS!G:G,CONFIG_METADATA!$B$4,DATOS!D:D,A84,DATOS!I:I,B84,DATOS!K:K,6),"")</f>
        <v>0</v>
      </c>
      <c r="R84">
        <f>IF(V84="Sí",COUNTIFS(DATOS!G:G,CONFIG_METADATA!$B$4,DATOS!D:D,A84,DATOS!I:I,B84,DATOS!K:K,7),"")</f>
        <v>0</v>
      </c>
      <c r="S84">
        <f>IF(V84="Sí",COUNTIFS(DATOS!G:G,CONFIG_METADATA!$B$4,DATOS!D:D,A84,DATOS!I:I,B84,DATOS!K:K,8),"")</f>
        <v>0</v>
      </c>
      <c r="T84">
        <f>IF(V84="Sí",COUNTIFS(DATOS!G:G,CONFIG_METADATA!$B$4,DATOS!D:D,A84,DATOS!I:I,B84,DATOS!K:K,9),"")</f>
        <v>0</v>
      </c>
      <c r="U84">
        <f>IF(V84="Sí",COUNTIFS(DATOS!G:G,CONFIG_METADATA!$B$4,DATOS!D:D,A84,DATOS!I:I,B84,DATOS!K:K,10),"")</f>
        <v>0</v>
      </c>
      <c r="V84" t="str">
        <f>IFERROR(IF(ISERROR(FIND(A84,VLOOKUP(B84,CONFIG_ASIGNATURAS!B:C,2,FALSE()))),"No","Sí"),"No")</f>
        <v>Sí</v>
      </c>
    </row>
    <row r="85" spans="1:22">
      <c r="A85" s="3" t="inlineStr">
        <is>
          <t xml:space="preserve">1EEM</t>
        </is>
      </c>
      <c r="B85" s="3" cm="1">
        <f t="array" ref="B85">IFERROR(INDEX(_xlfn._xlws.FILTER(CONFIG_ASIGNATURAS!$B$2:$B$61,(CONFIG_ASIGNATURAS!$G$2:$G$61="Sí")*ISNUMBER(SEARCH("1EEM",CONFIG_ASIGNATURAS!$C$2:$C$61))),18),"")</f>
      </c>
      <c r="C85" s="3">
        <f>IF(B85="","",IFERROR(IF(VLOOKUP(B85,CONFIG_ASIGNATURAS!$B$2:$F$61,5,FALSE())="Sí","Especialidad","Asignatura"),"Asignatura"))</f>
      </c>
      <c r="D85">
        <f>IF(V85="Sí",COUNTIFS(DATOS!G:G,CONFIG_METADATA!$B$4,DATOS!D:D,A85,DATOS!I:I,B85),"")</f>
        <v>0</v>
      </c>
      <c r="E85" s="14" t="str">
        <f>IF(V85="Sí",IFERROR(AVERAGEIFS(DATOS!K:K,DATOS!G:G,CONFIG_METADATA!$B$4,DATOS!D:D,A85,DATOS!I:I,B85),"—"),"")</f>
        <v>—</v>
      </c>
      <c r="F85" s="14" t="str" cm="1">
        <f t="array" ref="F85">IF(V85="Sí",IFERROR(_xlfn.STDEV.P(IF((DATOS!$G$2:$G$20000=CONFIG_METADATA!$B$4)*(DATOS!$D$2:$D$20000=A85)*(DATOS!$I$2:$I$20000=B85),DATOS!$K$2:$K$20000)),"—"),"")</f>
        <v>—</v>
      </c>
      <c r="G85" t="str" cm="1">
        <f t="array" ref="G85">IF(V85="Sí",IFERROR(_xlfn.MODE.SNGL(IF((DATOS!$G$2:$G$20000=CONFIG_METADATA!$B$4)*(DATOS!$D$2:$D$20000=A85)*(DATOS!$I$2:$I$20000=B85),DATOS!$K$2:$K$20000)),"—"),"")</f>
        <v>—</v>
      </c>
      <c r="H85" s="15" t="str">
        <f>IF(V85="Sí",IFERROR(COUNTIFS(DATOS!G:G,CONFIG_METADATA!$B$4,DATOS!D:D,A85,DATOS!I:I,B85,DATOS!L:L,"S")/COUNTIFS(DATOS!G:G,CONFIG_METADATA!$B$4,DATOS!D:D,A85,DATOS!I:I,B85),"—"),"")</f>
        <v>—</v>
      </c>
      <c r="I85" s="15" t="str">
        <f>IF(V85="Sí",IFERROR(COUNTIFS(DATOS!G:G,CONFIG_METADATA!$B$4,DATOS!D:D,A85,DATOS!I:I,B85,DATOS!L:L,"N")/COUNTIFS(DATOS!G:G,CONFIG_METADATA!$B$4,DATOS!D:D,A85,DATOS!I:I,B85),"—"),"")</f>
        <v>—</v>
      </c>
      <c r="J85" t="str" cm="1">
        <f t="array" ref="J85">IF(V85="Sí",IFERROR(_xlfn.MODE.SNGL(IF((DATOS!$G$2:$G$20000=CONFIG_METADATA!$B$4)*(DATOS!$D$2:$D$20000=A85)*(DATOS!$I$2:$I$20000=B85)*(DATOS!$L$2:$L$20000="S"),DATOS!$K$2:$K$20000)),"—"),"")</f>
        <v>—</v>
      </c>
      <c r="K85" t="str" cm="1">
        <f t="array" ref="K85">IF(V85="Sí",IFERROR(_xlfn.MODE.SNGL(IF((DATOS!$G$2:$G$20000=CONFIG_METADATA!$B$4)*(DATOS!$D$2:$D$20000=A85)*(DATOS!$I$2:$I$20000=B85)*(DATOS!$L$2:$L$20000="N"),DATOS!$K$2:$K$20000)),"—"),"")</f>
        <v>—</v>
      </c>
      <c r="L85">
        <f>IF(V85="Sí",COUNTIFS(DATOS!G:G,CONFIG_METADATA!$B$4,DATOS!D:D,A85,DATOS!I:I,B85,DATOS!K:K,1),"")</f>
        <v>0</v>
      </c>
      <c r="M85">
        <f>IF(V85="Sí",COUNTIFS(DATOS!G:G,CONFIG_METADATA!$B$4,DATOS!D:D,A85,DATOS!I:I,B85,DATOS!K:K,2),"")</f>
        <v>0</v>
      </c>
      <c r="N85">
        <f>IF(V85="Sí",COUNTIFS(DATOS!G:G,CONFIG_METADATA!$B$4,DATOS!D:D,A85,DATOS!I:I,B85,DATOS!K:K,3),"")</f>
        <v>0</v>
      </c>
      <c r="O85">
        <f>IF(V85="Sí",COUNTIFS(DATOS!G:G,CONFIG_METADATA!$B$4,DATOS!D:D,A85,DATOS!I:I,B85,DATOS!K:K,4),"")</f>
        <v>0</v>
      </c>
      <c r="P85">
        <f>IF(V85="Sí",COUNTIFS(DATOS!G:G,CONFIG_METADATA!$B$4,DATOS!D:D,A85,DATOS!I:I,B85,DATOS!K:K,5),"")</f>
        <v>0</v>
      </c>
      <c r="Q85">
        <f>IF(V85="Sí",COUNTIFS(DATOS!G:G,CONFIG_METADATA!$B$4,DATOS!D:D,A85,DATOS!I:I,B85,DATOS!K:K,6),"")</f>
        <v>0</v>
      </c>
      <c r="R85">
        <f>IF(V85="Sí",COUNTIFS(DATOS!G:G,CONFIG_METADATA!$B$4,DATOS!D:D,A85,DATOS!I:I,B85,DATOS!K:K,7),"")</f>
        <v>0</v>
      </c>
      <c r="S85">
        <f>IF(V85="Sí",COUNTIFS(DATOS!G:G,CONFIG_METADATA!$B$4,DATOS!D:D,A85,DATOS!I:I,B85,DATOS!K:K,8),"")</f>
        <v>0</v>
      </c>
      <c r="T85">
        <f>IF(V85="Sí",COUNTIFS(DATOS!G:G,CONFIG_METADATA!$B$4,DATOS!D:D,A85,DATOS!I:I,B85,DATOS!K:K,9),"")</f>
        <v>0</v>
      </c>
      <c r="U85">
        <f>IF(V85="Sí",COUNTIFS(DATOS!G:G,CONFIG_METADATA!$B$4,DATOS!D:D,A85,DATOS!I:I,B85,DATOS!K:K,10),"")</f>
        <v>0</v>
      </c>
      <c r="V85" t="str">
        <f>IFERROR(IF(ISERROR(FIND(A85,VLOOKUP(B85,CONFIG_ASIGNATURAS!B:C,2,FALSE()))),"No","Sí"),"No")</f>
        <v>Sí</v>
      </c>
    </row>
    <row r="86" spans="1:22">
      <c r="A86" s="3" t="inlineStr">
        <is>
          <t xml:space="preserve">1EEM</t>
        </is>
      </c>
      <c r="B86" s="3" cm="1">
        <f t="array" ref="B86">IFERROR(INDEX(_xlfn._xlws.FILTER(CONFIG_ASIGNATURAS!$B$2:$B$61,(CONFIG_ASIGNATURAS!$G$2:$G$61="Sí")*ISNUMBER(SEARCH("1EEM",CONFIG_ASIGNATURAS!$C$2:$C$61))),19),"")</f>
      </c>
      <c r="C86" s="3">
        <f>IF(B86="","",IFERROR(IF(VLOOKUP(B86,CONFIG_ASIGNATURAS!$B$2:$F$61,5,FALSE())="Sí","Especialidad","Asignatura"),"Asignatura"))</f>
      </c>
      <c r="D86">
        <f>IF(V86="Sí",COUNTIFS(DATOS!G:G,CONFIG_METADATA!$B$4,DATOS!D:D,A86,DATOS!I:I,B86),"")</f>
        <v>0</v>
      </c>
      <c r="E86" s="14" t="str">
        <f>IF(V86="Sí",IFERROR(AVERAGEIFS(DATOS!K:K,DATOS!G:G,CONFIG_METADATA!$B$4,DATOS!D:D,A86,DATOS!I:I,B86),"—"),"")</f>
        <v>—</v>
      </c>
      <c r="F86" s="14" t="str" cm="1">
        <f t="array" ref="F86">IF(V86="Sí",IFERROR(_xlfn.STDEV.P(IF((DATOS!$G$2:$G$20000=CONFIG_METADATA!$B$4)*(DATOS!$D$2:$D$20000=A86)*(DATOS!$I$2:$I$20000=B86),DATOS!$K$2:$K$20000)),"—"),"")</f>
        <v>—</v>
      </c>
      <c r="G86" t="str" cm="1">
        <f t="array" ref="G86">IF(V86="Sí",IFERROR(_xlfn.MODE.SNGL(IF((DATOS!$G$2:$G$20000=CONFIG_METADATA!$B$4)*(DATOS!$D$2:$D$20000=A86)*(DATOS!$I$2:$I$20000=B86),DATOS!$K$2:$K$20000)),"—"),"")</f>
        <v>—</v>
      </c>
      <c r="H86" s="15" t="str">
        <f>IF(V86="Sí",IFERROR(COUNTIFS(DATOS!G:G,CONFIG_METADATA!$B$4,DATOS!D:D,A86,DATOS!I:I,B86,DATOS!L:L,"S")/COUNTIFS(DATOS!G:G,CONFIG_METADATA!$B$4,DATOS!D:D,A86,DATOS!I:I,B86),"—"),"")</f>
        <v>—</v>
      </c>
      <c r="I86" s="15" t="str">
        <f>IF(V86="Sí",IFERROR(COUNTIFS(DATOS!G:G,CONFIG_METADATA!$B$4,DATOS!D:D,A86,DATOS!I:I,B86,DATOS!L:L,"N")/COUNTIFS(DATOS!G:G,CONFIG_METADATA!$B$4,DATOS!D:D,A86,DATOS!I:I,B86),"—"),"")</f>
        <v>—</v>
      </c>
      <c r="J86" t="str" cm="1">
        <f t="array" ref="J86">IF(V86="Sí",IFERROR(_xlfn.MODE.SNGL(IF((DATOS!$G$2:$G$20000=CONFIG_METADATA!$B$4)*(DATOS!$D$2:$D$20000=A86)*(DATOS!$I$2:$I$20000=B86)*(DATOS!$L$2:$L$20000="S"),DATOS!$K$2:$K$20000)),"—"),"")</f>
        <v>—</v>
      </c>
      <c r="K86" t="str" cm="1">
        <f t="array" ref="K86">IF(V86="Sí",IFERROR(_xlfn.MODE.SNGL(IF((DATOS!$G$2:$G$20000=CONFIG_METADATA!$B$4)*(DATOS!$D$2:$D$20000=A86)*(DATOS!$I$2:$I$20000=B86)*(DATOS!$L$2:$L$20000="N"),DATOS!$K$2:$K$20000)),"—"),"")</f>
        <v>—</v>
      </c>
      <c r="L86">
        <f>IF(V86="Sí",COUNTIFS(DATOS!G:G,CONFIG_METADATA!$B$4,DATOS!D:D,A86,DATOS!I:I,B86,DATOS!K:K,1),"")</f>
        <v>0</v>
      </c>
      <c r="M86">
        <f>IF(V86="Sí",COUNTIFS(DATOS!G:G,CONFIG_METADATA!$B$4,DATOS!D:D,A86,DATOS!I:I,B86,DATOS!K:K,2),"")</f>
        <v>0</v>
      </c>
      <c r="N86">
        <f>IF(V86="Sí",COUNTIFS(DATOS!G:G,CONFIG_METADATA!$B$4,DATOS!D:D,A86,DATOS!I:I,B86,DATOS!K:K,3),"")</f>
        <v>0</v>
      </c>
      <c r="O86">
        <f>IF(V86="Sí",COUNTIFS(DATOS!G:G,CONFIG_METADATA!$B$4,DATOS!D:D,A86,DATOS!I:I,B86,DATOS!K:K,4),"")</f>
        <v>0</v>
      </c>
      <c r="P86">
        <f>IF(V86="Sí",COUNTIFS(DATOS!G:G,CONFIG_METADATA!$B$4,DATOS!D:D,A86,DATOS!I:I,B86,DATOS!K:K,5),"")</f>
        <v>0</v>
      </c>
      <c r="Q86">
        <f>IF(V86="Sí",COUNTIFS(DATOS!G:G,CONFIG_METADATA!$B$4,DATOS!D:D,A86,DATOS!I:I,B86,DATOS!K:K,6),"")</f>
        <v>0</v>
      </c>
      <c r="R86">
        <f>IF(V86="Sí",COUNTIFS(DATOS!G:G,CONFIG_METADATA!$B$4,DATOS!D:D,A86,DATOS!I:I,B86,DATOS!K:K,7),"")</f>
        <v>0</v>
      </c>
      <c r="S86">
        <f>IF(V86="Sí",COUNTIFS(DATOS!G:G,CONFIG_METADATA!$B$4,DATOS!D:D,A86,DATOS!I:I,B86,DATOS!K:K,8),"")</f>
        <v>0</v>
      </c>
      <c r="T86">
        <f>IF(V86="Sí",COUNTIFS(DATOS!G:G,CONFIG_METADATA!$B$4,DATOS!D:D,A86,DATOS!I:I,B86,DATOS!K:K,9),"")</f>
        <v>0</v>
      </c>
      <c r="U86">
        <f>IF(V86="Sí",COUNTIFS(DATOS!G:G,CONFIG_METADATA!$B$4,DATOS!D:D,A86,DATOS!I:I,B86,DATOS!K:K,10),"")</f>
        <v>0</v>
      </c>
      <c r="V86" t="str">
        <f>IFERROR(IF(ISERROR(FIND(A86,VLOOKUP(B86,CONFIG_ASIGNATURAS!B:C,2,FALSE()))),"No","Sí"),"No")</f>
        <v>Sí</v>
      </c>
    </row>
    <row r="87" spans="1:22">
      <c r="A87" s="3" t="inlineStr">
        <is>
          <t xml:space="preserve">1EEM</t>
        </is>
      </c>
      <c r="B87" s="3" cm="1">
        <f t="array" ref="B87">IFERROR(INDEX(_xlfn._xlws.FILTER(CONFIG_ASIGNATURAS!$B$2:$B$61,(CONFIG_ASIGNATURAS!$G$2:$G$61="Sí")*ISNUMBER(SEARCH("1EEM",CONFIG_ASIGNATURAS!$C$2:$C$61))),20),"")</f>
      </c>
      <c r="C87" s="3">
        <f>IF(B87="","",IFERROR(IF(VLOOKUP(B87,CONFIG_ASIGNATURAS!$B$2:$F$61,5,FALSE())="Sí","Especialidad","Asignatura"),"Asignatura"))</f>
      </c>
      <c r="D87">
        <f>IF(V87="Sí",COUNTIFS(DATOS!G:G,CONFIG_METADATA!$B$4,DATOS!D:D,A87,DATOS!I:I,B87),"")</f>
        <v>0</v>
      </c>
      <c r="E87" s="14" t="str">
        <f>IF(V87="Sí",IFERROR(AVERAGEIFS(DATOS!K:K,DATOS!G:G,CONFIG_METADATA!$B$4,DATOS!D:D,A87,DATOS!I:I,B87),"—"),"")</f>
        <v>—</v>
      </c>
      <c r="F87" s="14" t="str" cm="1">
        <f t="array" ref="F87">IF(V87="Sí",IFERROR(_xlfn.STDEV.P(IF((DATOS!$G$2:$G$20000=CONFIG_METADATA!$B$4)*(DATOS!$D$2:$D$20000=A87)*(DATOS!$I$2:$I$20000=B87),DATOS!$K$2:$K$20000)),"—"),"")</f>
        <v>—</v>
      </c>
      <c r="G87" t="str" cm="1">
        <f t="array" ref="G87">IF(V87="Sí",IFERROR(_xlfn.MODE.SNGL(IF((DATOS!$G$2:$G$20000=CONFIG_METADATA!$B$4)*(DATOS!$D$2:$D$20000=A87)*(DATOS!$I$2:$I$20000=B87),DATOS!$K$2:$K$20000)),"—"),"")</f>
        <v>—</v>
      </c>
      <c r="H87" s="15" t="str">
        <f>IF(V87="Sí",IFERROR(COUNTIFS(DATOS!G:G,CONFIG_METADATA!$B$4,DATOS!D:D,A87,DATOS!I:I,B87,DATOS!L:L,"S")/COUNTIFS(DATOS!G:G,CONFIG_METADATA!$B$4,DATOS!D:D,A87,DATOS!I:I,B87),"—"),"")</f>
        <v>—</v>
      </c>
      <c r="I87" s="15" t="str">
        <f>IF(V87="Sí",IFERROR(COUNTIFS(DATOS!G:G,CONFIG_METADATA!$B$4,DATOS!D:D,A87,DATOS!I:I,B87,DATOS!L:L,"N")/COUNTIFS(DATOS!G:G,CONFIG_METADATA!$B$4,DATOS!D:D,A87,DATOS!I:I,B87),"—"),"")</f>
        <v>—</v>
      </c>
      <c r="J87" t="str" cm="1">
        <f t="array" ref="J87">IF(V87="Sí",IFERROR(_xlfn.MODE.SNGL(IF((DATOS!$G$2:$G$20000=CONFIG_METADATA!$B$4)*(DATOS!$D$2:$D$20000=A87)*(DATOS!$I$2:$I$20000=B87)*(DATOS!$L$2:$L$20000="S"),DATOS!$K$2:$K$20000)),"—"),"")</f>
        <v>—</v>
      </c>
      <c r="K87" t="str" cm="1">
        <f t="array" ref="K87">IF(V87="Sí",IFERROR(_xlfn.MODE.SNGL(IF((DATOS!$G$2:$G$20000=CONFIG_METADATA!$B$4)*(DATOS!$D$2:$D$20000=A87)*(DATOS!$I$2:$I$20000=B87)*(DATOS!$L$2:$L$20000="N"),DATOS!$K$2:$K$20000)),"—"),"")</f>
        <v>—</v>
      </c>
      <c r="L87">
        <f>IF(V87="Sí",COUNTIFS(DATOS!G:G,CONFIG_METADATA!$B$4,DATOS!D:D,A87,DATOS!I:I,B87,DATOS!K:K,1),"")</f>
        <v>0</v>
      </c>
      <c r="M87">
        <f>IF(V87="Sí",COUNTIFS(DATOS!G:G,CONFIG_METADATA!$B$4,DATOS!D:D,A87,DATOS!I:I,B87,DATOS!K:K,2),"")</f>
        <v>0</v>
      </c>
      <c r="N87">
        <f>IF(V87="Sí",COUNTIFS(DATOS!G:G,CONFIG_METADATA!$B$4,DATOS!D:D,A87,DATOS!I:I,B87,DATOS!K:K,3),"")</f>
        <v>0</v>
      </c>
      <c r="O87">
        <f>IF(V87="Sí",COUNTIFS(DATOS!G:G,CONFIG_METADATA!$B$4,DATOS!D:D,A87,DATOS!I:I,B87,DATOS!K:K,4),"")</f>
        <v>0</v>
      </c>
      <c r="P87">
        <f>IF(V87="Sí",COUNTIFS(DATOS!G:G,CONFIG_METADATA!$B$4,DATOS!D:D,A87,DATOS!I:I,B87,DATOS!K:K,5),"")</f>
        <v>0</v>
      </c>
      <c r="Q87">
        <f>IF(V87="Sí",COUNTIFS(DATOS!G:G,CONFIG_METADATA!$B$4,DATOS!D:D,A87,DATOS!I:I,B87,DATOS!K:K,6),"")</f>
        <v>0</v>
      </c>
      <c r="R87">
        <f>IF(V87="Sí",COUNTIFS(DATOS!G:G,CONFIG_METADATA!$B$4,DATOS!D:D,A87,DATOS!I:I,B87,DATOS!K:K,7),"")</f>
        <v>0</v>
      </c>
      <c r="S87">
        <f>IF(V87="Sí",COUNTIFS(DATOS!G:G,CONFIG_METADATA!$B$4,DATOS!D:D,A87,DATOS!I:I,B87,DATOS!K:K,8),"")</f>
        <v>0</v>
      </c>
      <c r="T87">
        <f>IF(V87="Sí",COUNTIFS(DATOS!G:G,CONFIG_METADATA!$B$4,DATOS!D:D,A87,DATOS!I:I,B87,DATOS!K:K,9),"")</f>
        <v>0</v>
      </c>
      <c r="U87">
        <f>IF(V87="Sí",COUNTIFS(DATOS!G:G,CONFIG_METADATA!$B$4,DATOS!D:D,A87,DATOS!I:I,B87,DATOS!K:K,10),"")</f>
        <v>0</v>
      </c>
      <c r="V87" t="str">
        <f>IFERROR(IF(ISERROR(FIND(A87,VLOOKUP(B87,CONFIG_ASIGNATURAS!B:C,2,FALSE()))),"No","Sí"),"No")</f>
        <v>Sí</v>
      </c>
    </row>
    <row r="88" spans="1:22">
      <c r="A88" s="3" t="inlineStr">
        <is>
          <t xml:space="preserve">1EEM</t>
        </is>
      </c>
      <c r="B88" s="3" cm="1">
        <f t="array" ref="B88">IFERROR(INDEX(_xlfn._xlws.FILTER(CONFIG_ASIGNATURAS!$B$2:$B$61,(CONFIG_ASIGNATURAS!$G$2:$G$61="Sí")*ISNUMBER(SEARCH("1EEM",CONFIG_ASIGNATURAS!$C$2:$C$61))),21),"")</f>
      </c>
      <c r="C88" s="3">
        <f>IF(B88="","",IFERROR(IF(VLOOKUP(B88,CONFIG_ASIGNATURAS!$B$2:$F$61,5,FALSE())="Sí","Especialidad","Asignatura"),"Asignatura"))</f>
      </c>
      <c r="D88">
        <f>IF(V88="Sí",COUNTIFS(DATOS!G:G,CONFIG_METADATA!$B$4,DATOS!D:D,A88,DATOS!I:I,B88),"")</f>
        <v>0</v>
      </c>
      <c r="E88" s="14" t="str">
        <f>IF(V88="Sí",IFERROR(AVERAGEIFS(DATOS!K:K,DATOS!G:G,CONFIG_METADATA!$B$4,DATOS!D:D,A88,DATOS!I:I,B88),"—"),"")</f>
        <v>—</v>
      </c>
      <c r="F88" s="14" t="str" cm="1">
        <f t="array" ref="F88">IF(V88="Sí",IFERROR(_xlfn.STDEV.P(IF((DATOS!$G$2:$G$20000=CONFIG_METADATA!$B$4)*(DATOS!$D$2:$D$20000=A88)*(DATOS!$I$2:$I$20000=B88),DATOS!$K$2:$K$20000)),"—"),"")</f>
        <v>—</v>
      </c>
      <c r="G88" t="str" cm="1">
        <f t="array" ref="G88">IF(V88="Sí",IFERROR(_xlfn.MODE.SNGL(IF((DATOS!$G$2:$G$20000=CONFIG_METADATA!$B$4)*(DATOS!$D$2:$D$20000=A88)*(DATOS!$I$2:$I$20000=B88),DATOS!$K$2:$K$20000)),"—"),"")</f>
        <v>—</v>
      </c>
      <c r="H88" s="15" t="str">
        <f>IF(V88="Sí",IFERROR(COUNTIFS(DATOS!G:G,CONFIG_METADATA!$B$4,DATOS!D:D,A88,DATOS!I:I,B88,DATOS!L:L,"S")/COUNTIFS(DATOS!G:G,CONFIG_METADATA!$B$4,DATOS!D:D,A88,DATOS!I:I,B88),"—"),"")</f>
        <v>—</v>
      </c>
      <c r="I88" s="15" t="str">
        <f>IF(V88="Sí",IFERROR(COUNTIFS(DATOS!G:G,CONFIG_METADATA!$B$4,DATOS!D:D,A88,DATOS!I:I,B88,DATOS!L:L,"N")/COUNTIFS(DATOS!G:G,CONFIG_METADATA!$B$4,DATOS!D:D,A88,DATOS!I:I,B88),"—"),"")</f>
        <v>—</v>
      </c>
      <c r="J88" t="str" cm="1">
        <f t="array" ref="J88">IF(V88="Sí",IFERROR(_xlfn.MODE.SNGL(IF((DATOS!$G$2:$G$20000=CONFIG_METADATA!$B$4)*(DATOS!$D$2:$D$20000=A88)*(DATOS!$I$2:$I$20000=B88)*(DATOS!$L$2:$L$20000="S"),DATOS!$K$2:$K$20000)),"—"),"")</f>
        <v>—</v>
      </c>
      <c r="K88" t="str" cm="1">
        <f t="array" ref="K88">IF(V88="Sí",IFERROR(_xlfn.MODE.SNGL(IF((DATOS!$G$2:$G$20000=CONFIG_METADATA!$B$4)*(DATOS!$D$2:$D$20000=A88)*(DATOS!$I$2:$I$20000=B88)*(DATOS!$L$2:$L$20000="N"),DATOS!$K$2:$K$20000)),"—"),"")</f>
        <v>—</v>
      </c>
      <c r="L88">
        <f>IF(V88="Sí",COUNTIFS(DATOS!G:G,CONFIG_METADATA!$B$4,DATOS!D:D,A88,DATOS!I:I,B88,DATOS!K:K,1),"")</f>
        <v>0</v>
      </c>
      <c r="M88">
        <f>IF(V88="Sí",COUNTIFS(DATOS!G:G,CONFIG_METADATA!$B$4,DATOS!D:D,A88,DATOS!I:I,B88,DATOS!K:K,2),"")</f>
        <v>0</v>
      </c>
      <c r="N88">
        <f>IF(V88="Sí",COUNTIFS(DATOS!G:G,CONFIG_METADATA!$B$4,DATOS!D:D,A88,DATOS!I:I,B88,DATOS!K:K,3),"")</f>
        <v>0</v>
      </c>
      <c r="O88">
        <f>IF(V88="Sí",COUNTIFS(DATOS!G:G,CONFIG_METADATA!$B$4,DATOS!D:D,A88,DATOS!I:I,B88,DATOS!K:K,4),"")</f>
        <v>0</v>
      </c>
      <c r="P88">
        <f>IF(V88="Sí",COUNTIFS(DATOS!G:G,CONFIG_METADATA!$B$4,DATOS!D:D,A88,DATOS!I:I,B88,DATOS!K:K,5),"")</f>
        <v>0</v>
      </c>
      <c r="Q88">
        <f>IF(V88="Sí",COUNTIFS(DATOS!G:G,CONFIG_METADATA!$B$4,DATOS!D:D,A88,DATOS!I:I,B88,DATOS!K:K,6),"")</f>
        <v>0</v>
      </c>
      <c r="R88">
        <f>IF(V88="Sí",COUNTIFS(DATOS!G:G,CONFIG_METADATA!$B$4,DATOS!D:D,A88,DATOS!I:I,B88,DATOS!K:K,7),"")</f>
        <v>0</v>
      </c>
      <c r="S88">
        <f>IF(V88="Sí",COUNTIFS(DATOS!G:G,CONFIG_METADATA!$B$4,DATOS!D:D,A88,DATOS!I:I,B88,DATOS!K:K,8),"")</f>
        <v>0</v>
      </c>
      <c r="T88">
        <f>IF(V88="Sí",COUNTIFS(DATOS!G:G,CONFIG_METADATA!$B$4,DATOS!D:D,A88,DATOS!I:I,B88,DATOS!K:K,9),"")</f>
        <v>0</v>
      </c>
      <c r="U88">
        <f>IF(V88="Sí",COUNTIFS(DATOS!G:G,CONFIG_METADATA!$B$4,DATOS!D:D,A88,DATOS!I:I,B88,DATOS!K:K,10),"")</f>
        <v>0</v>
      </c>
      <c r="V88" t="str">
        <f>IFERROR(IF(ISERROR(FIND(A88,VLOOKUP(B88,CONFIG_ASIGNATURAS!B:C,2,FALSE()))),"No","Sí"),"No")</f>
        <v>Sí</v>
      </c>
    </row>
    <row r="89" spans="1:22">
      <c r="A89" s="3" t="inlineStr">
        <is>
          <t xml:space="preserve">1EEM</t>
        </is>
      </c>
      <c r="B89" s="3" cm="1">
        <f t="array" ref="B89">IFERROR(INDEX(_xlfn._xlws.FILTER(CONFIG_ASIGNATURAS!$B$2:$B$61,(CONFIG_ASIGNATURAS!$G$2:$G$61="Sí")*ISNUMBER(SEARCH("1EEM",CONFIG_ASIGNATURAS!$C$2:$C$61))),22),"")</f>
      </c>
      <c r="C89" s="3">
        <f>IF(B89="","",IFERROR(IF(VLOOKUP(B89,CONFIG_ASIGNATURAS!$B$2:$F$61,5,FALSE())="Sí","Especialidad","Asignatura"),"Asignatura"))</f>
      </c>
      <c r="D89">
        <f>IF(V89="Sí",COUNTIFS(DATOS!G:G,CONFIG_METADATA!$B$4,DATOS!D:D,A89,DATOS!I:I,B89),"")</f>
        <v>0</v>
      </c>
      <c r="E89" s="14" t="str">
        <f>IF(V89="Sí",IFERROR(AVERAGEIFS(DATOS!K:K,DATOS!G:G,CONFIG_METADATA!$B$4,DATOS!D:D,A89,DATOS!I:I,B89),"—"),"")</f>
        <v>—</v>
      </c>
      <c r="F89" s="14" t="str" cm="1">
        <f t="array" ref="F89">IF(V89="Sí",IFERROR(_xlfn.STDEV.P(IF((DATOS!$G$2:$G$20000=CONFIG_METADATA!$B$4)*(DATOS!$D$2:$D$20000=A89)*(DATOS!$I$2:$I$20000=B89),DATOS!$K$2:$K$20000)),"—"),"")</f>
        <v>—</v>
      </c>
      <c r="G89" t="str" cm="1">
        <f t="array" ref="G89">IF(V89="Sí",IFERROR(_xlfn.MODE.SNGL(IF((DATOS!$G$2:$G$20000=CONFIG_METADATA!$B$4)*(DATOS!$D$2:$D$20000=A89)*(DATOS!$I$2:$I$20000=B89),DATOS!$K$2:$K$20000)),"—"),"")</f>
        <v>—</v>
      </c>
      <c r="H89" s="15" t="str">
        <f>IF(V89="Sí",IFERROR(COUNTIFS(DATOS!G:G,CONFIG_METADATA!$B$4,DATOS!D:D,A89,DATOS!I:I,B89,DATOS!L:L,"S")/COUNTIFS(DATOS!G:G,CONFIG_METADATA!$B$4,DATOS!D:D,A89,DATOS!I:I,B89),"—"),"")</f>
        <v>—</v>
      </c>
      <c r="I89" s="15" t="str">
        <f>IF(V89="Sí",IFERROR(COUNTIFS(DATOS!G:G,CONFIG_METADATA!$B$4,DATOS!D:D,A89,DATOS!I:I,B89,DATOS!L:L,"N")/COUNTIFS(DATOS!G:G,CONFIG_METADATA!$B$4,DATOS!D:D,A89,DATOS!I:I,B89),"—"),"")</f>
        <v>—</v>
      </c>
      <c r="J89" t="str" cm="1">
        <f t="array" ref="J89">IF(V89="Sí",IFERROR(_xlfn.MODE.SNGL(IF((DATOS!$G$2:$G$20000=CONFIG_METADATA!$B$4)*(DATOS!$D$2:$D$20000=A89)*(DATOS!$I$2:$I$20000=B89)*(DATOS!$L$2:$L$20000="S"),DATOS!$K$2:$K$20000)),"—"),"")</f>
        <v>—</v>
      </c>
      <c r="K89" t="str" cm="1">
        <f t="array" ref="K89">IF(V89="Sí",IFERROR(_xlfn.MODE.SNGL(IF((DATOS!$G$2:$G$20000=CONFIG_METADATA!$B$4)*(DATOS!$D$2:$D$20000=A89)*(DATOS!$I$2:$I$20000=B89)*(DATOS!$L$2:$L$20000="N"),DATOS!$K$2:$K$20000)),"—"),"")</f>
        <v>—</v>
      </c>
      <c r="L89">
        <f>IF(V89="Sí",COUNTIFS(DATOS!G:G,CONFIG_METADATA!$B$4,DATOS!D:D,A89,DATOS!I:I,B89,DATOS!K:K,1),"")</f>
        <v>0</v>
      </c>
      <c r="M89">
        <f>IF(V89="Sí",COUNTIFS(DATOS!G:G,CONFIG_METADATA!$B$4,DATOS!D:D,A89,DATOS!I:I,B89,DATOS!K:K,2),"")</f>
        <v>0</v>
      </c>
      <c r="N89">
        <f>IF(V89="Sí",COUNTIFS(DATOS!G:G,CONFIG_METADATA!$B$4,DATOS!D:D,A89,DATOS!I:I,B89,DATOS!K:K,3),"")</f>
        <v>0</v>
      </c>
      <c r="O89">
        <f>IF(V89="Sí",COUNTIFS(DATOS!G:G,CONFIG_METADATA!$B$4,DATOS!D:D,A89,DATOS!I:I,B89,DATOS!K:K,4),"")</f>
        <v>0</v>
      </c>
      <c r="P89">
        <f>IF(V89="Sí",COUNTIFS(DATOS!G:G,CONFIG_METADATA!$B$4,DATOS!D:D,A89,DATOS!I:I,B89,DATOS!K:K,5),"")</f>
        <v>0</v>
      </c>
      <c r="Q89">
        <f>IF(V89="Sí",COUNTIFS(DATOS!G:G,CONFIG_METADATA!$B$4,DATOS!D:D,A89,DATOS!I:I,B89,DATOS!K:K,6),"")</f>
        <v>0</v>
      </c>
      <c r="R89">
        <f>IF(V89="Sí",COUNTIFS(DATOS!G:G,CONFIG_METADATA!$B$4,DATOS!D:D,A89,DATOS!I:I,B89,DATOS!K:K,7),"")</f>
        <v>0</v>
      </c>
      <c r="S89">
        <f>IF(V89="Sí",COUNTIFS(DATOS!G:G,CONFIG_METADATA!$B$4,DATOS!D:D,A89,DATOS!I:I,B89,DATOS!K:K,8),"")</f>
        <v>0</v>
      </c>
      <c r="T89">
        <f>IF(V89="Sí",COUNTIFS(DATOS!G:G,CONFIG_METADATA!$B$4,DATOS!D:D,A89,DATOS!I:I,B89,DATOS!K:K,9),"")</f>
        <v>0</v>
      </c>
      <c r="U89">
        <f>IF(V89="Sí",COUNTIFS(DATOS!G:G,CONFIG_METADATA!$B$4,DATOS!D:D,A89,DATOS!I:I,B89,DATOS!K:K,10),"")</f>
        <v>0</v>
      </c>
      <c r="V89" t="str">
        <f>IFERROR(IF(ISERROR(FIND(A89,VLOOKUP(B89,CONFIG_ASIGNATURAS!B:C,2,FALSE()))),"No","Sí"),"No")</f>
        <v>Sí</v>
      </c>
    </row>
    <row r="90" spans="1:22">
      <c r="A90" s="3" t="inlineStr">
        <is>
          <t xml:space="preserve">1EEM</t>
        </is>
      </c>
      <c r="B90" s="3" cm="1">
        <f t="array" ref="B90">IFERROR(INDEX(_xlfn._xlws.FILTER(CONFIG_ASIGNATURAS!$B$2:$B$61,(CONFIG_ASIGNATURAS!$G$2:$G$61="Sí")*ISNUMBER(SEARCH("1EEM",CONFIG_ASIGNATURAS!$C$2:$C$61))),23),"")</f>
      </c>
      <c r="C90" s="3">
        <f>IF(B90="","",IFERROR(IF(VLOOKUP(B90,CONFIG_ASIGNATURAS!$B$2:$F$61,5,FALSE())="Sí","Especialidad","Asignatura"),"Asignatura"))</f>
      </c>
      <c r="D90">
        <f>IF(V90="Sí",COUNTIFS(DATOS!G:G,CONFIG_METADATA!$B$4,DATOS!D:D,A90,DATOS!I:I,B90),"")</f>
        <v>0</v>
      </c>
      <c r="E90" s="14" t="str">
        <f>IF(V90="Sí",IFERROR(AVERAGEIFS(DATOS!K:K,DATOS!G:G,CONFIG_METADATA!$B$4,DATOS!D:D,A90,DATOS!I:I,B90),"—"),"")</f>
        <v>—</v>
      </c>
      <c r="F90" s="14" t="str" cm="1">
        <f t="array" ref="F90">IF(V90="Sí",IFERROR(_xlfn.STDEV.P(IF((DATOS!$G$2:$G$20000=CONFIG_METADATA!$B$4)*(DATOS!$D$2:$D$20000=A90)*(DATOS!$I$2:$I$20000=B90),DATOS!$K$2:$K$20000)),"—"),"")</f>
        <v>—</v>
      </c>
      <c r="G90" t="str" cm="1">
        <f t="array" ref="G90">IF(V90="Sí",IFERROR(_xlfn.MODE.SNGL(IF((DATOS!$G$2:$G$20000=CONFIG_METADATA!$B$4)*(DATOS!$D$2:$D$20000=A90)*(DATOS!$I$2:$I$20000=B90),DATOS!$K$2:$K$20000)),"—"),"")</f>
        <v>—</v>
      </c>
      <c r="H90" s="15" t="str">
        <f>IF(V90="Sí",IFERROR(COUNTIFS(DATOS!G:G,CONFIG_METADATA!$B$4,DATOS!D:D,A90,DATOS!I:I,B90,DATOS!L:L,"S")/COUNTIFS(DATOS!G:G,CONFIG_METADATA!$B$4,DATOS!D:D,A90,DATOS!I:I,B90),"—"),"")</f>
        <v>—</v>
      </c>
      <c r="I90" s="15" t="str">
        <f>IF(V90="Sí",IFERROR(COUNTIFS(DATOS!G:G,CONFIG_METADATA!$B$4,DATOS!D:D,A90,DATOS!I:I,B90,DATOS!L:L,"N")/COUNTIFS(DATOS!G:G,CONFIG_METADATA!$B$4,DATOS!D:D,A90,DATOS!I:I,B90),"—"),"")</f>
        <v>—</v>
      </c>
      <c r="J90" t="str" cm="1">
        <f t="array" ref="J90">IF(V90="Sí",IFERROR(_xlfn.MODE.SNGL(IF((DATOS!$G$2:$G$20000=CONFIG_METADATA!$B$4)*(DATOS!$D$2:$D$20000=A90)*(DATOS!$I$2:$I$20000=B90)*(DATOS!$L$2:$L$20000="S"),DATOS!$K$2:$K$20000)),"—"),"")</f>
        <v>—</v>
      </c>
      <c r="K90" t="str" cm="1">
        <f t="array" ref="K90">IF(V90="Sí",IFERROR(_xlfn.MODE.SNGL(IF((DATOS!$G$2:$G$20000=CONFIG_METADATA!$B$4)*(DATOS!$D$2:$D$20000=A90)*(DATOS!$I$2:$I$20000=B90)*(DATOS!$L$2:$L$20000="N"),DATOS!$K$2:$K$20000)),"—"),"")</f>
        <v>—</v>
      </c>
      <c r="L90">
        <f>IF(V90="Sí",COUNTIFS(DATOS!G:G,CONFIG_METADATA!$B$4,DATOS!D:D,A90,DATOS!I:I,B90,DATOS!K:K,1),"")</f>
        <v>0</v>
      </c>
      <c r="M90">
        <f>IF(V90="Sí",COUNTIFS(DATOS!G:G,CONFIG_METADATA!$B$4,DATOS!D:D,A90,DATOS!I:I,B90,DATOS!K:K,2),"")</f>
        <v>0</v>
      </c>
      <c r="N90">
        <f>IF(V90="Sí",COUNTIFS(DATOS!G:G,CONFIG_METADATA!$B$4,DATOS!D:D,A90,DATOS!I:I,B90,DATOS!K:K,3),"")</f>
        <v>0</v>
      </c>
      <c r="O90">
        <f>IF(V90="Sí",COUNTIFS(DATOS!G:G,CONFIG_METADATA!$B$4,DATOS!D:D,A90,DATOS!I:I,B90,DATOS!K:K,4),"")</f>
        <v>0</v>
      </c>
      <c r="P90">
        <f>IF(V90="Sí",COUNTIFS(DATOS!G:G,CONFIG_METADATA!$B$4,DATOS!D:D,A90,DATOS!I:I,B90,DATOS!K:K,5),"")</f>
        <v>0</v>
      </c>
      <c r="Q90">
        <f>IF(V90="Sí",COUNTIFS(DATOS!G:G,CONFIG_METADATA!$B$4,DATOS!D:D,A90,DATOS!I:I,B90,DATOS!K:K,6),"")</f>
        <v>0</v>
      </c>
      <c r="R90">
        <f>IF(V90="Sí",COUNTIFS(DATOS!G:G,CONFIG_METADATA!$B$4,DATOS!D:D,A90,DATOS!I:I,B90,DATOS!K:K,7),"")</f>
        <v>0</v>
      </c>
      <c r="S90">
        <f>IF(V90="Sí",COUNTIFS(DATOS!G:G,CONFIG_METADATA!$B$4,DATOS!D:D,A90,DATOS!I:I,B90,DATOS!K:K,8),"")</f>
        <v>0</v>
      </c>
      <c r="T90">
        <f>IF(V90="Sí",COUNTIFS(DATOS!G:G,CONFIG_METADATA!$B$4,DATOS!D:D,A90,DATOS!I:I,B90,DATOS!K:K,9),"")</f>
        <v>0</v>
      </c>
      <c r="U90">
        <f>IF(V90="Sí",COUNTIFS(DATOS!G:G,CONFIG_METADATA!$B$4,DATOS!D:D,A90,DATOS!I:I,B90,DATOS!K:K,10),"")</f>
        <v>0</v>
      </c>
      <c r="V90" t="str">
        <f>IFERROR(IF(ISERROR(FIND(A90,VLOOKUP(B90,CONFIG_ASIGNATURAS!B:C,2,FALSE()))),"No","Sí"),"No")</f>
        <v>Sí</v>
      </c>
    </row>
    <row r="91" spans="1:22">
      <c r="A91" s="3" t="inlineStr">
        <is>
          <t xml:space="preserve">1EEM</t>
        </is>
      </c>
      <c r="B91" s="3" cm="1">
        <f t="array" ref="B91">IFERROR(INDEX(_xlfn._xlws.FILTER(CONFIG_ASIGNATURAS!$B$2:$B$61,(CONFIG_ASIGNATURAS!$G$2:$G$61="Sí")*ISNUMBER(SEARCH("1EEM",CONFIG_ASIGNATURAS!$C$2:$C$61))),24),"")</f>
      </c>
      <c r="C91" s="3">
        <f>IF(B91="","",IFERROR(IF(VLOOKUP(B91,CONFIG_ASIGNATURAS!$B$2:$F$61,5,FALSE())="Sí","Especialidad","Asignatura"),"Asignatura"))</f>
      </c>
      <c r="D91">
        <f>IF(V91="Sí",COUNTIFS(DATOS!G:G,CONFIG_METADATA!$B$4,DATOS!D:D,A91,DATOS!I:I,B91),"")</f>
        <v>0</v>
      </c>
      <c r="E91" s="14" t="str">
        <f>IF(V91="Sí",IFERROR(AVERAGEIFS(DATOS!K:K,DATOS!G:G,CONFIG_METADATA!$B$4,DATOS!D:D,A91,DATOS!I:I,B91),"—"),"")</f>
        <v>—</v>
      </c>
      <c r="F91" s="14" t="str" cm="1">
        <f t="array" ref="F91">IF(V91="Sí",IFERROR(_xlfn.STDEV.P(IF((DATOS!$G$2:$G$20000=CONFIG_METADATA!$B$4)*(DATOS!$D$2:$D$20000=A91)*(DATOS!$I$2:$I$20000=B91),DATOS!$K$2:$K$20000)),"—"),"")</f>
        <v>—</v>
      </c>
      <c r="G91" t="str" cm="1">
        <f t="array" ref="G91">IF(V91="Sí",IFERROR(_xlfn.MODE.SNGL(IF((DATOS!$G$2:$G$20000=CONFIG_METADATA!$B$4)*(DATOS!$D$2:$D$20000=A91)*(DATOS!$I$2:$I$20000=B91),DATOS!$K$2:$K$20000)),"—"),"")</f>
        <v>—</v>
      </c>
      <c r="H91" s="15" t="str">
        <f>IF(V91="Sí",IFERROR(COUNTIFS(DATOS!G:G,CONFIG_METADATA!$B$4,DATOS!D:D,A91,DATOS!I:I,B91,DATOS!L:L,"S")/COUNTIFS(DATOS!G:G,CONFIG_METADATA!$B$4,DATOS!D:D,A91,DATOS!I:I,B91),"—"),"")</f>
        <v>—</v>
      </c>
      <c r="I91" s="15" t="str">
        <f>IF(V91="Sí",IFERROR(COUNTIFS(DATOS!G:G,CONFIG_METADATA!$B$4,DATOS!D:D,A91,DATOS!I:I,B91,DATOS!L:L,"N")/COUNTIFS(DATOS!G:G,CONFIG_METADATA!$B$4,DATOS!D:D,A91,DATOS!I:I,B91),"—"),"")</f>
        <v>—</v>
      </c>
      <c r="J91" t="str" cm="1">
        <f t="array" ref="J91">IF(V91="Sí",IFERROR(_xlfn.MODE.SNGL(IF((DATOS!$G$2:$G$20000=CONFIG_METADATA!$B$4)*(DATOS!$D$2:$D$20000=A91)*(DATOS!$I$2:$I$20000=B91)*(DATOS!$L$2:$L$20000="S"),DATOS!$K$2:$K$20000)),"—"),"")</f>
        <v>—</v>
      </c>
      <c r="K91" t="str" cm="1">
        <f t="array" ref="K91">IF(V91="Sí",IFERROR(_xlfn.MODE.SNGL(IF((DATOS!$G$2:$G$20000=CONFIG_METADATA!$B$4)*(DATOS!$D$2:$D$20000=A91)*(DATOS!$I$2:$I$20000=B91)*(DATOS!$L$2:$L$20000="N"),DATOS!$K$2:$K$20000)),"—"),"")</f>
        <v>—</v>
      </c>
      <c r="L91">
        <f>IF(V91="Sí",COUNTIFS(DATOS!G:G,CONFIG_METADATA!$B$4,DATOS!D:D,A91,DATOS!I:I,B91,DATOS!K:K,1),"")</f>
        <v>0</v>
      </c>
      <c r="M91">
        <f>IF(V91="Sí",COUNTIFS(DATOS!G:G,CONFIG_METADATA!$B$4,DATOS!D:D,A91,DATOS!I:I,B91,DATOS!K:K,2),"")</f>
        <v>0</v>
      </c>
      <c r="N91">
        <f>IF(V91="Sí",COUNTIFS(DATOS!G:G,CONFIG_METADATA!$B$4,DATOS!D:D,A91,DATOS!I:I,B91,DATOS!K:K,3),"")</f>
        <v>0</v>
      </c>
      <c r="O91">
        <f>IF(V91="Sí",COUNTIFS(DATOS!G:G,CONFIG_METADATA!$B$4,DATOS!D:D,A91,DATOS!I:I,B91,DATOS!K:K,4),"")</f>
        <v>0</v>
      </c>
      <c r="P91">
        <f>IF(V91="Sí",COUNTIFS(DATOS!G:G,CONFIG_METADATA!$B$4,DATOS!D:D,A91,DATOS!I:I,B91,DATOS!K:K,5),"")</f>
        <v>0</v>
      </c>
      <c r="Q91">
        <f>IF(V91="Sí",COUNTIFS(DATOS!G:G,CONFIG_METADATA!$B$4,DATOS!D:D,A91,DATOS!I:I,B91,DATOS!K:K,6),"")</f>
        <v>0</v>
      </c>
      <c r="R91">
        <f>IF(V91="Sí",COUNTIFS(DATOS!G:G,CONFIG_METADATA!$B$4,DATOS!D:D,A91,DATOS!I:I,B91,DATOS!K:K,7),"")</f>
        <v>0</v>
      </c>
      <c r="S91">
        <f>IF(V91="Sí",COUNTIFS(DATOS!G:G,CONFIG_METADATA!$B$4,DATOS!D:D,A91,DATOS!I:I,B91,DATOS!K:K,8),"")</f>
        <v>0</v>
      </c>
      <c r="T91">
        <f>IF(V91="Sí",COUNTIFS(DATOS!G:G,CONFIG_METADATA!$B$4,DATOS!D:D,A91,DATOS!I:I,B91,DATOS!K:K,9),"")</f>
        <v>0</v>
      </c>
      <c r="U91">
        <f>IF(V91="Sí",COUNTIFS(DATOS!G:G,CONFIG_METADATA!$B$4,DATOS!D:D,A91,DATOS!I:I,B91,DATOS!K:K,10),"")</f>
        <v>0</v>
      </c>
      <c r="V91" t="str">
        <f>IFERROR(IF(ISERROR(FIND(A91,VLOOKUP(B91,CONFIG_ASIGNATURAS!B:C,2,FALSE()))),"No","Sí"),"No")</f>
        <v>Sí</v>
      </c>
    </row>
    <row r="92" spans="1:22">
      <c r="A92" s="3" t="inlineStr">
        <is>
          <t xml:space="preserve">1EEM</t>
        </is>
      </c>
      <c r="B92" s="3" cm="1">
        <f t="array" ref="B92">IFERROR(INDEX(_xlfn._xlws.FILTER(CONFIG_ASIGNATURAS!$B$2:$B$61,(CONFIG_ASIGNATURAS!$G$2:$G$61="Sí")*ISNUMBER(SEARCH("1EEM",CONFIG_ASIGNATURAS!$C$2:$C$61))),25),"")</f>
      </c>
      <c r="C92" s="3">
        <f>IF(B92="","",IFERROR(IF(VLOOKUP(B92,CONFIG_ASIGNATURAS!$B$2:$F$61,5,FALSE())="Sí","Especialidad","Asignatura"),"Asignatura"))</f>
      </c>
      <c r="D92">
        <f>IF(V92="Sí",COUNTIFS(DATOS!G:G,CONFIG_METADATA!$B$4,DATOS!D:D,A92,DATOS!I:I,B92),"")</f>
        <v>0</v>
      </c>
      <c r="E92" s="14" t="str">
        <f>IF(V92="Sí",IFERROR(AVERAGEIFS(DATOS!K:K,DATOS!G:G,CONFIG_METADATA!$B$4,DATOS!D:D,A92,DATOS!I:I,B92),"—"),"")</f>
        <v>—</v>
      </c>
      <c r="F92" s="14" t="str" cm="1">
        <f t="array" ref="F92">IF(V92="Sí",IFERROR(_xlfn.STDEV.P(IF((DATOS!$G$2:$G$20000=CONFIG_METADATA!$B$4)*(DATOS!$D$2:$D$20000=A92)*(DATOS!$I$2:$I$20000=B92),DATOS!$K$2:$K$20000)),"—"),"")</f>
        <v>—</v>
      </c>
      <c r="G92" t="str" cm="1">
        <f t="array" ref="G92">IF(V92="Sí",IFERROR(_xlfn.MODE.SNGL(IF((DATOS!$G$2:$G$20000=CONFIG_METADATA!$B$4)*(DATOS!$D$2:$D$20000=A92)*(DATOS!$I$2:$I$20000=B92),DATOS!$K$2:$K$20000)),"—"),"")</f>
        <v>—</v>
      </c>
      <c r="H92" s="15" t="str">
        <f>IF(V92="Sí",IFERROR(COUNTIFS(DATOS!G:G,CONFIG_METADATA!$B$4,DATOS!D:D,A92,DATOS!I:I,B92,DATOS!L:L,"S")/COUNTIFS(DATOS!G:G,CONFIG_METADATA!$B$4,DATOS!D:D,A92,DATOS!I:I,B92),"—"),"")</f>
        <v>—</v>
      </c>
      <c r="I92" s="15" t="str">
        <f>IF(V92="Sí",IFERROR(COUNTIFS(DATOS!G:G,CONFIG_METADATA!$B$4,DATOS!D:D,A92,DATOS!I:I,B92,DATOS!L:L,"N")/COUNTIFS(DATOS!G:G,CONFIG_METADATA!$B$4,DATOS!D:D,A92,DATOS!I:I,B92),"—"),"")</f>
        <v>—</v>
      </c>
      <c r="J92" t="str" cm="1">
        <f t="array" ref="J92">IF(V92="Sí",IFERROR(_xlfn.MODE.SNGL(IF((DATOS!$G$2:$G$20000=CONFIG_METADATA!$B$4)*(DATOS!$D$2:$D$20000=A92)*(DATOS!$I$2:$I$20000=B92)*(DATOS!$L$2:$L$20000="S"),DATOS!$K$2:$K$20000)),"—"),"")</f>
        <v>—</v>
      </c>
      <c r="K92" t="str" cm="1">
        <f t="array" ref="K92">IF(V92="Sí",IFERROR(_xlfn.MODE.SNGL(IF((DATOS!$G$2:$G$20000=CONFIG_METADATA!$B$4)*(DATOS!$D$2:$D$20000=A92)*(DATOS!$I$2:$I$20000=B92)*(DATOS!$L$2:$L$20000="N"),DATOS!$K$2:$K$20000)),"—"),"")</f>
        <v>—</v>
      </c>
      <c r="L92">
        <f>IF(V92="Sí",COUNTIFS(DATOS!G:G,CONFIG_METADATA!$B$4,DATOS!D:D,A92,DATOS!I:I,B92,DATOS!K:K,1),"")</f>
        <v>0</v>
      </c>
      <c r="M92">
        <f>IF(V92="Sí",COUNTIFS(DATOS!G:G,CONFIG_METADATA!$B$4,DATOS!D:D,A92,DATOS!I:I,B92,DATOS!K:K,2),"")</f>
        <v>0</v>
      </c>
      <c r="N92">
        <f>IF(V92="Sí",COUNTIFS(DATOS!G:G,CONFIG_METADATA!$B$4,DATOS!D:D,A92,DATOS!I:I,B92,DATOS!K:K,3),"")</f>
        <v>0</v>
      </c>
      <c r="O92">
        <f>IF(V92="Sí",COUNTIFS(DATOS!G:G,CONFIG_METADATA!$B$4,DATOS!D:D,A92,DATOS!I:I,B92,DATOS!K:K,4),"")</f>
        <v>0</v>
      </c>
      <c r="P92">
        <f>IF(V92="Sí",COUNTIFS(DATOS!G:G,CONFIG_METADATA!$B$4,DATOS!D:D,A92,DATOS!I:I,B92,DATOS!K:K,5),"")</f>
        <v>0</v>
      </c>
      <c r="Q92">
        <f>IF(V92="Sí",COUNTIFS(DATOS!G:G,CONFIG_METADATA!$B$4,DATOS!D:D,A92,DATOS!I:I,B92,DATOS!K:K,6),"")</f>
        <v>0</v>
      </c>
      <c r="R92">
        <f>IF(V92="Sí",COUNTIFS(DATOS!G:G,CONFIG_METADATA!$B$4,DATOS!D:D,A92,DATOS!I:I,B92,DATOS!K:K,7),"")</f>
        <v>0</v>
      </c>
      <c r="S92">
        <f>IF(V92="Sí",COUNTIFS(DATOS!G:G,CONFIG_METADATA!$B$4,DATOS!D:D,A92,DATOS!I:I,B92,DATOS!K:K,8),"")</f>
        <v>0</v>
      </c>
      <c r="T92">
        <f>IF(V92="Sí",COUNTIFS(DATOS!G:G,CONFIG_METADATA!$B$4,DATOS!D:D,A92,DATOS!I:I,B92,DATOS!K:K,9),"")</f>
        <v>0</v>
      </c>
      <c r="U92">
        <f>IF(V92="Sí",COUNTIFS(DATOS!G:G,CONFIG_METADATA!$B$4,DATOS!D:D,A92,DATOS!I:I,B92,DATOS!K:K,10),"")</f>
        <v>0</v>
      </c>
      <c r="V92" t="str">
        <f>IFERROR(IF(ISERROR(FIND(A92,VLOOKUP(B92,CONFIG_ASIGNATURAS!B:C,2,FALSE()))),"No","Sí"),"No")</f>
        <v>Sí</v>
      </c>
    </row>
    <row r="93" spans="1:22">
      <c r="A93" s="3" t="inlineStr">
        <is>
          <t xml:space="preserve">1EEM</t>
        </is>
      </c>
      <c r="B93" s="3" cm="1">
        <f t="array" ref="B93">IFERROR(INDEX(_xlfn._xlws.FILTER(CONFIG_ASIGNATURAS!$B$2:$B$61,(CONFIG_ASIGNATURAS!$G$2:$G$61="Sí")*ISNUMBER(SEARCH("1EEM",CONFIG_ASIGNATURAS!$C$2:$C$61))),26),"")</f>
      </c>
      <c r="C93" s="3">
        <f>IF(B93="","",IFERROR(IF(VLOOKUP(B93,CONFIG_ASIGNATURAS!$B$2:$F$61,5,FALSE())="Sí","Especialidad","Asignatura"),"Asignatura"))</f>
      </c>
      <c r="D93">
        <f>IF(V93="Sí",COUNTIFS(DATOS!G:G,CONFIG_METADATA!$B$4,DATOS!D:D,A93,DATOS!I:I,B93),"")</f>
        <v>0</v>
      </c>
      <c r="E93" s="14" t="str">
        <f>IF(V93="Sí",IFERROR(AVERAGEIFS(DATOS!K:K,DATOS!G:G,CONFIG_METADATA!$B$4,DATOS!D:D,A93,DATOS!I:I,B93),"—"),"")</f>
        <v>—</v>
      </c>
      <c r="F93" s="14" t="str" cm="1">
        <f t="array" ref="F93">IF(V93="Sí",IFERROR(_xlfn.STDEV.P(IF((DATOS!$G$2:$G$20000=CONFIG_METADATA!$B$4)*(DATOS!$D$2:$D$20000=A93)*(DATOS!$I$2:$I$20000=B93),DATOS!$K$2:$K$20000)),"—"),"")</f>
        <v>—</v>
      </c>
      <c r="G93" t="str" cm="1">
        <f t="array" ref="G93">IF(V93="Sí",IFERROR(_xlfn.MODE.SNGL(IF((DATOS!$G$2:$G$20000=CONFIG_METADATA!$B$4)*(DATOS!$D$2:$D$20000=A93)*(DATOS!$I$2:$I$20000=B93),DATOS!$K$2:$K$20000)),"—"),"")</f>
        <v>—</v>
      </c>
      <c r="H93" s="15" t="str">
        <f>IF(V93="Sí",IFERROR(COUNTIFS(DATOS!G:G,CONFIG_METADATA!$B$4,DATOS!D:D,A93,DATOS!I:I,B93,DATOS!L:L,"S")/COUNTIFS(DATOS!G:G,CONFIG_METADATA!$B$4,DATOS!D:D,A93,DATOS!I:I,B93),"—"),"")</f>
        <v>—</v>
      </c>
      <c r="I93" s="15" t="str">
        <f>IF(V93="Sí",IFERROR(COUNTIFS(DATOS!G:G,CONFIG_METADATA!$B$4,DATOS!D:D,A93,DATOS!I:I,B93,DATOS!L:L,"N")/COUNTIFS(DATOS!G:G,CONFIG_METADATA!$B$4,DATOS!D:D,A93,DATOS!I:I,B93),"—"),"")</f>
        <v>—</v>
      </c>
      <c r="J93" t="str" cm="1">
        <f t="array" ref="J93">IF(V93="Sí",IFERROR(_xlfn.MODE.SNGL(IF((DATOS!$G$2:$G$20000=CONFIG_METADATA!$B$4)*(DATOS!$D$2:$D$20000=A93)*(DATOS!$I$2:$I$20000=B93)*(DATOS!$L$2:$L$20000="S"),DATOS!$K$2:$K$20000)),"—"),"")</f>
        <v>—</v>
      </c>
      <c r="K93" t="str" cm="1">
        <f t="array" ref="K93">IF(V93="Sí",IFERROR(_xlfn.MODE.SNGL(IF((DATOS!$G$2:$G$20000=CONFIG_METADATA!$B$4)*(DATOS!$D$2:$D$20000=A93)*(DATOS!$I$2:$I$20000=B93)*(DATOS!$L$2:$L$20000="N"),DATOS!$K$2:$K$20000)),"—"),"")</f>
        <v>—</v>
      </c>
      <c r="L93">
        <f>IF(V93="Sí",COUNTIFS(DATOS!G:G,CONFIG_METADATA!$B$4,DATOS!D:D,A93,DATOS!I:I,B93,DATOS!K:K,1),"")</f>
        <v>0</v>
      </c>
      <c r="M93">
        <f>IF(V93="Sí",COUNTIFS(DATOS!G:G,CONFIG_METADATA!$B$4,DATOS!D:D,A93,DATOS!I:I,B93,DATOS!K:K,2),"")</f>
        <v>0</v>
      </c>
      <c r="N93">
        <f>IF(V93="Sí",COUNTIFS(DATOS!G:G,CONFIG_METADATA!$B$4,DATOS!D:D,A93,DATOS!I:I,B93,DATOS!K:K,3),"")</f>
        <v>0</v>
      </c>
      <c r="O93">
        <f>IF(V93="Sí",COUNTIFS(DATOS!G:G,CONFIG_METADATA!$B$4,DATOS!D:D,A93,DATOS!I:I,B93,DATOS!K:K,4),"")</f>
        <v>0</v>
      </c>
      <c r="P93">
        <f>IF(V93="Sí",COUNTIFS(DATOS!G:G,CONFIG_METADATA!$B$4,DATOS!D:D,A93,DATOS!I:I,B93,DATOS!K:K,5),"")</f>
        <v>0</v>
      </c>
      <c r="Q93">
        <f>IF(V93="Sí",COUNTIFS(DATOS!G:G,CONFIG_METADATA!$B$4,DATOS!D:D,A93,DATOS!I:I,B93,DATOS!K:K,6),"")</f>
        <v>0</v>
      </c>
      <c r="R93">
        <f>IF(V93="Sí",COUNTIFS(DATOS!G:G,CONFIG_METADATA!$B$4,DATOS!D:D,A93,DATOS!I:I,B93,DATOS!K:K,7),"")</f>
        <v>0</v>
      </c>
      <c r="S93">
        <f>IF(V93="Sí",COUNTIFS(DATOS!G:G,CONFIG_METADATA!$B$4,DATOS!D:D,A93,DATOS!I:I,B93,DATOS!K:K,8),"")</f>
        <v>0</v>
      </c>
      <c r="T93">
        <f>IF(V93="Sí",COUNTIFS(DATOS!G:G,CONFIG_METADATA!$B$4,DATOS!D:D,A93,DATOS!I:I,B93,DATOS!K:K,9),"")</f>
        <v>0</v>
      </c>
      <c r="U93">
        <f>IF(V93="Sí",COUNTIFS(DATOS!G:G,CONFIG_METADATA!$B$4,DATOS!D:D,A93,DATOS!I:I,B93,DATOS!K:K,10),"")</f>
        <v>0</v>
      </c>
      <c r="V93" t="str">
        <f>IFERROR(IF(ISERROR(FIND(A93,VLOOKUP(B93,CONFIG_ASIGNATURAS!B:C,2,FALSE()))),"No","Sí"),"No")</f>
        <v>Sí</v>
      </c>
    </row>
    <row r="94" spans="1:22">
      <c r="A94" s="3" t="inlineStr">
        <is>
          <t xml:space="preserve">1EEM</t>
        </is>
      </c>
      <c r="B94" s="3" cm="1">
        <f t="array" ref="B94">IFERROR(INDEX(_xlfn._xlws.FILTER(CONFIG_ASIGNATURAS!$B$2:$B$61,(CONFIG_ASIGNATURAS!$G$2:$G$61="Sí")*ISNUMBER(SEARCH("1EEM",CONFIG_ASIGNATURAS!$C$2:$C$61))),27),"")</f>
      </c>
      <c r="C94" s="3">
        <f>IF(B94="","",IFERROR(IF(VLOOKUP(B94,CONFIG_ASIGNATURAS!$B$2:$F$61,5,FALSE())="Sí","Especialidad","Asignatura"),"Asignatura"))</f>
      </c>
      <c r="D94">
        <f>IF(V94="Sí",COUNTIFS(DATOS!G:G,CONFIG_METADATA!$B$4,DATOS!D:D,A94,DATOS!I:I,B94),"")</f>
        <v>0</v>
      </c>
      <c r="E94" s="14" t="str">
        <f>IF(V94="Sí",IFERROR(AVERAGEIFS(DATOS!K:K,DATOS!G:G,CONFIG_METADATA!$B$4,DATOS!D:D,A94,DATOS!I:I,B94),"—"),"")</f>
        <v>—</v>
      </c>
      <c r="F94" s="14" t="str" cm="1">
        <f t="array" ref="F94">IF(V94="Sí",IFERROR(_xlfn.STDEV.P(IF((DATOS!$G$2:$G$20000=CONFIG_METADATA!$B$4)*(DATOS!$D$2:$D$20000=A94)*(DATOS!$I$2:$I$20000=B94),DATOS!$K$2:$K$20000)),"—"),"")</f>
        <v>—</v>
      </c>
      <c r="G94" t="str" cm="1">
        <f t="array" ref="G94">IF(V94="Sí",IFERROR(_xlfn.MODE.SNGL(IF((DATOS!$G$2:$G$20000=CONFIG_METADATA!$B$4)*(DATOS!$D$2:$D$20000=A94)*(DATOS!$I$2:$I$20000=B94),DATOS!$K$2:$K$20000)),"—"),"")</f>
        <v>—</v>
      </c>
      <c r="H94" s="15" t="str">
        <f>IF(V94="Sí",IFERROR(COUNTIFS(DATOS!G:G,CONFIG_METADATA!$B$4,DATOS!D:D,A94,DATOS!I:I,B94,DATOS!L:L,"S")/COUNTIFS(DATOS!G:G,CONFIG_METADATA!$B$4,DATOS!D:D,A94,DATOS!I:I,B94),"—"),"")</f>
        <v>—</v>
      </c>
      <c r="I94" s="15" t="str">
        <f>IF(V94="Sí",IFERROR(COUNTIFS(DATOS!G:G,CONFIG_METADATA!$B$4,DATOS!D:D,A94,DATOS!I:I,B94,DATOS!L:L,"N")/COUNTIFS(DATOS!G:G,CONFIG_METADATA!$B$4,DATOS!D:D,A94,DATOS!I:I,B94),"—"),"")</f>
        <v>—</v>
      </c>
      <c r="J94" t="str" cm="1">
        <f t="array" ref="J94">IF(V94="Sí",IFERROR(_xlfn.MODE.SNGL(IF((DATOS!$G$2:$G$20000=CONFIG_METADATA!$B$4)*(DATOS!$D$2:$D$20000=A94)*(DATOS!$I$2:$I$20000=B94)*(DATOS!$L$2:$L$20000="S"),DATOS!$K$2:$K$20000)),"—"),"")</f>
        <v>—</v>
      </c>
      <c r="K94" t="str" cm="1">
        <f t="array" ref="K94">IF(V94="Sí",IFERROR(_xlfn.MODE.SNGL(IF((DATOS!$G$2:$G$20000=CONFIG_METADATA!$B$4)*(DATOS!$D$2:$D$20000=A94)*(DATOS!$I$2:$I$20000=B94)*(DATOS!$L$2:$L$20000="N"),DATOS!$K$2:$K$20000)),"—"),"")</f>
        <v>—</v>
      </c>
      <c r="L94">
        <f>IF(V94="Sí",COUNTIFS(DATOS!G:G,CONFIG_METADATA!$B$4,DATOS!D:D,A94,DATOS!I:I,B94,DATOS!K:K,1),"")</f>
        <v>0</v>
      </c>
      <c r="M94">
        <f>IF(V94="Sí",COUNTIFS(DATOS!G:G,CONFIG_METADATA!$B$4,DATOS!D:D,A94,DATOS!I:I,B94,DATOS!K:K,2),"")</f>
        <v>0</v>
      </c>
      <c r="N94">
        <f>IF(V94="Sí",COUNTIFS(DATOS!G:G,CONFIG_METADATA!$B$4,DATOS!D:D,A94,DATOS!I:I,B94,DATOS!K:K,3),"")</f>
        <v>0</v>
      </c>
      <c r="O94">
        <f>IF(V94="Sí",COUNTIFS(DATOS!G:G,CONFIG_METADATA!$B$4,DATOS!D:D,A94,DATOS!I:I,B94,DATOS!K:K,4),"")</f>
        <v>0</v>
      </c>
      <c r="P94">
        <f>IF(V94="Sí",COUNTIFS(DATOS!G:G,CONFIG_METADATA!$B$4,DATOS!D:D,A94,DATOS!I:I,B94,DATOS!K:K,5),"")</f>
        <v>0</v>
      </c>
      <c r="Q94">
        <f>IF(V94="Sí",COUNTIFS(DATOS!G:G,CONFIG_METADATA!$B$4,DATOS!D:D,A94,DATOS!I:I,B94,DATOS!K:K,6),"")</f>
        <v>0</v>
      </c>
      <c r="R94">
        <f>IF(V94="Sí",COUNTIFS(DATOS!G:G,CONFIG_METADATA!$B$4,DATOS!D:D,A94,DATOS!I:I,B94,DATOS!K:K,7),"")</f>
        <v>0</v>
      </c>
      <c r="S94">
        <f>IF(V94="Sí",COUNTIFS(DATOS!G:G,CONFIG_METADATA!$B$4,DATOS!D:D,A94,DATOS!I:I,B94,DATOS!K:K,8),"")</f>
        <v>0</v>
      </c>
      <c r="T94">
        <f>IF(V94="Sí",COUNTIFS(DATOS!G:G,CONFIG_METADATA!$B$4,DATOS!D:D,A94,DATOS!I:I,B94,DATOS!K:K,9),"")</f>
        <v>0</v>
      </c>
      <c r="U94">
        <f>IF(V94="Sí",COUNTIFS(DATOS!G:G,CONFIG_METADATA!$B$4,DATOS!D:D,A94,DATOS!I:I,B94,DATOS!K:K,10),"")</f>
        <v>0</v>
      </c>
      <c r="V94" t="str">
        <f>IFERROR(IF(ISERROR(FIND(A94,VLOOKUP(B94,CONFIG_ASIGNATURAS!B:C,2,FALSE()))),"No","Sí"),"No")</f>
        <v>Sí</v>
      </c>
    </row>
    <row r="95" spans="1:22">
      <c r="A95" s="3" t="inlineStr">
        <is>
          <t xml:space="preserve">1EEM</t>
        </is>
      </c>
      <c r="B95" s="3" cm="1">
        <f t="array" ref="B95">IFERROR(INDEX(_xlfn._xlws.FILTER(CONFIG_ASIGNATURAS!$B$2:$B$61,(CONFIG_ASIGNATURAS!$G$2:$G$61="Sí")*ISNUMBER(SEARCH("1EEM",CONFIG_ASIGNATURAS!$C$2:$C$61))),28),"")</f>
      </c>
      <c r="C95" s="3">
        <f>IF(B95="","",IFERROR(IF(VLOOKUP(B95,CONFIG_ASIGNATURAS!$B$2:$F$61,5,FALSE())="Sí","Especialidad","Asignatura"),"Asignatura"))</f>
      </c>
      <c r="D95">
        <f>IF(V95="Sí",COUNTIFS(DATOS!G:G,CONFIG_METADATA!$B$4,DATOS!D:D,A95,DATOS!I:I,B95),"")</f>
        <v>0</v>
      </c>
      <c r="E95" s="14" t="str">
        <f>IF(V95="Sí",IFERROR(AVERAGEIFS(DATOS!K:K,DATOS!G:G,CONFIG_METADATA!$B$4,DATOS!D:D,A95,DATOS!I:I,B95),"—"),"")</f>
        <v>—</v>
      </c>
      <c r="F95" s="14" t="str" cm="1">
        <f t="array" ref="F95">IF(V95="Sí",IFERROR(_xlfn.STDEV.P(IF((DATOS!$G$2:$G$20000=CONFIG_METADATA!$B$4)*(DATOS!$D$2:$D$20000=A95)*(DATOS!$I$2:$I$20000=B95),DATOS!$K$2:$K$20000)),"—"),"")</f>
        <v>—</v>
      </c>
      <c r="G95" t="str" cm="1">
        <f t="array" ref="G95">IF(V95="Sí",IFERROR(_xlfn.MODE.SNGL(IF((DATOS!$G$2:$G$20000=CONFIG_METADATA!$B$4)*(DATOS!$D$2:$D$20000=A95)*(DATOS!$I$2:$I$20000=B95),DATOS!$K$2:$K$20000)),"—"),"")</f>
        <v>—</v>
      </c>
      <c r="H95" s="15" t="str">
        <f>IF(V95="Sí",IFERROR(COUNTIFS(DATOS!G:G,CONFIG_METADATA!$B$4,DATOS!D:D,A95,DATOS!I:I,B95,DATOS!L:L,"S")/COUNTIFS(DATOS!G:G,CONFIG_METADATA!$B$4,DATOS!D:D,A95,DATOS!I:I,B95),"—"),"")</f>
        <v>—</v>
      </c>
      <c r="I95" s="15" t="str">
        <f>IF(V95="Sí",IFERROR(COUNTIFS(DATOS!G:G,CONFIG_METADATA!$B$4,DATOS!D:D,A95,DATOS!I:I,B95,DATOS!L:L,"N")/COUNTIFS(DATOS!G:G,CONFIG_METADATA!$B$4,DATOS!D:D,A95,DATOS!I:I,B95),"—"),"")</f>
        <v>—</v>
      </c>
      <c r="J95" t="str" cm="1">
        <f t="array" ref="J95">IF(V95="Sí",IFERROR(_xlfn.MODE.SNGL(IF((DATOS!$G$2:$G$20000=CONFIG_METADATA!$B$4)*(DATOS!$D$2:$D$20000=A95)*(DATOS!$I$2:$I$20000=B95)*(DATOS!$L$2:$L$20000="S"),DATOS!$K$2:$K$20000)),"—"),"")</f>
        <v>—</v>
      </c>
      <c r="K95" t="str" cm="1">
        <f t="array" ref="K95">IF(V95="Sí",IFERROR(_xlfn.MODE.SNGL(IF((DATOS!$G$2:$G$20000=CONFIG_METADATA!$B$4)*(DATOS!$D$2:$D$20000=A95)*(DATOS!$I$2:$I$20000=B95)*(DATOS!$L$2:$L$20000="N"),DATOS!$K$2:$K$20000)),"—"),"")</f>
        <v>—</v>
      </c>
      <c r="L95">
        <f>IF(V95="Sí",COUNTIFS(DATOS!G:G,CONFIG_METADATA!$B$4,DATOS!D:D,A95,DATOS!I:I,B95,DATOS!K:K,1),"")</f>
        <v>0</v>
      </c>
      <c r="M95">
        <f>IF(V95="Sí",COUNTIFS(DATOS!G:G,CONFIG_METADATA!$B$4,DATOS!D:D,A95,DATOS!I:I,B95,DATOS!K:K,2),"")</f>
        <v>0</v>
      </c>
      <c r="N95">
        <f>IF(V95="Sí",COUNTIFS(DATOS!G:G,CONFIG_METADATA!$B$4,DATOS!D:D,A95,DATOS!I:I,B95,DATOS!K:K,3),"")</f>
        <v>0</v>
      </c>
      <c r="O95">
        <f>IF(V95="Sí",COUNTIFS(DATOS!G:G,CONFIG_METADATA!$B$4,DATOS!D:D,A95,DATOS!I:I,B95,DATOS!K:K,4),"")</f>
        <v>0</v>
      </c>
      <c r="P95">
        <f>IF(V95="Sí",COUNTIFS(DATOS!G:G,CONFIG_METADATA!$B$4,DATOS!D:D,A95,DATOS!I:I,B95,DATOS!K:K,5),"")</f>
        <v>0</v>
      </c>
      <c r="Q95">
        <f>IF(V95="Sí",COUNTIFS(DATOS!G:G,CONFIG_METADATA!$B$4,DATOS!D:D,A95,DATOS!I:I,B95,DATOS!K:K,6),"")</f>
        <v>0</v>
      </c>
      <c r="R95">
        <f>IF(V95="Sí",COUNTIFS(DATOS!G:G,CONFIG_METADATA!$B$4,DATOS!D:D,A95,DATOS!I:I,B95,DATOS!K:K,7),"")</f>
        <v>0</v>
      </c>
      <c r="S95">
        <f>IF(V95="Sí",COUNTIFS(DATOS!G:G,CONFIG_METADATA!$B$4,DATOS!D:D,A95,DATOS!I:I,B95,DATOS!K:K,8),"")</f>
        <v>0</v>
      </c>
      <c r="T95">
        <f>IF(V95="Sí",COUNTIFS(DATOS!G:G,CONFIG_METADATA!$B$4,DATOS!D:D,A95,DATOS!I:I,B95,DATOS!K:K,9),"")</f>
        <v>0</v>
      </c>
      <c r="U95">
        <f>IF(V95="Sí",COUNTIFS(DATOS!G:G,CONFIG_METADATA!$B$4,DATOS!D:D,A95,DATOS!I:I,B95,DATOS!K:K,10),"")</f>
        <v>0</v>
      </c>
      <c r="V95" t="str">
        <f>IFERROR(IF(ISERROR(FIND(A95,VLOOKUP(B95,CONFIG_ASIGNATURAS!B:C,2,FALSE()))),"No","Sí"),"No")</f>
        <v>Sí</v>
      </c>
    </row>
    <row r="96" spans="1:22">
      <c r="A96" s="3" t="inlineStr">
        <is>
          <t xml:space="preserve">1EEM</t>
        </is>
      </c>
      <c r="B96" s="3" cm="1">
        <f t="array" ref="B96">IFERROR(INDEX(_xlfn._xlws.FILTER(CONFIG_ASIGNATURAS!$B$2:$B$61,(CONFIG_ASIGNATURAS!$G$2:$G$61="Sí")*ISNUMBER(SEARCH("1EEM",CONFIG_ASIGNATURAS!$C$2:$C$61))),29),"")</f>
      </c>
      <c r="C96" s="3">
        <f>IF(B96="","",IFERROR(IF(VLOOKUP(B96,CONFIG_ASIGNATURAS!$B$2:$F$61,5,FALSE())="Sí","Especialidad","Asignatura"),"Asignatura"))</f>
      </c>
      <c r="D96">
        <f>IF(V96="Sí",COUNTIFS(DATOS!G:G,CONFIG_METADATA!$B$4,DATOS!D:D,A96,DATOS!I:I,B96),"")</f>
        <v>0</v>
      </c>
      <c r="E96" s="14" t="str">
        <f>IF(V96="Sí",IFERROR(AVERAGEIFS(DATOS!K:K,DATOS!G:G,CONFIG_METADATA!$B$4,DATOS!D:D,A96,DATOS!I:I,B96),"—"),"")</f>
        <v>—</v>
      </c>
      <c r="F96" s="14" t="str" cm="1">
        <f t="array" ref="F96">IF(V96="Sí",IFERROR(_xlfn.STDEV.P(IF((DATOS!$G$2:$G$20000=CONFIG_METADATA!$B$4)*(DATOS!$D$2:$D$20000=A96)*(DATOS!$I$2:$I$20000=B96),DATOS!$K$2:$K$20000)),"—"),"")</f>
        <v>—</v>
      </c>
      <c r="G96" t="str" cm="1">
        <f t="array" ref="G96">IF(V96="Sí",IFERROR(_xlfn.MODE.SNGL(IF((DATOS!$G$2:$G$20000=CONFIG_METADATA!$B$4)*(DATOS!$D$2:$D$20000=A96)*(DATOS!$I$2:$I$20000=B96),DATOS!$K$2:$K$20000)),"—"),"")</f>
        <v>—</v>
      </c>
      <c r="H96" s="15" t="str">
        <f>IF(V96="Sí",IFERROR(COUNTIFS(DATOS!G:G,CONFIG_METADATA!$B$4,DATOS!D:D,A96,DATOS!I:I,B96,DATOS!L:L,"S")/COUNTIFS(DATOS!G:G,CONFIG_METADATA!$B$4,DATOS!D:D,A96,DATOS!I:I,B96),"—"),"")</f>
        <v>—</v>
      </c>
      <c r="I96" s="15" t="str">
        <f>IF(V96="Sí",IFERROR(COUNTIFS(DATOS!G:G,CONFIG_METADATA!$B$4,DATOS!D:D,A96,DATOS!I:I,B96,DATOS!L:L,"N")/COUNTIFS(DATOS!G:G,CONFIG_METADATA!$B$4,DATOS!D:D,A96,DATOS!I:I,B96),"—"),"")</f>
        <v>—</v>
      </c>
      <c r="J96" t="str" cm="1">
        <f t="array" ref="J96">IF(V96="Sí",IFERROR(_xlfn.MODE.SNGL(IF((DATOS!$G$2:$G$20000=CONFIG_METADATA!$B$4)*(DATOS!$D$2:$D$20000=A96)*(DATOS!$I$2:$I$20000=B96)*(DATOS!$L$2:$L$20000="S"),DATOS!$K$2:$K$20000)),"—"),"")</f>
        <v>—</v>
      </c>
      <c r="K96" t="str" cm="1">
        <f t="array" ref="K96">IF(V96="Sí",IFERROR(_xlfn.MODE.SNGL(IF((DATOS!$G$2:$G$20000=CONFIG_METADATA!$B$4)*(DATOS!$D$2:$D$20000=A96)*(DATOS!$I$2:$I$20000=B96)*(DATOS!$L$2:$L$20000="N"),DATOS!$K$2:$K$20000)),"—"),"")</f>
        <v>—</v>
      </c>
      <c r="L96">
        <f>IF(V96="Sí",COUNTIFS(DATOS!G:G,CONFIG_METADATA!$B$4,DATOS!D:D,A96,DATOS!I:I,B96,DATOS!K:K,1),"")</f>
        <v>0</v>
      </c>
      <c r="M96">
        <f>IF(V96="Sí",COUNTIFS(DATOS!G:G,CONFIG_METADATA!$B$4,DATOS!D:D,A96,DATOS!I:I,B96,DATOS!K:K,2),"")</f>
        <v>0</v>
      </c>
      <c r="N96">
        <f>IF(V96="Sí",COUNTIFS(DATOS!G:G,CONFIG_METADATA!$B$4,DATOS!D:D,A96,DATOS!I:I,B96,DATOS!K:K,3),"")</f>
        <v>0</v>
      </c>
      <c r="O96">
        <f>IF(V96="Sí",COUNTIFS(DATOS!G:G,CONFIG_METADATA!$B$4,DATOS!D:D,A96,DATOS!I:I,B96,DATOS!K:K,4),"")</f>
        <v>0</v>
      </c>
      <c r="P96">
        <f>IF(V96="Sí",COUNTIFS(DATOS!G:G,CONFIG_METADATA!$B$4,DATOS!D:D,A96,DATOS!I:I,B96,DATOS!K:K,5),"")</f>
        <v>0</v>
      </c>
      <c r="Q96">
        <f>IF(V96="Sí",COUNTIFS(DATOS!G:G,CONFIG_METADATA!$B$4,DATOS!D:D,A96,DATOS!I:I,B96,DATOS!K:K,6),"")</f>
        <v>0</v>
      </c>
      <c r="R96">
        <f>IF(V96="Sí",COUNTIFS(DATOS!G:G,CONFIG_METADATA!$B$4,DATOS!D:D,A96,DATOS!I:I,B96,DATOS!K:K,7),"")</f>
        <v>0</v>
      </c>
      <c r="S96">
        <f>IF(V96="Sí",COUNTIFS(DATOS!G:G,CONFIG_METADATA!$B$4,DATOS!D:D,A96,DATOS!I:I,B96,DATOS!K:K,8),"")</f>
        <v>0</v>
      </c>
      <c r="T96">
        <f>IF(V96="Sí",COUNTIFS(DATOS!G:G,CONFIG_METADATA!$B$4,DATOS!D:D,A96,DATOS!I:I,B96,DATOS!K:K,9),"")</f>
        <v>0</v>
      </c>
      <c r="U96">
        <f>IF(V96="Sí",COUNTIFS(DATOS!G:G,CONFIG_METADATA!$B$4,DATOS!D:D,A96,DATOS!I:I,B96,DATOS!K:K,10),"")</f>
        <v>0</v>
      </c>
      <c r="V96" t="str">
        <f>IFERROR(IF(ISERROR(FIND(A96,VLOOKUP(B96,CONFIG_ASIGNATURAS!B:C,2,FALSE()))),"No","Sí"),"No")</f>
        <v>Sí</v>
      </c>
    </row>
    <row r="97" spans="1:22">
      <c r="A97" s="3" t="inlineStr">
        <is>
          <t xml:space="preserve">1EEM</t>
        </is>
      </c>
      <c r="B97" s="3" cm="1">
        <f t="array" ref="B97">IFERROR(INDEX(_xlfn._xlws.FILTER(CONFIG_ASIGNATURAS!$B$2:$B$61,(CONFIG_ASIGNATURAS!$G$2:$G$61="Sí")*ISNUMBER(SEARCH("1EEM",CONFIG_ASIGNATURAS!$C$2:$C$61))),30),"")</f>
      </c>
      <c r="C97" s="3">
        <f>IF(B97="","",IFERROR(IF(VLOOKUP(B97,CONFIG_ASIGNATURAS!$B$2:$F$61,5,FALSE())="Sí","Especialidad","Asignatura"),"Asignatura"))</f>
      </c>
      <c r="D97">
        <f>IF(V97="Sí",COUNTIFS(DATOS!G:G,CONFIG_METADATA!$B$4,DATOS!D:D,A97,DATOS!I:I,B97),"")</f>
        <v>0</v>
      </c>
      <c r="E97" s="14" t="str">
        <f>IF(V97="Sí",IFERROR(AVERAGEIFS(DATOS!K:K,DATOS!G:G,CONFIG_METADATA!$B$4,DATOS!D:D,A97,DATOS!I:I,B97),"—"),"")</f>
        <v>—</v>
      </c>
      <c r="F97" s="14" t="str" cm="1">
        <f t="array" ref="F97">IF(V97="Sí",IFERROR(_xlfn.STDEV.P(IF((DATOS!$G$2:$G$20000=CONFIG_METADATA!$B$4)*(DATOS!$D$2:$D$20000=A97)*(DATOS!$I$2:$I$20000=B97),DATOS!$K$2:$K$20000)),"—"),"")</f>
        <v>—</v>
      </c>
      <c r="G97" t="str" cm="1">
        <f t="array" ref="G97">IF(V97="Sí",IFERROR(_xlfn.MODE.SNGL(IF((DATOS!$G$2:$G$20000=CONFIG_METADATA!$B$4)*(DATOS!$D$2:$D$20000=A97)*(DATOS!$I$2:$I$20000=B97),DATOS!$K$2:$K$20000)),"—"),"")</f>
        <v>—</v>
      </c>
      <c r="H97" s="15" t="str">
        <f>IF(V97="Sí",IFERROR(COUNTIFS(DATOS!G:G,CONFIG_METADATA!$B$4,DATOS!D:D,A97,DATOS!I:I,B97,DATOS!L:L,"S")/COUNTIFS(DATOS!G:G,CONFIG_METADATA!$B$4,DATOS!D:D,A97,DATOS!I:I,B97),"—"),"")</f>
        <v>—</v>
      </c>
      <c r="I97" s="15" t="str">
        <f>IF(V97="Sí",IFERROR(COUNTIFS(DATOS!G:G,CONFIG_METADATA!$B$4,DATOS!D:D,A97,DATOS!I:I,B97,DATOS!L:L,"N")/COUNTIFS(DATOS!G:G,CONFIG_METADATA!$B$4,DATOS!D:D,A97,DATOS!I:I,B97),"—"),"")</f>
        <v>—</v>
      </c>
      <c r="J97" t="str" cm="1">
        <f t="array" ref="J97">IF(V97="Sí",IFERROR(_xlfn.MODE.SNGL(IF((DATOS!$G$2:$G$20000=CONFIG_METADATA!$B$4)*(DATOS!$D$2:$D$20000=A97)*(DATOS!$I$2:$I$20000=B97)*(DATOS!$L$2:$L$20000="S"),DATOS!$K$2:$K$20000)),"—"),"")</f>
        <v>—</v>
      </c>
      <c r="K97" t="str" cm="1">
        <f t="array" ref="K97">IF(V97="Sí",IFERROR(_xlfn.MODE.SNGL(IF((DATOS!$G$2:$G$20000=CONFIG_METADATA!$B$4)*(DATOS!$D$2:$D$20000=A97)*(DATOS!$I$2:$I$20000=B97)*(DATOS!$L$2:$L$20000="N"),DATOS!$K$2:$K$20000)),"—"),"")</f>
        <v>—</v>
      </c>
      <c r="L97">
        <f>IF(V97="Sí",COUNTIFS(DATOS!G:G,CONFIG_METADATA!$B$4,DATOS!D:D,A97,DATOS!I:I,B97,DATOS!K:K,1),"")</f>
        <v>0</v>
      </c>
      <c r="M97">
        <f>IF(V97="Sí",COUNTIFS(DATOS!G:G,CONFIG_METADATA!$B$4,DATOS!D:D,A97,DATOS!I:I,B97,DATOS!K:K,2),"")</f>
        <v>0</v>
      </c>
      <c r="N97">
        <f>IF(V97="Sí",COUNTIFS(DATOS!G:G,CONFIG_METADATA!$B$4,DATOS!D:D,A97,DATOS!I:I,B97,DATOS!K:K,3),"")</f>
        <v>0</v>
      </c>
      <c r="O97">
        <f>IF(V97="Sí",COUNTIFS(DATOS!G:G,CONFIG_METADATA!$B$4,DATOS!D:D,A97,DATOS!I:I,B97,DATOS!K:K,4),"")</f>
        <v>0</v>
      </c>
      <c r="P97">
        <f>IF(V97="Sí",COUNTIFS(DATOS!G:G,CONFIG_METADATA!$B$4,DATOS!D:D,A97,DATOS!I:I,B97,DATOS!K:K,5),"")</f>
        <v>0</v>
      </c>
      <c r="Q97">
        <f>IF(V97="Sí",COUNTIFS(DATOS!G:G,CONFIG_METADATA!$B$4,DATOS!D:D,A97,DATOS!I:I,B97,DATOS!K:K,6),"")</f>
        <v>0</v>
      </c>
      <c r="R97">
        <f>IF(V97="Sí",COUNTIFS(DATOS!G:G,CONFIG_METADATA!$B$4,DATOS!D:D,A97,DATOS!I:I,B97,DATOS!K:K,7),"")</f>
        <v>0</v>
      </c>
      <c r="S97">
        <f>IF(V97="Sí",COUNTIFS(DATOS!G:G,CONFIG_METADATA!$B$4,DATOS!D:D,A97,DATOS!I:I,B97,DATOS!K:K,8),"")</f>
        <v>0</v>
      </c>
      <c r="T97">
        <f>IF(V97="Sí",COUNTIFS(DATOS!G:G,CONFIG_METADATA!$B$4,DATOS!D:D,A97,DATOS!I:I,B97,DATOS!K:K,9),"")</f>
        <v>0</v>
      </c>
      <c r="U97">
        <f>IF(V97="Sí",COUNTIFS(DATOS!G:G,CONFIG_METADATA!$B$4,DATOS!D:D,A97,DATOS!I:I,B97,DATOS!K:K,10),"")</f>
        <v>0</v>
      </c>
      <c r="V97" t="str">
        <f>IFERROR(IF(ISERROR(FIND(A97,VLOOKUP(B97,CONFIG_ASIGNATURAS!B:C,2,FALSE()))),"No","Sí"),"No")</f>
        <v>Sí</v>
      </c>
    </row>
    <row r="98" spans="1:22">
      <c r="A98" s="3" t="inlineStr">
        <is>
          <t xml:space="preserve">1EEM</t>
        </is>
      </c>
      <c r="B98" s="3" cm="1">
        <f t="array" ref="B98">IFERROR(INDEX(_xlfn._xlws.FILTER(CONFIG_ASIGNATURAS!$B$2:$B$61,(CONFIG_ASIGNATURAS!$G$2:$G$61="Sí")*ISNUMBER(SEARCH("1EEM",CONFIG_ASIGNATURAS!$C$2:$C$61))),31),"")</f>
      </c>
      <c r="C98" s="3">
        <f>IF(B98="","",IFERROR(IF(VLOOKUP(B98,CONFIG_ASIGNATURAS!$B$2:$F$61,5,FALSE())="Sí","Especialidad","Asignatura"),"Asignatura"))</f>
      </c>
      <c r="D98">
        <f>IF(V98="Sí",COUNTIFS(DATOS!G:G,CONFIG_METADATA!$B$4,DATOS!D:D,A98,DATOS!I:I,B98),"")</f>
        <v>0</v>
      </c>
      <c r="E98" s="14" t="str">
        <f>IF(V98="Sí",IFERROR(AVERAGEIFS(DATOS!K:K,DATOS!G:G,CONFIG_METADATA!$B$4,DATOS!D:D,A98,DATOS!I:I,B98),"—"),"")</f>
        <v>—</v>
      </c>
      <c r="F98" s="14" t="str" cm="1">
        <f t="array" ref="F98">IF(V98="Sí",IFERROR(_xlfn.STDEV.P(IF((DATOS!$G$2:$G$20000=CONFIG_METADATA!$B$4)*(DATOS!$D$2:$D$20000=A98)*(DATOS!$I$2:$I$20000=B98),DATOS!$K$2:$K$20000)),"—"),"")</f>
        <v>—</v>
      </c>
      <c r="G98" t="str" cm="1">
        <f t="array" ref="G98">IF(V98="Sí",IFERROR(_xlfn.MODE.SNGL(IF((DATOS!$G$2:$G$20000=CONFIG_METADATA!$B$4)*(DATOS!$D$2:$D$20000=A98)*(DATOS!$I$2:$I$20000=B98),DATOS!$K$2:$K$20000)),"—"),"")</f>
        <v>—</v>
      </c>
      <c r="H98" s="15" t="str">
        <f>IF(V98="Sí",IFERROR(COUNTIFS(DATOS!G:G,CONFIG_METADATA!$B$4,DATOS!D:D,A98,DATOS!I:I,B98,DATOS!L:L,"S")/COUNTIFS(DATOS!G:G,CONFIG_METADATA!$B$4,DATOS!D:D,A98,DATOS!I:I,B98),"—"),"")</f>
        <v>—</v>
      </c>
      <c r="I98" s="15" t="str">
        <f>IF(V98="Sí",IFERROR(COUNTIFS(DATOS!G:G,CONFIG_METADATA!$B$4,DATOS!D:D,A98,DATOS!I:I,B98,DATOS!L:L,"N")/COUNTIFS(DATOS!G:G,CONFIG_METADATA!$B$4,DATOS!D:D,A98,DATOS!I:I,B98),"—"),"")</f>
        <v>—</v>
      </c>
      <c r="J98" t="str" cm="1">
        <f t="array" ref="J98">IF(V98="Sí",IFERROR(_xlfn.MODE.SNGL(IF((DATOS!$G$2:$G$20000=CONFIG_METADATA!$B$4)*(DATOS!$D$2:$D$20000=A98)*(DATOS!$I$2:$I$20000=B98)*(DATOS!$L$2:$L$20000="S"),DATOS!$K$2:$K$20000)),"—"),"")</f>
        <v>—</v>
      </c>
      <c r="K98" t="str" cm="1">
        <f t="array" ref="K98">IF(V98="Sí",IFERROR(_xlfn.MODE.SNGL(IF((DATOS!$G$2:$G$20000=CONFIG_METADATA!$B$4)*(DATOS!$D$2:$D$20000=A98)*(DATOS!$I$2:$I$20000=B98)*(DATOS!$L$2:$L$20000="N"),DATOS!$K$2:$K$20000)),"—"),"")</f>
        <v>—</v>
      </c>
      <c r="L98">
        <f>IF(V98="Sí",COUNTIFS(DATOS!G:G,CONFIG_METADATA!$B$4,DATOS!D:D,A98,DATOS!I:I,B98,DATOS!K:K,1),"")</f>
        <v>0</v>
      </c>
      <c r="M98">
        <f>IF(V98="Sí",COUNTIFS(DATOS!G:G,CONFIG_METADATA!$B$4,DATOS!D:D,A98,DATOS!I:I,B98,DATOS!K:K,2),"")</f>
        <v>0</v>
      </c>
      <c r="N98">
        <f>IF(V98="Sí",COUNTIFS(DATOS!G:G,CONFIG_METADATA!$B$4,DATOS!D:D,A98,DATOS!I:I,B98,DATOS!K:K,3),"")</f>
        <v>0</v>
      </c>
      <c r="O98">
        <f>IF(V98="Sí",COUNTIFS(DATOS!G:G,CONFIG_METADATA!$B$4,DATOS!D:D,A98,DATOS!I:I,B98,DATOS!K:K,4),"")</f>
        <v>0</v>
      </c>
      <c r="P98">
        <f>IF(V98="Sí",COUNTIFS(DATOS!G:G,CONFIG_METADATA!$B$4,DATOS!D:D,A98,DATOS!I:I,B98,DATOS!K:K,5),"")</f>
        <v>0</v>
      </c>
      <c r="Q98">
        <f>IF(V98="Sí",COUNTIFS(DATOS!G:G,CONFIG_METADATA!$B$4,DATOS!D:D,A98,DATOS!I:I,B98,DATOS!K:K,6),"")</f>
        <v>0</v>
      </c>
      <c r="R98">
        <f>IF(V98="Sí",COUNTIFS(DATOS!G:G,CONFIG_METADATA!$B$4,DATOS!D:D,A98,DATOS!I:I,B98,DATOS!K:K,7),"")</f>
        <v>0</v>
      </c>
      <c r="S98">
        <f>IF(V98="Sí",COUNTIFS(DATOS!G:G,CONFIG_METADATA!$B$4,DATOS!D:D,A98,DATOS!I:I,B98,DATOS!K:K,8),"")</f>
        <v>0</v>
      </c>
      <c r="T98">
        <f>IF(V98="Sí",COUNTIFS(DATOS!G:G,CONFIG_METADATA!$B$4,DATOS!D:D,A98,DATOS!I:I,B98,DATOS!K:K,9),"")</f>
        <v>0</v>
      </c>
      <c r="U98">
        <f>IF(V98="Sí",COUNTIFS(DATOS!G:G,CONFIG_METADATA!$B$4,DATOS!D:D,A98,DATOS!I:I,B98,DATOS!K:K,10),"")</f>
        <v>0</v>
      </c>
      <c r="V98" t="str">
        <f>IFERROR(IF(ISERROR(FIND(A98,VLOOKUP(B98,CONFIG_ASIGNATURAS!B:C,2,FALSE()))),"No","Sí"),"No")</f>
        <v>Sí</v>
      </c>
    </row>
    <row r="99" spans="1:22">
      <c r="A99" s="3" t="inlineStr">
        <is>
          <t xml:space="preserve">1EEM</t>
        </is>
      </c>
      <c r="B99" s="3" cm="1">
        <f t="array" ref="B99">IFERROR(INDEX(_xlfn._xlws.FILTER(CONFIG_ASIGNATURAS!$B$2:$B$61,(CONFIG_ASIGNATURAS!$G$2:$G$61="Sí")*ISNUMBER(SEARCH("1EEM",CONFIG_ASIGNATURAS!$C$2:$C$61))),32),"")</f>
      </c>
      <c r="C99" s="3">
        <f>IF(B99="","",IFERROR(IF(VLOOKUP(B99,CONFIG_ASIGNATURAS!$B$2:$F$61,5,FALSE())="Sí","Especialidad","Asignatura"),"Asignatura"))</f>
      </c>
      <c r="D99">
        <f>IF(V99="Sí",COUNTIFS(DATOS!G:G,CONFIG_METADATA!$B$4,DATOS!D:D,A99,DATOS!I:I,B99),"")</f>
        <v>0</v>
      </c>
      <c r="E99" s="14" t="str">
        <f>IF(V99="Sí",IFERROR(AVERAGEIFS(DATOS!K:K,DATOS!G:G,CONFIG_METADATA!$B$4,DATOS!D:D,A99,DATOS!I:I,B99),"—"),"")</f>
        <v>—</v>
      </c>
      <c r="F99" s="14" t="str" cm="1">
        <f t="array" ref="F99">IF(V99="Sí",IFERROR(_xlfn.STDEV.P(IF((DATOS!$G$2:$G$20000=CONFIG_METADATA!$B$4)*(DATOS!$D$2:$D$20000=A99)*(DATOS!$I$2:$I$20000=B99),DATOS!$K$2:$K$20000)),"—"),"")</f>
        <v>—</v>
      </c>
      <c r="G99" t="str" cm="1">
        <f t="array" ref="G99">IF(V99="Sí",IFERROR(_xlfn.MODE.SNGL(IF((DATOS!$G$2:$G$20000=CONFIG_METADATA!$B$4)*(DATOS!$D$2:$D$20000=A99)*(DATOS!$I$2:$I$20000=B99),DATOS!$K$2:$K$20000)),"—"),"")</f>
        <v>—</v>
      </c>
      <c r="H99" s="15" t="str">
        <f>IF(V99="Sí",IFERROR(COUNTIFS(DATOS!G:G,CONFIG_METADATA!$B$4,DATOS!D:D,A99,DATOS!I:I,B99,DATOS!L:L,"S")/COUNTIFS(DATOS!G:G,CONFIG_METADATA!$B$4,DATOS!D:D,A99,DATOS!I:I,B99),"—"),"")</f>
        <v>—</v>
      </c>
      <c r="I99" s="15" t="str">
        <f>IF(V99="Sí",IFERROR(COUNTIFS(DATOS!G:G,CONFIG_METADATA!$B$4,DATOS!D:D,A99,DATOS!I:I,B99,DATOS!L:L,"N")/COUNTIFS(DATOS!G:G,CONFIG_METADATA!$B$4,DATOS!D:D,A99,DATOS!I:I,B99),"—"),"")</f>
        <v>—</v>
      </c>
      <c r="J99" t="str" cm="1">
        <f t="array" ref="J99">IF(V99="Sí",IFERROR(_xlfn.MODE.SNGL(IF((DATOS!$G$2:$G$20000=CONFIG_METADATA!$B$4)*(DATOS!$D$2:$D$20000=A99)*(DATOS!$I$2:$I$20000=B99)*(DATOS!$L$2:$L$20000="S"),DATOS!$K$2:$K$20000)),"—"),"")</f>
        <v>—</v>
      </c>
      <c r="K99" t="str" cm="1">
        <f t="array" ref="K99">IF(V99="Sí",IFERROR(_xlfn.MODE.SNGL(IF((DATOS!$G$2:$G$20000=CONFIG_METADATA!$B$4)*(DATOS!$D$2:$D$20000=A99)*(DATOS!$I$2:$I$20000=B99)*(DATOS!$L$2:$L$20000="N"),DATOS!$K$2:$K$20000)),"—"),"")</f>
        <v>—</v>
      </c>
      <c r="L99">
        <f>IF(V99="Sí",COUNTIFS(DATOS!G:G,CONFIG_METADATA!$B$4,DATOS!D:D,A99,DATOS!I:I,B99,DATOS!K:K,1),"")</f>
        <v>0</v>
      </c>
      <c r="M99">
        <f>IF(V99="Sí",COUNTIFS(DATOS!G:G,CONFIG_METADATA!$B$4,DATOS!D:D,A99,DATOS!I:I,B99,DATOS!K:K,2),"")</f>
        <v>0</v>
      </c>
      <c r="N99">
        <f>IF(V99="Sí",COUNTIFS(DATOS!G:G,CONFIG_METADATA!$B$4,DATOS!D:D,A99,DATOS!I:I,B99,DATOS!K:K,3),"")</f>
        <v>0</v>
      </c>
      <c r="O99">
        <f>IF(V99="Sí",COUNTIFS(DATOS!G:G,CONFIG_METADATA!$B$4,DATOS!D:D,A99,DATOS!I:I,B99,DATOS!K:K,4),"")</f>
        <v>0</v>
      </c>
      <c r="P99">
        <f>IF(V99="Sí",COUNTIFS(DATOS!G:G,CONFIG_METADATA!$B$4,DATOS!D:D,A99,DATOS!I:I,B99,DATOS!K:K,5),"")</f>
        <v>0</v>
      </c>
      <c r="Q99">
        <f>IF(V99="Sí",COUNTIFS(DATOS!G:G,CONFIG_METADATA!$B$4,DATOS!D:D,A99,DATOS!I:I,B99,DATOS!K:K,6),"")</f>
        <v>0</v>
      </c>
      <c r="R99">
        <f>IF(V99="Sí",COUNTIFS(DATOS!G:G,CONFIG_METADATA!$B$4,DATOS!D:D,A99,DATOS!I:I,B99,DATOS!K:K,7),"")</f>
        <v>0</v>
      </c>
      <c r="S99">
        <f>IF(V99="Sí",COUNTIFS(DATOS!G:G,CONFIG_METADATA!$B$4,DATOS!D:D,A99,DATOS!I:I,B99,DATOS!K:K,8),"")</f>
        <v>0</v>
      </c>
      <c r="T99">
        <f>IF(V99="Sí",COUNTIFS(DATOS!G:G,CONFIG_METADATA!$B$4,DATOS!D:D,A99,DATOS!I:I,B99,DATOS!K:K,9),"")</f>
        <v>0</v>
      </c>
      <c r="U99">
        <f>IF(V99="Sí",COUNTIFS(DATOS!G:G,CONFIG_METADATA!$B$4,DATOS!D:D,A99,DATOS!I:I,B99,DATOS!K:K,10),"")</f>
        <v>0</v>
      </c>
      <c r="V99" t="str">
        <f>IFERROR(IF(ISERROR(FIND(A99,VLOOKUP(B99,CONFIG_ASIGNATURAS!B:C,2,FALSE()))),"No","Sí"),"No")</f>
        <v>Sí</v>
      </c>
    </row>
    <row r="100" spans="1:22">
      <c r="A100" s="3" t="inlineStr">
        <is>
          <t xml:space="preserve">1EEM</t>
        </is>
      </c>
      <c r="B100" s="3" cm="1">
        <f t="array" ref="B100">IFERROR(INDEX(_xlfn._xlws.FILTER(CONFIG_ASIGNATURAS!$B$2:$B$61,(CONFIG_ASIGNATURAS!$G$2:$G$61="Sí")*ISNUMBER(SEARCH("1EEM",CONFIG_ASIGNATURAS!$C$2:$C$61))),33),"")</f>
      </c>
      <c r="C100" s="3">
        <f>IF(B100="","",IFERROR(IF(VLOOKUP(B100,CONFIG_ASIGNATURAS!$B$2:$F$61,5,FALSE())="Sí","Especialidad","Asignatura"),"Asignatura"))</f>
      </c>
      <c r="D100">
        <f>IF(V100="Sí",COUNTIFS(DATOS!G:G,CONFIG_METADATA!$B$4,DATOS!D:D,A100,DATOS!I:I,B100),"")</f>
        <v>0</v>
      </c>
      <c r="E100" s="14" t="str">
        <f>IF(V100="Sí",IFERROR(AVERAGEIFS(DATOS!K:K,DATOS!G:G,CONFIG_METADATA!$B$4,DATOS!D:D,A100,DATOS!I:I,B100),"—"),"")</f>
        <v>—</v>
      </c>
      <c r="F100" s="14" t="str" cm="1">
        <f t="array" ref="F100">IF(V100="Sí",IFERROR(_xlfn.STDEV.P(IF((DATOS!$G$2:$G$20000=CONFIG_METADATA!$B$4)*(DATOS!$D$2:$D$20000=A100)*(DATOS!$I$2:$I$20000=B100),DATOS!$K$2:$K$20000)),"—"),"")</f>
        <v>—</v>
      </c>
      <c r="G100" t="str" cm="1">
        <f t="array" ref="G100">IF(V100="Sí",IFERROR(_xlfn.MODE.SNGL(IF((DATOS!$G$2:$G$20000=CONFIG_METADATA!$B$4)*(DATOS!$D$2:$D$20000=A100)*(DATOS!$I$2:$I$20000=B100),DATOS!$K$2:$K$20000)),"—"),"")</f>
        <v>—</v>
      </c>
      <c r="H100" s="15" t="str">
        <f>IF(V100="Sí",IFERROR(COUNTIFS(DATOS!G:G,CONFIG_METADATA!$B$4,DATOS!D:D,A100,DATOS!I:I,B100,DATOS!L:L,"S")/COUNTIFS(DATOS!G:G,CONFIG_METADATA!$B$4,DATOS!D:D,A100,DATOS!I:I,B100),"—"),"")</f>
        <v>—</v>
      </c>
      <c r="I100" s="15" t="str">
        <f>IF(V100="Sí",IFERROR(COUNTIFS(DATOS!G:G,CONFIG_METADATA!$B$4,DATOS!D:D,A100,DATOS!I:I,B100,DATOS!L:L,"N")/COUNTIFS(DATOS!G:G,CONFIG_METADATA!$B$4,DATOS!D:D,A100,DATOS!I:I,B100),"—"),"")</f>
        <v>—</v>
      </c>
      <c r="J100" t="str" cm="1">
        <f t="array" ref="J100">IF(V100="Sí",IFERROR(_xlfn.MODE.SNGL(IF((DATOS!$G$2:$G$20000=CONFIG_METADATA!$B$4)*(DATOS!$D$2:$D$20000=A100)*(DATOS!$I$2:$I$20000=B100)*(DATOS!$L$2:$L$20000="S"),DATOS!$K$2:$K$20000)),"—"),"")</f>
        <v>—</v>
      </c>
      <c r="K100" t="str" cm="1">
        <f t="array" ref="K100">IF(V100="Sí",IFERROR(_xlfn.MODE.SNGL(IF((DATOS!$G$2:$G$20000=CONFIG_METADATA!$B$4)*(DATOS!$D$2:$D$20000=A100)*(DATOS!$I$2:$I$20000=B100)*(DATOS!$L$2:$L$20000="N"),DATOS!$K$2:$K$20000)),"—"),"")</f>
        <v>—</v>
      </c>
      <c r="L100">
        <f>IF(V100="Sí",COUNTIFS(DATOS!G:G,CONFIG_METADATA!$B$4,DATOS!D:D,A100,DATOS!I:I,B100,DATOS!K:K,1),"")</f>
        <v>0</v>
      </c>
      <c r="M100">
        <f>IF(V100="Sí",COUNTIFS(DATOS!G:G,CONFIG_METADATA!$B$4,DATOS!D:D,A100,DATOS!I:I,B100,DATOS!K:K,2),"")</f>
        <v>0</v>
      </c>
      <c r="N100">
        <f>IF(V100="Sí",COUNTIFS(DATOS!G:G,CONFIG_METADATA!$B$4,DATOS!D:D,A100,DATOS!I:I,B100,DATOS!K:K,3),"")</f>
        <v>0</v>
      </c>
      <c r="O100">
        <f>IF(V100="Sí",COUNTIFS(DATOS!G:G,CONFIG_METADATA!$B$4,DATOS!D:D,A100,DATOS!I:I,B100,DATOS!K:K,4),"")</f>
        <v>0</v>
      </c>
      <c r="P100">
        <f>IF(V100="Sí",COUNTIFS(DATOS!G:G,CONFIG_METADATA!$B$4,DATOS!D:D,A100,DATOS!I:I,B100,DATOS!K:K,5),"")</f>
        <v>0</v>
      </c>
      <c r="Q100">
        <f>IF(V100="Sí",COUNTIFS(DATOS!G:G,CONFIG_METADATA!$B$4,DATOS!D:D,A100,DATOS!I:I,B100,DATOS!K:K,6),"")</f>
        <v>0</v>
      </c>
      <c r="R100">
        <f>IF(V100="Sí",COUNTIFS(DATOS!G:G,CONFIG_METADATA!$B$4,DATOS!D:D,A100,DATOS!I:I,B100,DATOS!K:K,7),"")</f>
        <v>0</v>
      </c>
      <c r="S100">
        <f>IF(V100="Sí",COUNTIFS(DATOS!G:G,CONFIG_METADATA!$B$4,DATOS!D:D,A100,DATOS!I:I,B100,DATOS!K:K,8),"")</f>
        <v>0</v>
      </c>
      <c r="T100">
        <f>IF(V100="Sí",COUNTIFS(DATOS!G:G,CONFIG_METADATA!$B$4,DATOS!D:D,A100,DATOS!I:I,B100,DATOS!K:K,9),"")</f>
        <v>0</v>
      </c>
      <c r="U100">
        <f>IF(V100="Sí",COUNTIFS(DATOS!G:G,CONFIG_METADATA!$B$4,DATOS!D:D,A100,DATOS!I:I,B100,DATOS!K:K,10),"")</f>
        <v>0</v>
      </c>
      <c r="V100" t="str">
        <f>IFERROR(IF(ISERROR(FIND(A100,VLOOKUP(B100,CONFIG_ASIGNATURAS!B:C,2,FALSE()))),"No","Sí"),"No")</f>
        <v>Sí</v>
      </c>
    </row>
    <row r="101" spans="1:22">
      <c r="A101" s="3" t="inlineStr">
        <is>
          <t xml:space="preserve">1EEM</t>
        </is>
      </c>
      <c r="B101" s="3" cm="1">
        <f t="array" ref="B101">IFERROR(INDEX(_xlfn._xlws.FILTER(CONFIG_ASIGNATURAS!$B$2:$B$61,(CONFIG_ASIGNATURAS!$G$2:$G$61="Sí")*ISNUMBER(SEARCH("1EEM",CONFIG_ASIGNATURAS!$C$2:$C$61))),34),"")</f>
      </c>
      <c r="C101" s="3">
        <f>IF(B101="","",IFERROR(IF(VLOOKUP(B101,CONFIG_ASIGNATURAS!$B$2:$F$61,5,FALSE())="Sí","Especialidad","Asignatura"),"Asignatura"))</f>
      </c>
      <c r="D101">
        <f>IF(V101="Sí",COUNTIFS(DATOS!G:G,CONFIG_METADATA!$B$4,DATOS!D:D,A101,DATOS!I:I,B101),"")</f>
        <v>0</v>
      </c>
      <c r="E101" s="14" t="str">
        <f>IF(V101="Sí",IFERROR(AVERAGEIFS(DATOS!K:K,DATOS!G:G,CONFIG_METADATA!$B$4,DATOS!D:D,A101,DATOS!I:I,B101),"—"),"")</f>
        <v>—</v>
      </c>
      <c r="F101" s="14" t="str" cm="1">
        <f t="array" ref="F101">IF(V101="Sí",IFERROR(_xlfn.STDEV.P(IF((DATOS!$G$2:$G$20000=CONFIG_METADATA!$B$4)*(DATOS!$D$2:$D$20000=A101)*(DATOS!$I$2:$I$20000=B101),DATOS!$K$2:$K$20000)),"—"),"")</f>
        <v>—</v>
      </c>
      <c r="G101" t="str" cm="1">
        <f t="array" ref="G101">IF(V101="Sí",IFERROR(_xlfn.MODE.SNGL(IF((DATOS!$G$2:$G$20000=CONFIG_METADATA!$B$4)*(DATOS!$D$2:$D$20000=A101)*(DATOS!$I$2:$I$20000=B101),DATOS!$K$2:$K$20000)),"—"),"")</f>
        <v>—</v>
      </c>
      <c r="H101" s="15" t="str">
        <f>IF(V101="Sí",IFERROR(COUNTIFS(DATOS!G:G,CONFIG_METADATA!$B$4,DATOS!D:D,A101,DATOS!I:I,B101,DATOS!L:L,"S")/COUNTIFS(DATOS!G:G,CONFIG_METADATA!$B$4,DATOS!D:D,A101,DATOS!I:I,B101),"—"),"")</f>
        <v>—</v>
      </c>
      <c r="I101" s="15" t="str">
        <f>IF(V101="Sí",IFERROR(COUNTIFS(DATOS!G:G,CONFIG_METADATA!$B$4,DATOS!D:D,A101,DATOS!I:I,B101,DATOS!L:L,"N")/COUNTIFS(DATOS!G:G,CONFIG_METADATA!$B$4,DATOS!D:D,A101,DATOS!I:I,B101),"—"),"")</f>
        <v>—</v>
      </c>
      <c r="J101" t="str" cm="1">
        <f t="array" ref="J101">IF(V101="Sí",IFERROR(_xlfn.MODE.SNGL(IF((DATOS!$G$2:$G$20000=CONFIG_METADATA!$B$4)*(DATOS!$D$2:$D$20000=A101)*(DATOS!$I$2:$I$20000=B101)*(DATOS!$L$2:$L$20000="S"),DATOS!$K$2:$K$20000)),"—"),"")</f>
        <v>—</v>
      </c>
      <c r="K101" t="str" cm="1">
        <f t="array" ref="K101">IF(V101="Sí",IFERROR(_xlfn.MODE.SNGL(IF((DATOS!$G$2:$G$20000=CONFIG_METADATA!$B$4)*(DATOS!$D$2:$D$20000=A101)*(DATOS!$I$2:$I$20000=B101)*(DATOS!$L$2:$L$20000="N"),DATOS!$K$2:$K$20000)),"—"),"")</f>
        <v>—</v>
      </c>
      <c r="L101">
        <f>IF(V101="Sí",COUNTIFS(DATOS!G:G,CONFIG_METADATA!$B$4,DATOS!D:D,A101,DATOS!I:I,B101,DATOS!K:K,1),"")</f>
        <v>0</v>
      </c>
      <c r="M101">
        <f>IF(V101="Sí",COUNTIFS(DATOS!G:G,CONFIG_METADATA!$B$4,DATOS!D:D,A101,DATOS!I:I,B101,DATOS!K:K,2),"")</f>
        <v>0</v>
      </c>
      <c r="N101">
        <f>IF(V101="Sí",COUNTIFS(DATOS!G:G,CONFIG_METADATA!$B$4,DATOS!D:D,A101,DATOS!I:I,B101,DATOS!K:K,3),"")</f>
        <v>0</v>
      </c>
      <c r="O101">
        <f>IF(V101="Sí",COUNTIFS(DATOS!G:G,CONFIG_METADATA!$B$4,DATOS!D:D,A101,DATOS!I:I,B101,DATOS!K:K,4),"")</f>
        <v>0</v>
      </c>
      <c r="P101">
        <f>IF(V101="Sí",COUNTIFS(DATOS!G:G,CONFIG_METADATA!$B$4,DATOS!D:D,A101,DATOS!I:I,B101,DATOS!K:K,5),"")</f>
        <v>0</v>
      </c>
      <c r="Q101">
        <f>IF(V101="Sí",COUNTIFS(DATOS!G:G,CONFIG_METADATA!$B$4,DATOS!D:D,A101,DATOS!I:I,B101,DATOS!K:K,6),"")</f>
        <v>0</v>
      </c>
      <c r="R101">
        <f>IF(V101="Sí",COUNTIFS(DATOS!G:G,CONFIG_METADATA!$B$4,DATOS!D:D,A101,DATOS!I:I,B101,DATOS!K:K,7),"")</f>
        <v>0</v>
      </c>
      <c r="S101">
        <f>IF(V101="Sí",COUNTIFS(DATOS!G:G,CONFIG_METADATA!$B$4,DATOS!D:D,A101,DATOS!I:I,B101,DATOS!K:K,8),"")</f>
        <v>0</v>
      </c>
      <c r="T101">
        <f>IF(V101="Sí",COUNTIFS(DATOS!G:G,CONFIG_METADATA!$B$4,DATOS!D:D,A101,DATOS!I:I,B101,DATOS!K:K,9),"")</f>
        <v>0</v>
      </c>
      <c r="U101">
        <f>IF(V101="Sí",COUNTIFS(DATOS!G:G,CONFIG_METADATA!$B$4,DATOS!D:D,A101,DATOS!I:I,B101,DATOS!K:K,10),"")</f>
        <v>0</v>
      </c>
      <c r="V101" t="str">
        <f>IFERROR(IF(ISERROR(FIND(A101,VLOOKUP(B101,CONFIG_ASIGNATURAS!B:C,2,FALSE()))),"No","Sí"),"No")</f>
        <v>Sí</v>
      </c>
    </row>
    <row r="102" spans="1:22">
      <c r="A102" s="3" t="inlineStr">
        <is>
          <t xml:space="preserve">1EEM</t>
        </is>
      </c>
      <c r="B102" s="3" cm="1">
        <f t="array" ref="B102">IFERROR(INDEX(_xlfn._xlws.FILTER(CONFIG_ASIGNATURAS!$B$2:$B$61,(CONFIG_ASIGNATURAS!$G$2:$G$61="Sí")*ISNUMBER(SEARCH("1EEM",CONFIG_ASIGNATURAS!$C$2:$C$61))),35),"")</f>
      </c>
      <c r="C102" s="3">
        <f>IF(B102="","",IFERROR(IF(VLOOKUP(B102,CONFIG_ASIGNATURAS!$B$2:$F$61,5,FALSE())="Sí","Especialidad","Asignatura"),"Asignatura"))</f>
      </c>
      <c r="D102">
        <f>IF(V102="Sí",COUNTIFS(DATOS!G:G,CONFIG_METADATA!$B$4,DATOS!D:D,A102,DATOS!I:I,B102),"")</f>
        <v>0</v>
      </c>
      <c r="E102" s="14" t="str">
        <f>IF(V102="Sí",IFERROR(AVERAGEIFS(DATOS!K:K,DATOS!G:G,CONFIG_METADATA!$B$4,DATOS!D:D,A102,DATOS!I:I,B102),"—"),"")</f>
        <v>—</v>
      </c>
      <c r="F102" s="14" t="str" cm="1">
        <f t="array" ref="F102">IF(V102="Sí",IFERROR(_xlfn.STDEV.P(IF((DATOS!$G$2:$G$20000=CONFIG_METADATA!$B$4)*(DATOS!$D$2:$D$20000=A102)*(DATOS!$I$2:$I$20000=B102),DATOS!$K$2:$K$20000)),"—"),"")</f>
        <v>—</v>
      </c>
      <c r="G102" t="str" cm="1">
        <f t="array" ref="G102">IF(V102="Sí",IFERROR(_xlfn.MODE.SNGL(IF((DATOS!$G$2:$G$20000=CONFIG_METADATA!$B$4)*(DATOS!$D$2:$D$20000=A102)*(DATOS!$I$2:$I$20000=B102),DATOS!$K$2:$K$20000)),"—"),"")</f>
        <v>—</v>
      </c>
      <c r="H102" s="15" t="str">
        <f>IF(V102="Sí",IFERROR(COUNTIFS(DATOS!G:G,CONFIG_METADATA!$B$4,DATOS!D:D,A102,DATOS!I:I,B102,DATOS!L:L,"S")/COUNTIFS(DATOS!G:G,CONFIG_METADATA!$B$4,DATOS!D:D,A102,DATOS!I:I,B102),"—"),"")</f>
        <v>—</v>
      </c>
      <c r="I102" s="15" t="str">
        <f>IF(V102="Sí",IFERROR(COUNTIFS(DATOS!G:G,CONFIG_METADATA!$B$4,DATOS!D:D,A102,DATOS!I:I,B102,DATOS!L:L,"N")/COUNTIFS(DATOS!G:G,CONFIG_METADATA!$B$4,DATOS!D:D,A102,DATOS!I:I,B102),"—"),"")</f>
        <v>—</v>
      </c>
      <c r="J102" t="str" cm="1">
        <f t="array" ref="J102">IF(V102="Sí",IFERROR(_xlfn.MODE.SNGL(IF((DATOS!$G$2:$G$20000=CONFIG_METADATA!$B$4)*(DATOS!$D$2:$D$20000=A102)*(DATOS!$I$2:$I$20000=B102)*(DATOS!$L$2:$L$20000="S"),DATOS!$K$2:$K$20000)),"—"),"")</f>
        <v>—</v>
      </c>
      <c r="K102" t="str" cm="1">
        <f t="array" ref="K102">IF(V102="Sí",IFERROR(_xlfn.MODE.SNGL(IF((DATOS!$G$2:$G$20000=CONFIG_METADATA!$B$4)*(DATOS!$D$2:$D$20000=A102)*(DATOS!$I$2:$I$20000=B102)*(DATOS!$L$2:$L$20000="N"),DATOS!$K$2:$K$20000)),"—"),"")</f>
        <v>—</v>
      </c>
      <c r="L102">
        <f>IF(V102="Sí",COUNTIFS(DATOS!G:G,CONFIG_METADATA!$B$4,DATOS!D:D,A102,DATOS!I:I,B102,DATOS!K:K,1),"")</f>
        <v>0</v>
      </c>
      <c r="M102">
        <f>IF(V102="Sí",COUNTIFS(DATOS!G:G,CONFIG_METADATA!$B$4,DATOS!D:D,A102,DATOS!I:I,B102,DATOS!K:K,2),"")</f>
        <v>0</v>
      </c>
      <c r="N102">
        <f>IF(V102="Sí",COUNTIFS(DATOS!G:G,CONFIG_METADATA!$B$4,DATOS!D:D,A102,DATOS!I:I,B102,DATOS!K:K,3),"")</f>
        <v>0</v>
      </c>
      <c r="O102">
        <f>IF(V102="Sí",COUNTIFS(DATOS!G:G,CONFIG_METADATA!$B$4,DATOS!D:D,A102,DATOS!I:I,B102,DATOS!K:K,4),"")</f>
        <v>0</v>
      </c>
      <c r="P102">
        <f>IF(V102="Sí",COUNTIFS(DATOS!G:G,CONFIG_METADATA!$B$4,DATOS!D:D,A102,DATOS!I:I,B102,DATOS!K:K,5),"")</f>
        <v>0</v>
      </c>
      <c r="Q102">
        <f>IF(V102="Sí",COUNTIFS(DATOS!G:G,CONFIG_METADATA!$B$4,DATOS!D:D,A102,DATOS!I:I,B102,DATOS!K:K,6),"")</f>
        <v>0</v>
      </c>
      <c r="R102">
        <f>IF(V102="Sí",COUNTIFS(DATOS!G:G,CONFIG_METADATA!$B$4,DATOS!D:D,A102,DATOS!I:I,B102,DATOS!K:K,7),"")</f>
        <v>0</v>
      </c>
      <c r="S102">
        <f>IF(V102="Sí",COUNTIFS(DATOS!G:G,CONFIG_METADATA!$B$4,DATOS!D:D,A102,DATOS!I:I,B102,DATOS!K:K,8),"")</f>
        <v>0</v>
      </c>
      <c r="T102">
        <f>IF(V102="Sí",COUNTIFS(DATOS!G:G,CONFIG_METADATA!$B$4,DATOS!D:D,A102,DATOS!I:I,B102,DATOS!K:K,9),"")</f>
        <v>0</v>
      </c>
      <c r="U102">
        <f>IF(V102="Sí",COUNTIFS(DATOS!G:G,CONFIG_METADATA!$B$4,DATOS!D:D,A102,DATOS!I:I,B102,DATOS!K:K,10),"")</f>
        <v>0</v>
      </c>
      <c r="V102" t="str">
        <f>IFERROR(IF(ISERROR(FIND(A102,VLOOKUP(B102,CONFIG_ASIGNATURAS!B:C,2,FALSE()))),"No","Sí"),"No")</f>
        <v>Sí</v>
      </c>
    </row>
    <row r="103" spans="1:22">
      <c r="A103" s="3" t="inlineStr">
        <is>
          <t xml:space="preserve">1EEM</t>
        </is>
      </c>
      <c r="B103" s="3" cm="1">
        <f t="array" ref="B103">IFERROR(INDEX(_xlfn._xlws.FILTER(CONFIG_ASIGNATURAS!$B$2:$B$61,(CONFIG_ASIGNATURAS!$G$2:$G$61="Sí")*ISNUMBER(SEARCH("1EEM",CONFIG_ASIGNATURAS!$C$2:$C$61))),36),"")</f>
      </c>
      <c r="C103" s="3">
        <f>IF(B103="","",IFERROR(IF(VLOOKUP(B103,CONFIG_ASIGNATURAS!$B$2:$F$61,5,FALSE())="Sí","Especialidad","Asignatura"),"Asignatura"))</f>
      </c>
      <c r="D103">
        <f>IF(V103="Sí",COUNTIFS(DATOS!G:G,CONFIG_METADATA!$B$4,DATOS!D:D,A103,DATOS!I:I,B103),"")</f>
        <v>0</v>
      </c>
      <c r="E103" s="14" t="str">
        <f>IF(V103="Sí",IFERROR(AVERAGEIFS(DATOS!K:K,DATOS!G:G,CONFIG_METADATA!$B$4,DATOS!D:D,A103,DATOS!I:I,B103),"—"),"")</f>
        <v>—</v>
      </c>
      <c r="F103" s="14" t="str" cm="1">
        <f t="array" ref="F103">IF(V103="Sí",IFERROR(_xlfn.STDEV.P(IF((DATOS!$G$2:$G$20000=CONFIG_METADATA!$B$4)*(DATOS!$D$2:$D$20000=A103)*(DATOS!$I$2:$I$20000=B103),DATOS!$K$2:$K$20000)),"—"),"")</f>
        <v>—</v>
      </c>
      <c r="G103" t="str" cm="1">
        <f t="array" ref="G103">IF(V103="Sí",IFERROR(_xlfn.MODE.SNGL(IF((DATOS!$G$2:$G$20000=CONFIG_METADATA!$B$4)*(DATOS!$D$2:$D$20000=A103)*(DATOS!$I$2:$I$20000=B103),DATOS!$K$2:$K$20000)),"—"),"")</f>
        <v>—</v>
      </c>
      <c r="H103" s="15" t="str">
        <f>IF(V103="Sí",IFERROR(COUNTIFS(DATOS!G:G,CONFIG_METADATA!$B$4,DATOS!D:D,A103,DATOS!I:I,B103,DATOS!L:L,"S")/COUNTIFS(DATOS!G:G,CONFIG_METADATA!$B$4,DATOS!D:D,A103,DATOS!I:I,B103),"—"),"")</f>
        <v>—</v>
      </c>
      <c r="I103" s="15" t="str">
        <f>IF(V103="Sí",IFERROR(COUNTIFS(DATOS!G:G,CONFIG_METADATA!$B$4,DATOS!D:D,A103,DATOS!I:I,B103,DATOS!L:L,"N")/COUNTIFS(DATOS!G:G,CONFIG_METADATA!$B$4,DATOS!D:D,A103,DATOS!I:I,B103),"—"),"")</f>
        <v>—</v>
      </c>
      <c r="J103" t="str" cm="1">
        <f t="array" ref="J103">IF(V103="Sí",IFERROR(_xlfn.MODE.SNGL(IF((DATOS!$G$2:$G$20000=CONFIG_METADATA!$B$4)*(DATOS!$D$2:$D$20000=A103)*(DATOS!$I$2:$I$20000=B103)*(DATOS!$L$2:$L$20000="S"),DATOS!$K$2:$K$20000)),"—"),"")</f>
        <v>—</v>
      </c>
      <c r="K103" t="str" cm="1">
        <f t="array" ref="K103">IF(V103="Sí",IFERROR(_xlfn.MODE.SNGL(IF((DATOS!$G$2:$G$20000=CONFIG_METADATA!$B$4)*(DATOS!$D$2:$D$20000=A103)*(DATOS!$I$2:$I$20000=B103)*(DATOS!$L$2:$L$20000="N"),DATOS!$K$2:$K$20000)),"—"),"")</f>
        <v>—</v>
      </c>
      <c r="L103">
        <f>IF(V103="Sí",COUNTIFS(DATOS!G:G,CONFIG_METADATA!$B$4,DATOS!D:D,A103,DATOS!I:I,B103,DATOS!K:K,1),"")</f>
        <v>0</v>
      </c>
      <c r="M103">
        <f>IF(V103="Sí",COUNTIFS(DATOS!G:G,CONFIG_METADATA!$B$4,DATOS!D:D,A103,DATOS!I:I,B103,DATOS!K:K,2),"")</f>
        <v>0</v>
      </c>
      <c r="N103">
        <f>IF(V103="Sí",COUNTIFS(DATOS!G:G,CONFIG_METADATA!$B$4,DATOS!D:D,A103,DATOS!I:I,B103,DATOS!K:K,3),"")</f>
        <v>0</v>
      </c>
      <c r="O103">
        <f>IF(V103="Sí",COUNTIFS(DATOS!G:G,CONFIG_METADATA!$B$4,DATOS!D:D,A103,DATOS!I:I,B103,DATOS!K:K,4),"")</f>
        <v>0</v>
      </c>
      <c r="P103">
        <f>IF(V103="Sí",COUNTIFS(DATOS!G:G,CONFIG_METADATA!$B$4,DATOS!D:D,A103,DATOS!I:I,B103,DATOS!K:K,5),"")</f>
        <v>0</v>
      </c>
      <c r="Q103">
        <f>IF(V103="Sí",COUNTIFS(DATOS!G:G,CONFIG_METADATA!$B$4,DATOS!D:D,A103,DATOS!I:I,B103,DATOS!K:K,6),"")</f>
        <v>0</v>
      </c>
      <c r="R103">
        <f>IF(V103="Sí",COUNTIFS(DATOS!G:G,CONFIG_METADATA!$B$4,DATOS!D:D,A103,DATOS!I:I,B103,DATOS!K:K,7),"")</f>
        <v>0</v>
      </c>
      <c r="S103">
        <f>IF(V103="Sí",COUNTIFS(DATOS!G:G,CONFIG_METADATA!$B$4,DATOS!D:D,A103,DATOS!I:I,B103,DATOS!K:K,8),"")</f>
        <v>0</v>
      </c>
      <c r="T103">
        <f>IF(V103="Sí",COUNTIFS(DATOS!G:G,CONFIG_METADATA!$B$4,DATOS!D:D,A103,DATOS!I:I,B103,DATOS!K:K,9),"")</f>
        <v>0</v>
      </c>
      <c r="U103">
        <f>IF(V103="Sí",COUNTIFS(DATOS!G:G,CONFIG_METADATA!$B$4,DATOS!D:D,A103,DATOS!I:I,B103,DATOS!K:K,10),"")</f>
        <v>0</v>
      </c>
      <c r="V103" t="str">
        <f>IFERROR(IF(ISERROR(FIND(A103,VLOOKUP(B103,CONFIG_ASIGNATURAS!B:C,2,FALSE()))),"No","Sí"),"No")</f>
        <v>Sí</v>
      </c>
    </row>
    <row r="104" spans="1:22">
      <c r="A104" s="3" t="inlineStr">
        <is>
          <t xml:space="preserve">1EEM</t>
        </is>
      </c>
      <c r="B104" s="3" cm="1">
        <f t="array" ref="B104">IFERROR(INDEX(_xlfn._xlws.FILTER(CONFIG_ASIGNATURAS!$B$2:$B$61,(CONFIG_ASIGNATURAS!$G$2:$G$61="Sí")*ISNUMBER(SEARCH("1EEM",CONFIG_ASIGNATURAS!$C$2:$C$61))),37),"")</f>
      </c>
      <c r="C104" s="3">
        <f>IF(B104="","",IFERROR(IF(VLOOKUP(B104,CONFIG_ASIGNATURAS!$B$2:$F$61,5,FALSE())="Sí","Especialidad","Asignatura"),"Asignatura"))</f>
      </c>
      <c r="D104">
        <f>IF(V104="Sí",COUNTIFS(DATOS!G:G,CONFIG_METADATA!$B$4,DATOS!D:D,A104,DATOS!I:I,B104),"")</f>
        <v>0</v>
      </c>
      <c r="E104" s="14" t="str">
        <f>IF(V104="Sí",IFERROR(AVERAGEIFS(DATOS!K:K,DATOS!G:G,CONFIG_METADATA!$B$4,DATOS!D:D,A104,DATOS!I:I,B104),"—"),"")</f>
        <v>—</v>
      </c>
      <c r="F104" s="14" t="str" cm="1">
        <f t="array" ref="F104">IF(V104="Sí",IFERROR(_xlfn.STDEV.P(IF((DATOS!$G$2:$G$20000=CONFIG_METADATA!$B$4)*(DATOS!$D$2:$D$20000=A104)*(DATOS!$I$2:$I$20000=B104),DATOS!$K$2:$K$20000)),"—"),"")</f>
        <v>—</v>
      </c>
      <c r="G104" t="str" cm="1">
        <f t="array" ref="G104">IF(V104="Sí",IFERROR(_xlfn.MODE.SNGL(IF((DATOS!$G$2:$G$20000=CONFIG_METADATA!$B$4)*(DATOS!$D$2:$D$20000=A104)*(DATOS!$I$2:$I$20000=B104),DATOS!$K$2:$K$20000)),"—"),"")</f>
        <v>—</v>
      </c>
      <c r="H104" s="15" t="str">
        <f>IF(V104="Sí",IFERROR(COUNTIFS(DATOS!G:G,CONFIG_METADATA!$B$4,DATOS!D:D,A104,DATOS!I:I,B104,DATOS!L:L,"S")/COUNTIFS(DATOS!G:G,CONFIG_METADATA!$B$4,DATOS!D:D,A104,DATOS!I:I,B104),"—"),"")</f>
        <v>—</v>
      </c>
      <c r="I104" s="15" t="str">
        <f>IF(V104="Sí",IFERROR(COUNTIFS(DATOS!G:G,CONFIG_METADATA!$B$4,DATOS!D:D,A104,DATOS!I:I,B104,DATOS!L:L,"N")/COUNTIFS(DATOS!G:G,CONFIG_METADATA!$B$4,DATOS!D:D,A104,DATOS!I:I,B104),"—"),"")</f>
        <v>—</v>
      </c>
      <c r="J104" t="str" cm="1">
        <f t="array" ref="J104">IF(V104="Sí",IFERROR(_xlfn.MODE.SNGL(IF((DATOS!$G$2:$G$20000=CONFIG_METADATA!$B$4)*(DATOS!$D$2:$D$20000=A104)*(DATOS!$I$2:$I$20000=B104)*(DATOS!$L$2:$L$20000="S"),DATOS!$K$2:$K$20000)),"—"),"")</f>
        <v>—</v>
      </c>
      <c r="K104" t="str" cm="1">
        <f t="array" ref="K104">IF(V104="Sí",IFERROR(_xlfn.MODE.SNGL(IF((DATOS!$G$2:$G$20000=CONFIG_METADATA!$B$4)*(DATOS!$D$2:$D$20000=A104)*(DATOS!$I$2:$I$20000=B104)*(DATOS!$L$2:$L$20000="N"),DATOS!$K$2:$K$20000)),"—"),"")</f>
        <v>—</v>
      </c>
      <c r="L104">
        <f>IF(V104="Sí",COUNTIFS(DATOS!G:G,CONFIG_METADATA!$B$4,DATOS!D:D,A104,DATOS!I:I,B104,DATOS!K:K,1),"")</f>
        <v>0</v>
      </c>
      <c r="M104">
        <f>IF(V104="Sí",COUNTIFS(DATOS!G:G,CONFIG_METADATA!$B$4,DATOS!D:D,A104,DATOS!I:I,B104,DATOS!K:K,2),"")</f>
        <v>0</v>
      </c>
      <c r="N104">
        <f>IF(V104="Sí",COUNTIFS(DATOS!G:G,CONFIG_METADATA!$B$4,DATOS!D:D,A104,DATOS!I:I,B104,DATOS!K:K,3),"")</f>
        <v>0</v>
      </c>
      <c r="O104">
        <f>IF(V104="Sí",COUNTIFS(DATOS!G:G,CONFIG_METADATA!$B$4,DATOS!D:D,A104,DATOS!I:I,B104,DATOS!K:K,4),"")</f>
        <v>0</v>
      </c>
      <c r="P104">
        <f>IF(V104="Sí",COUNTIFS(DATOS!G:G,CONFIG_METADATA!$B$4,DATOS!D:D,A104,DATOS!I:I,B104,DATOS!K:K,5),"")</f>
        <v>0</v>
      </c>
      <c r="Q104">
        <f>IF(V104="Sí",COUNTIFS(DATOS!G:G,CONFIG_METADATA!$B$4,DATOS!D:D,A104,DATOS!I:I,B104,DATOS!K:K,6),"")</f>
        <v>0</v>
      </c>
      <c r="R104">
        <f>IF(V104="Sí",COUNTIFS(DATOS!G:G,CONFIG_METADATA!$B$4,DATOS!D:D,A104,DATOS!I:I,B104,DATOS!K:K,7),"")</f>
        <v>0</v>
      </c>
      <c r="S104">
        <f>IF(V104="Sí",COUNTIFS(DATOS!G:G,CONFIG_METADATA!$B$4,DATOS!D:D,A104,DATOS!I:I,B104,DATOS!K:K,8),"")</f>
        <v>0</v>
      </c>
      <c r="T104">
        <f>IF(V104="Sí",COUNTIFS(DATOS!G:G,CONFIG_METADATA!$B$4,DATOS!D:D,A104,DATOS!I:I,B104,DATOS!K:K,9),"")</f>
        <v>0</v>
      </c>
      <c r="U104">
        <f>IF(V104="Sí",COUNTIFS(DATOS!G:G,CONFIG_METADATA!$B$4,DATOS!D:D,A104,DATOS!I:I,B104,DATOS!K:K,10),"")</f>
        <v>0</v>
      </c>
      <c r="V104" t="str">
        <f>IFERROR(IF(ISERROR(FIND(A104,VLOOKUP(B104,CONFIG_ASIGNATURAS!B:C,2,FALSE()))),"No","Sí"),"No")</f>
        <v>Sí</v>
      </c>
    </row>
    <row r="105" spans="1:22">
      <c r="A105" s="3" t="inlineStr">
        <is>
          <t xml:space="preserve">1EEM</t>
        </is>
      </c>
      <c r="B105" s="3" cm="1">
        <f t="array" ref="B105">IFERROR(INDEX(_xlfn._xlws.FILTER(CONFIG_ASIGNATURAS!$B$2:$B$61,(CONFIG_ASIGNATURAS!$G$2:$G$61="Sí")*ISNUMBER(SEARCH("1EEM",CONFIG_ASIGNATURAS!$C$2:$C$61))),38),"")</f>
      </c>
      <c r="C105" s="3">
        <f>IF(B105="","",IFERROR(IF(VLOOKUP(B105,CONFIG_ASIGNATURAS!$B$2:$F$61,5,FALSE())="Sí","Especialidad","Asignatura"),"Asignatura"))</f>
      </c>
      <c r="D105">
        <f>IF(V105="Sí",COUNTIFS(DATOS!G:G,CONFIG_METADATA!$B$4,DATOS!D:D,A105,DATOS!I:I,B105),"")</f>
        <v>0</v>
      </c>
      <c r="E105" s="14" t="str">
        <f>IF(V105="Sí",IFERROR(AVERAGEIFS(DATOS!K:K,DATOS!G:G,CONFIG_METADATA!$B$4,DATOS!D:D,A105,DATOS!I:I,B105),"—"),"")</f>
        <v>—</v>
      </c>
      <c r="F105" s="14" t="str" cm="1">
        <f t="array" ref="F105">IF(V105="Sí",IFERROR(_xlfn.STDEV.P(IF((DATOS!$G$2:$G$20000=CONFIG_METADATA!$B$4)*(DATOS!$D$2:$D$20000=A105)*(DATOS!$I$2:$I$20000=B105),DATOS!$K$2:$K$20000)),"—"),"")</f>
        <v>—</v>
      </c>
      <c r="G105" t="str" cm="1">
        <f t="array" ref="G105">IF(V105="Sí",IFERROR(_xlfn.MODE.SNGL(IF((DATOS!$G$2:$G$20000=CONFIG_METADATA!$B$4)*(DATOS!$D$2:$D$20000=A105)*(DATOS!$I$2:$I$20000=B105),DATOS!$K$2:$K$20000)),"—"),"")</f>
        <v>—</v>
      </c>
      <c r="H105" s="15" t="str">
        <f>IF(V105="Sí",IFERROR(COUNTIFS(DATOS!G:G,CONFIG_METADATA!$B$4,DATOS!D:D,A105,DATOS!I:I,B105,DATOS!L:L,"S")/COUNTIFS(DATOS!G:G,CONFIG_METADATA!$B$4,DATOS!D:D,A105,DATOS!I:I,B105),"—"),"")</f>
        <v>—</v>
      </c>
      <c r="I105" s="15" t="str">
        <f>IF(V105="Sí",IFERROR(COUNTIFS(DATOS!G:G,CONFIG_METADATA!$B$4,DATOS!D:D,A105,DATOS!I:I,B105,DATOS!L:L,"N")/COUNTIFS(DATOS!G:G,CONFIG_METADATA!$B$4,DATOS!D:D,A105,DATOS!I:I,B105),"—"),"")</f>
        <v>—</v>
      </c>
      <c r="J105" t="str" cm="1">
        <f t="array" ref="J105">IF(V105="Sí",IFERROR(_xlfn.MODE.SNGL(IF((DATOS!$G$2:$G$20000=CONFIG_METADATA!$B$4)*(DATOS!$D$2:$D$20000=A105)*(DATOS!$I$2:$I$20000=B105)*(DATOS!$L$2:$L$20000="S"),DATOS!$K$2:$K$20000)),"—"),"")</f>
        <v>—</v>
      </c>
      <c r="K105" t="str" cm="1">
        <f t="array" ref="K105">IF(V105="Sí",IFERROR(_xlfn.MODE.SNGL(IF((DATOS!$G$2:$G$20000=CONFIG_METADATA!$B$4)*(DATOS!$D$2:$D$20000=A105)*(DATOS!$I$2:$I$20000=B105)*(DATOS!$L$2:$L$20000="N"),DATOS!$K$2:$K$20000)),"—"),"")</f>
        <v>—</v>
      </c>
      <c r="L105">
        <f>IF(V105="Sí",COUNTIFS(DATOS!G:G,CONFIG_METADATA!$B$4,DATOS!D:D,A105,DATOS!I:I,B105,DATOS!K:K,1),"")</f>
        <v>0</v>
      </c>
      <c r="M105">
        <f>IF(V105="Sí",COUNTIFS(DATOS!G:G,CONFIG_METADATA!$B$4,DATOS!D:D,A105,DATOS!I:I,B105,DATOS!K:K,2),"")</f>
        <v>0</v>
      </c>
      <c r="N105">
        <f>IF(V105="Sí",COUNTIFS(DATOS!G:G,CONFIG_METADATA!$B$4,DATOS!D:D,A105,DATOS!I:I,B105,DATOS!K:K,3),"")</f>
        <v>0</v>
      </c>
      <c r="O105">
        <f>IF(V105="Sí",COUNTIFS(DATOS!G:G,CONFIG_METADATA!$B$4,DATOS!D:D,A105,DATOS!I:I,B105,DATOS!K:K,4),"")</f>
        <v>0</v>
      </c>
      <c r="P105">
        <f>IF(V105="Sí",COUNTIFS(DATOS!G:G,CONFIG_METADATA!$B$4,DATOS!D:D,A105,DATOS!I:I,B105,DATOS!K:K,5),"")</f>
        <v>0</v>
      </c>
      <c r="Q105">
        <f>IF(V105="Sí",COUNTIFS(DATOS!G:G,CONFIG_METADATA!$B$4,DATOS!D:D,A105,DATOS!I:I,B105,DATOS!K:K,6),"")</f>
        <v>0</v>
      </c>
      <c r="R105">
        <f>IF(V105="Sí",COUNTIFS(DATOS!G:G,CONFIG_METADATA!$B$4,DATOS!D:D,A105,DATOS!I:I,B105,DATOS!K:K,7),"")</f>
        <v>0</v>
      </c>
      <c r="S105">
        <f>IF(V105="Sí",COUNTIFS(DATOS!G:G,CONFIG_METADATA!$B$4,DATOS!D:D,A105,DATOS!I:I,B105,DATOS!K:K,8),"")</f>
        <v>0</v>
      </c>
      <c r="T105">
        <f>IF(V105="Sí",COUNTIFS(DATOS!G:G,CONFIG_METADATA!$B$4,DATOS!D:D,A105,DATOS!I:I,B105,DATOS!K:K,9),"")</f>
        <v>0</v>
      </c>
      <c r="U105">
        <f>IF(V105="Sí",COUNTIFS(DATOS!G:G,CONFIG_METADATA!$B$4,DATOS!D:D,A105,DATOS!I:I,B105,DATOS!K:K,10),"")</f>
        <v>0</v>
      </c>
      <c r="V105" t="str">
        <f>IFERROR(IF(ISERROR(FIND(A105,VLOOKUP(B105,CONFIG_ASIGNATURAS!B:C,2,FALSE()))),"No","Sí"),"No")</f>
        <v>Sí</v>
      </c>
    </row>
    <row r="106" spans="1:22">
      <c r="A106" s="3" t="inlineStr">
        <is>
          <t xml:space="preserve">1EEM</t>
        </is>
      </c>
      <c r="B106" s="3" cm="1">
        <f t="array" ref="B106">IFERROR(INDEX(_xlfn._xlws.FILTER(CONFIG_ASIGNATURAS!$B$2:$B$61,(CONFIG_ASIGNATURAS!$G$2:$G$61="Sí")*ISNUMBER(SEARCH("1EEM",CONFIG_ASIGNATURAS!$C$2:$C$61))),39),"")</f>
      </c>
      <c r="C106" s="3">
        <f>IF(B106="","",IFERROR(IF(VLOOKUP(B106,CONFIG_ASIGNATURAS!$B$2:$F$61,5,FALSE())="Sí","Especialidad","Asignatura"),"Asignatura"))</f>
      </c>
      <c r="D106">
        <f>IF(V106="Sí",COUNTIFS(DATOS!G:G,CONFIG_METADATA!$B$4,DATOS!D:D,A106,DATOS!I:I,B106),"")</f>
        <v>0</v>
      </c>
      <c r="E106" s="14" t="str">
        <f>IF(V106="Sí",IFERROR(AVERAGEIFS(DATOS!K:K,DATOS!G:G,CONFIG_METADATA!$B$4,DATOS!D:D,A106,DATOS!I:I,B106),"—"),"")</f>
        <v>—</v>
      </c>
      <c r="F106" s="14" t="str" cm="1">
        <f t="array" ref="F106">IF(V106="Sí",IFERROR(_xlfn.STDEV.P(IF((DATOS!$G$2:$G$20000=CONFIG_METADATA!$B$4)*(DATOS!$D$2:$D$20000=A106)*(DATOS!$I$2:$I$20000=B106),DATOS!$K$2:$K$20000)),"—"),"")</f>
        <v>—</v>
      </c>
      <c r="G106" t="str" cm="1">
        <f t="array" ref="G106">IF(V106="Sí",IFERROR(_xlfn.MODE.SNGL(IF((DATOS!$G$2:$G$20000=CONFIG_METADATA!$B$4)*(DATOS!$D$2:$D$20000=A106)*(DATOS!$I$2:$I$20000=B106),DATOS!$K$2:$K$20000)),"—"),"")</f>
        <v>—</v>
      </c>
      <c r="H106" s="15" t="str">
        <f>IF(V106="Sí",IFERROR(COUNTIFS(DATOS!G:G,CONFIG_METADATA!$B$4,DATOS!D:D,A106,DATOS!I:I,B106,DATOS!L:L,"S")/COUNTIFS(DATOS!G:G,CONFIG_METADATA!$B$4,DATOS!D:D,A106,DATOS!I:I,B106),"—"),"")</f>
        <v>—</v>
      </c>
      <c r="I106" s="15" t="str">
        <f>IF(V106="Sí",IFERROR(COUNTIFS(DATOS!G:G,CONFIG_METADATA!$B$4,DATOS!D:D,A106,DATOS!I:I,B106,DATOS!L:L,"N")/COUNTIFS(DATOS!G:G,CONFIG_METADATA!$B$4,DATOS!D:D,A106,DATOS!I:I,B106),"—"),"")</f>
        <v>—</v>
      </c>
      <c r="J106" t="str" cm="1">
        <f t="array" ref="J106">IF(V106="Sí",IFERROR(_xlfn.MODE.SNGL(IF((DATOS!$G$2:$G$20000=CONFIG_METADATA!$B$4)*(DATOS!$D$2:$D$20000=A106)*(DATOS!$I$2:$I$20000=B106)*(DATOS!$L$2:$L$20000="S"),DATOS!$K$2:$K$20000)),"—"),"")</f>
        <v>—</v>
      </c>
      <c r="K106" t="str" cm="1">
        <f t="array" ref="K106">IF(V106="Sí",IFERROR(_xlfn.MODE.SNGL(IF((DATOS!$G$2:$G$20000=CONFIG_METADATA!$B$4)*(DATOS!$D$2:$D$20000=A106)*(DATOS!$I$2:$I$20000=B106)*(DATOS!$L$2:$L$20000="N"),DATOS!$K$2:$K$20000)),"—"),"")</f>
        <v>—</v>
      </c>
      <c r="L106">
        <f>IF(V106="Sí",COUNTIFS(DATOS!G:G,CONFIG_METADATA!$B$4,DATOS!D:D,A106,DATOS!I:I,B106,DATOS!K:K,1),"")</f>
        <v>0</v>
      </c>
      <c r="M106">
        <f>IF(V106="Sí",COUNTIFS(DATOS!G:G,CONFIG_METADATA!$B$4,DATOS!D:D,A106,DATOS!I:I,B106,DATOS!K:K,2),"")</f>
        <v>0</v>
      </c>
      <c r="N106">
        <f>IF(V106="Sí",COUNTIFS(DATOS!G:G,CONFIG_METADATA!$B$4,DATOS!D:D,A106,DATOS!I:I,B106,DATOS!K:K,3),"")</f>
        <v>0</v>
      </c>
      <c r="O106">
        <f>IF(V106="Sí",COUNTIFS(DATOS!G:G,CONFIG_METADATA!$B$4,DATOS!D:D,A106,DATOS!I:I,B106,DATOS!K:K,4),"")</f>
        <v>0</v>
      </c>
      <c r="P106">
        <f>IF(V106="Sí",COUNTIFS(DATOS!G:G,CONFIG_METADATA!$B$4,DATOS!D:D,A106,DATOS!I:I,B106,DATOS!K:K,5),"")</f>
        <v>0</v>
      </c>
      <c r="Q106">
        <f>IF(V106="Sí",COUNTIFS(DATOS!G:G,CONFIG_METADATA!$B$4,DATOS!D:D,A106,DATOS!I:I,B106,DATOS!K:K,6),"")</f>
        <v>0</v>
      </c>
      <c r="R106">
        <f>IF(V106="Sí",COUNTIFS(DATOS!G:G,CONFIG_METADATA!$B$4,DATOS!D:D,A106,DATOS!I:I,B106,DATOS!K:K,7),"")</f>
        <v>0</v>
      </c>
      <c r="S106">
        <f>IF(V106="Sí",COUNTIFS(DATOS!G:G,CONFIG_METADATA!$B$4,DATOS!D:D,A106,DATOS!I:I,B106,DATOS!K:K,8),"")</f>
        <v>0</v>
      </c>
      <c r="T106">
        <f>IF(V106="Sí",COUNTIFS(DATOS!G:G,CONFIG_METADATA!$B$4,DATOS!D:D,A106,DATOS!I:I,B106,DATOS!K:K,9),"")</f>
        <v>0</v>
      </c>
      <c r="U106">
        <f>IF(V106="Sí",COUNTIFS(DATOS!G:G,CONFIG_METADATA!$B$4,DATOS!D:D,A106,DATOS!I:I,B106,DATOS!K:K,10),"")</f>
        <v>0</v>
      </c>
      <c r="V106" t="str">
        <f>IFERROR(IF(ISERROR(FIND(A106,VLOOKUP(B106,CONFIG_ASIGNATURAS!B:C,2,FALSE()))),"No","Sí"),"No")</f>
        <v>Sí</v>
      </c>
    </row>
    <row r="107" spans="1:22">
      <c r="A107" s="3" t="inlineStr">
        <is>
          <t xml:space="preserve">1EEM</t>
        </is>
      </c>
      <c r="B107" s="3" cm="1">
        <f t="array" ref="B107">IFERROR(INDEX(_xlfn._xlws.FILTER(CONFIG_ASIGNATURAS!$B$2:$B$61,(CONFIG_ASIGNATURAS!$G$2:$G$61="Sí")*ISNUMBER(SEARCH("1EEM",CONFIG_ASIGNATURAS!$C$2:$C$61))),40),"")</f>
      </c>
      <c r="C107" s="3">
        <f>IF(B107="","",IFERROR(IF(VLOOKUP(B107,CONFIG_ASIGNATURAS!$B$2:$F$61,5,FALSE())="Sí","Especialidad","Asignatura"),"Asignatura"))</f>
      </c>
      <c r="D107">
        <f>IF(V107="Sí",COUNTIFS(DATOS!G:G,CONFIG_METADATA!$B$4,DATOS!D:D,A107,DATOS!I:I,B107),"")</f>
        <v>0</v>
      </c>
      <c r="E107" s="14" t="str">
        <f>IF(V107="Sí",IFERROR(AVERAGEIFS(DATOS!K:K,DATOS!G:G,CONFIG_METADATA!$B$4,DATOS!D:D,A107,DATOS!I:I,B107),"—"),"")</f>
        <v>—</v>
      </c>
      <c r="F107" s="14" t="str" cm="1">
        <f t="array" ref="F107">IF(V107="Sí",IFERROR(_xlfn.STDEV.P(IF((DATOS!$G$2:$G$20000=CONFIG_METADATA!$B$4)*(DATOS!$D$2:$D$20000=A107)*(DATOS!$I$2:$I$20000=B107),DATOS!$K$2:$K$20000)),"—"),"")</f>
        <v>—</v>
      </c>
      <c r="G107" t="str" cm="1">
        <f t="array" ref="G107">IF(V107="Sí",IFERROR(_xlfn.MODE.SNGL(IF((DATOS!$G$2:$G$20000=CONFIG_METADATA!$B$4)*(DATOS!$D$2:$D$20000=A107)*(DATOS!$I$2:$I$20000=B107),DATOS!$K$2:$K$20000)),"—"),"")</f>
        <v>—</v>
      </c>
      <c r="H107" s="15" t="str">
        <f>IF(V107="Sí",IFERROR(COUNTIFS(DATOS!G:G,CONFIG_METADATA!$B$4,DATOS!D:D,A107,DATOS!I:I,B107,DATOS!L:L,"S")/COUNTIFS(DATOS!G:G,CONFIG_METADATA!$B$4,DATOS!D:D,A107,DATOS!I:I,B107),"—"),"")</f>
        <v>—</v>
      </c>
      <c r="I107" s="15" t="str">
        <f>IF(V107="Sí",IFERROR(COUNTIFS(DATOS!G:G,CONFIG_METADATA!$B$4,DATOS!D:D,A107,DATOS!I:I,B107,DATOS!L:L,"N")/COUNTIFS(DATOS!G:G,CONFIG_METADATA!$B$4,DATOS!D:D,A107,DATOS!I:I,B107),"—"),"")</f>
        <v>—</v>
      </c>
      <c r="J107" t="str" cm="1">
        <f t="array" ref="J107">IF(V107="Sí",IFERROR(_xlfn.MODE.SNGL(IF((DATOS!$G$2:$G$20000=CONFIG_METADATA!$B$4)*(DATOS!$D$2:$D$20000=A107)*(DATOS!$I$2:$I$20000=B107)*(DATOS!$L$2:$L$20000="S"),DATOS!$K$2:$K$20000)),"—"),"")</f>
        <v>—</v>
      </c>
      <c r="K107" t="str" cm="1">
        <f t="array" ref="K107">IF(V107="Sí",IFERROR(_xlfn.MODE.SNGL(IF((DATOS!$G$2:$G$20000=CONFIG_METADATA!$B$4)*(DATOS!$D$2:$D$20000=A107)*(DATOS!$I$2:$I$20000=B107)*(DATOS!$L$2:$L$20000="N"),DATOS!$K$2:$K$20000)),"—"),"")</f>
        <v>—</v>
      </c>
      <c r="L107">
        <f>IF(V107="Sí",COUNTIFS(DATOS!G:G,CONFIG_METADATA!$B$4,DATOS!D:D,A107,DATOS!I:I,B107,DATOS!K:K,1),"")</f>
        <v>0</v>
      </c>
      <c r="M107">
        <f>IF(V107="Sí",COUNTIFS(DATOS!G:G,CONFIG_METADATA!$B$4,DATOS!D:D,A107,DATOS!I:I,B107,DATOS!K:K,2),"")</f>
        <v>0</v>
      </c>
      <c r="N107">
        <f>IF(V107="Sí",COUNTIFS(DATOS!G:G,CONFIG_METADATA!$B$4,DATOS!D:D,A107,DATOS!I:I,B107,DATOS!K:K,3),"")</f>
        <v>0</v>
      </c>
      <c r="O107">
        <f>IF(V107="Sí",COUNTIFS(DATOS!G:G,CONFIG_METADATA!$B$4,DATOS!D:D,A107,DATOS!I:I,B107,DATOS!K:K,4),"")</f>
        <v>0</v>
      </c>
      <c r="P107">
        <f>IF(V107="Sí",COUNTIFS(DATOS!G:G,CONFIG_METADATA!$B$4,DATOS!D:D,A107,DATOS!I:I,B107,DATOS!K:K,5),"")</f>
        <v>0</v>
      </c>
      <c r="Q107">
        <f>IF(V107="Sí",COUNTIFS(DATOS!G:G,CONFIG_METADATA!$B$4,DATOS!D:D,A107,DATOS!I:I,B107,DATOS!K:K,6),"")</f>
        <v>0</v>
      </c>
      <c r="R107">
        <f>IF(V107="Sí",COUNTIFS(DATOS!G:G,CONFIG_METADATA!$B$4,DATOS!D:D,A107,DATOS!I:I,B107,DATOS!K:K,7),"")</f>
        <v>0</v>
      </c>
      <c r="S107">
        <f>IF(V107="Sí",COUNTIFS(DATOS!G:G,CONFIG_METADATA!$B$4,DATOS!D:D,A107,DATOS!I:I,B107,DATOS!K:K,8),"")</f>
        <v>0</v>
      </c>
      <c r="T107">
        <f>IF(V107="Sí",COUNTIFS(DATOS!G:G,CONFIG_METADATA!$B$4,DATOS!D:D,A107,DATOS!I:I,B107,DATOS!K:K,9),"")</f>
        <v>0</v>
      </c>
      <c r="U107">
        <f>IF(V107="Sí",COUNTIFS(DATOS!G:G,CONFIG_METADATA!$B$4,DATOS!D:D,A107,DATOS!I:I,B107,DATOS!K:K,10),"")</f>
        <v>0</v>
      </c>
      <c r="V107" t="str">
        <f>IFERROR(IF(ISERROR(FIND(A107,VLOOKUP(B107,CONFIG_ASIGNATURAS!B:C,2,FALSE()))),"No","Sí"),"No")</f>
        <v>Sí</v>
      </c>
    </row>
    <row r="108" spans="1:22">
      <c r="A108" s="3" t="inlineStr">
        <is>
          <t xml:space="preserve">1EEM</t>
        </is>
      </c>
      <c r="B108" s="3" cm="1">
        <f t="array" ref="B108">IFERROR(INDEX(_xlfn._xlws.FILTER(CONFIG_ASIGNATURAS!$B$2:$B$61,(CONFIG_ASIGNATURAS!$G$2:$G$61="Sí")*ISNUMBER(SEARCH("1EEM",CONFIG_ASIGNATURAS!$C$2:$C$61))),41),"")</f>
      </c>
      <c r="C108" s="3">
        <f>IF(B108="","",IFERROR(IF(VLOOKUP(B108,CONFIG_ASIGNATURAS!$B$2:$F$61,5,FALSE())="Sí","Especialidad","Asignatura"),"Asignatura"))</f>
      </c>
      <c r="D108">
        <f>IF(V108="Sí",COUNTIFS(DATOS!G:G,CONFIG_METADATA!$B$4,DATOS!D:D,A108,DATOS!I:I,B108),"")</f>
        <v>0</v>
      </c>
      <c r="E108" s="14" t="str">
        <f>IF(V108="Sí",IFERROR(AVERAGEIFS(DATOS!K:K,DATOS!G:G,CONFIG_METADATA!$B$4,DATOS!D:D,A108,DATOS!I:I,B108),"—"),"")</f>
        <v>—</v>
      </c>
      <c r="F108" s="14" t="str" cm="1">
        <f t="array" ref="F108">IF(V108="Sí",IFERROR(_xlfn.STDEV.P(IF((DATOS!$G$2:$G$20000=CONFIG_METADATA!$B$4)*(DATOS!$D$2:$D$20000=A108)*(DATOS!$I$2:$I$20000=B108),DATOS!$K$2:$K$20000)),"—"),"")</f>
        <v>—</v>
      </c>
      <c r="G108" t="str" cm="1">
        <f t="array" ref="G108">IF(V108="Sí",IFERROR(_xlfn.MODE.SNGL(IF((DATOS!$G$2:$G$20000=CONFIG_METADATA!$B$4)*(DATOS!$D$2:$D$20000=A108)*(DATOS!$I$2:$I$20000=B108),DATOS!$K$2:$K$20000)),"—"),"")</f>
        <v>—</v>
      </c>
      <c r="H108" s="15" t="str">
        <f>IF(V108="Sí",IFERROR(COUNTIFS(DATOS!G:G,CONFIG_METADATA!$B$4,DATOS!D:D,A108,DATOS!I:I,B108,DATOS!L:L,"S")/COUNTIFS(DATOS!G:G,CONFIG_METADATA!$B$4,DATOS!D:D,A108,DATOS!I:I,B108),"—"),"")</f>
        <v>—</v>
      </c>
      <c r="I108" s="15" t="str">
        <f>IF(V108="Sí",IFERROR(COUNTIFS(DATOS!G:G,CONFIG_METADATA!$B$4,DATOS!D:D,A108,DATOS!I:I,B108,DATOS!L:L,"N")/COUNTIFS(DATOS!G:G,CONFIG_METADATA!$B$4,DATOS!D:D,A108,DATOS!I:I,B108),"—"),"")</f>
        <v>—</v>
      </c>
      <c r="J108" t="str" cm="1">
        <f t="array" ref="J108">IF(V108="Sí",IFERROR(_xlfn.MODE.SNGL(IF((DATOS!$G$2:$G$20000=CONFIG_METADATA!$B$4)*(DATOS!$D$2:$D$20000=A108)*(DATOS!$I$2:$I$20000=B108)*(DATOS!$L$2:$L$20000="S"),DATOS!$K$2:$K$20000)),"—"),"")</f>
        <v>—</v>
      </c>
      <c r="K108" t="str" cm="1">
        <f t="array" ref="K108">IF(V108="Sí",IFERROR(_xlfn.MODE.SNGL(IF((DATOS!$G$2:$G$20000=CONFIG_METADATA!$B$4)*(DATOS!$D$2:$D$20000=A108)*(DATOS!$I$2:$I$20000=B108)*(DATOS!$L$2:$L$20000="N"),DATOS!$K$2:$K$20000)),"—"),"")</f>
        <v>—</v>
      </c>
      <c r="L108">
        <f>IF(V108="Sí",COUNTIFS(DATOS!G:G,CONFIG_METADATA!$B$4,DATOS!D:D,A108,DATOS!I:I,B108,DATOS!K:K,1),"")</f>
        <v>0</v>
      </c>
      <c r="M108">
        <f>IF(V108="Sí",COUNTIFS(DATOS!G:G,CONFIG_METADATA!$B$4,DATOS!D:D,A108,DATOS!I:I,B108,DATOS!K:K,2),"")</f>
        <v>0</v>
      </c>
      <c r="N108">
        <f>IF(V108="Sí",COUNTIFS(DATOS!G:G,CONFIG_METADATA!$B$4,DATOS!D:D,A108,DATOS!I:I,B108,DATOS!K:K,3),"")</f>
        <v>0</v>
      </c>
      <c r="O108">
        <f>IF(V108="Sí",COUNTIFS(DATOS!G:G,CONFIG_METADATA!$B$4,DATOS!D:D,A108,DATOS!I:I,B108,DATOS!K:K,4),"")</f>
        <v>0</v>
      </c>
      <c r="P108">
        <f>IF(V108="Sí",COUNTIFS(DATOS!G:G,CONFIG_METADATA!$B$4,DATOS!D:D,A108,DATOS!I:I,B108,DATOS!K:K,5),"")</f>
        <v>0</v>
      </c>
      <c r="Q108">
        <f>IF(V108="Sí",COUNTIFS(DATOS!G:G,CONFIG_METADATA!$B$4,DATOS!D:D,A108,DATOS!I:I,B108,DATOS!K:K,6),"")</f>
        <v>0</v>
      </c>
      <c r="R108">
        <f>IF(V108="Sí",COUNTIFS(DATOS!G:G,CONFIG_METADATA!$B$4,DATOS!D:D,A108,DATOS!I:I,B108,DATOS!K:K,7),"")</f>
        <v>0</v>
      </c>
      <c r="S108">
        <f>IF(V108="Sí",COUNTIFS(DATOS!G:G,CONFIG_METADATA!$B$4,DATOS!D:D,A108,DATOS!I:I,B108,DATOS!K:K,8),"")</f>
        <v>0</v>
      </c>
      <c r="T108">
        <f>IF(V108="Sí",COUNTIFS(DATOS!G:G,CONFIG_METADATA!$B$4,DATOS!D:D,A108,DATOS!I:I,B108,DATOS!K:K,9),"")</f>
        <v>0</v>
      </c>
      <c r="U108">
        <f>IF(V108="Sí",COUNTIFS(DATOS!G:G,CONFIG_METADATA!$B$4,DATOS!D:D,A108,DATOS!I:I,B108,DATOS!K:K,10),"")</f>
        <v>0</v>
      </c>
      <c r="V108" t="str">
        <f>IFERROR(IF(ISERROR(FIND(A108,VLOOKUP(B108,CONFIG_ASIGNATURAS!B:C,2,FALSE()))),"No","Sí"),"No")</f>
        <v>Sí</v>
      </c>
    </row>
    <row r="109" spans="1:22">
      <c r="A109" s="3" t="inlineStr">
        <is>
          <t xml:space="preserve">1EEM</t>
        </is>
      </c>
      <c r="B109" s="3" cm="1">
        <f t="array" ref="B109">IFERROR(INDEX(_xlfn._xlws.FILTER(CONFIG_ASIGNATURAS!$B$2:$B$61,(CONFIG_ASIGNATURAS!$G$2:$G$61="Sí")*ISNUMBER(SEARCH("1EEM",CONFIG_ASIGNATURAS!$C$2:$C$61))),42),"")</f>
      </c>
      <c r="C109" s="3">
        <f>IF(B109="","",IFERROR(IF(VLOOKUP(B109,CONFIG_ASIGNATURAS!$B$2:$F$61,5,FALSE())="Sí","Especialidad","Asignatura"),"Asignatura"))</f>
      </c>
      <c r="D109">
        <f>IF(V109="Sí",COUNTIFS(DATOS!G:G,CONFIG_METADATA!$B$4,DATOS!D:D,A109,DATOS!I:I,B109),"")</f>
        <v>0</v>
      </c>
      <c r="E109" s="14" t="str">
        <f>IF(V109="Sí",IFERROR(AVERAGEIFS(DATOS!K:K,DATOS!G:G,CONFIG_METADATA!$B$4,DATOS!D:D,A109,DATOS!I:I,B109),"—"),"")</f>
        <v>—</v>
      </c>
      <c r="F109" s="14" t="str" cm="1">
        <f t="array" ref="F109">IF(V109="Sí",IFERROR(_xlfn.STDEV.P(IF((DATOS!$G$2:$G$20000=CONFIG_METADATA!$B$4)*(DATOS!$D$2:$D$20000=A109)*(DATOS!$I$2:$I$20000=B109),DATOS!$K$2:$K$20000)),"—"),"")</f>
        <v>—</v>
      </c>
      <c r="G109" t="str" cm="1">
        <f t="array" ref="G109">IF(V109="Sí",IFERROR(_xlfn.MODE.SNGL(IF((DATOS!$G$2:$G$20000=CONFIG_METADATA!$B$4)*(DATOS!$D$2:$D$20000=A109)*(DATOS!$I$2:$I$20000=B109),DATOS!$K$2:$K$20000)),"—"),"")</f>
        <v>—</v>
      </c>
      <c r="H109" s="15" t="str">
        <f>IF(V109="Sí",IFERROR(COUNTIFS(DATOS!G:G,CONFIG_METADATA!$B$4,DATOS!D:D,A109,DATOS!I:I,B109,DATOS!L:L,"S")/COUNTIFS(DATOS!G:G,CONFIG_METADATA!$B$4,DATOS!D:D,A109,DATOS!I:I,B109),"—"),"")</f>
        <v>—</v>
      </c>
      <c r="I109" s="15" t="str">
        <f>IF(V109="Sí",IFERROR(COUNTIFS(DATOS!G:G,CONFIG_METADATA!$B$4,DATOS!D:D,A109,DATOS!I:I,B109,DATOS!L:L,"N")/COUNTIFS(DATOS!G:G,CONFIG_METADATA!$B$4,DATOS!D:D,A109,DATOS!I:I,B109),"—"),"")</f>
        <v>—</v>
      </c>
      <c r="J109" t="str" cm="1">
        <f t="array" ref="J109">IF(V109="Sí",IFERROR(_xlfn.MODE.SNGL(IF((DATOS!$G$2:$G$20000=CONFIG_METADATA!$B$4)*(DATOS!$D$2:$D$20000=A109)*(DATOS!$I$2:$I$20000=B109)*(DATOS!$L$2:$L$20000="S"),DATOS!$K$2:$K$20000)),"—"),"")</f>
        <v>—</v>
      </c>
      <c r="K109" t="str" cm="1">
        <f t="array" ref="K109">IF(V109="Sí",IFERROR(_xlfn.MODE.SNGL(IF((DATOS!$G$2:$G$20000=CONFIG_METADATA!$B$4)*(DATOS!$D$2:$D$20000=A109)*(DATOS!$I$2:$I$20000=B109)*(DATOS!$L$2:$L$20000="N"),DATOS!$K$2:$K$20000)),"—"),"")</f>
        <v>—</v>
      </c>
      <c r="L109">
        <f>IF(V109="Sí",COUNTIFS(DATOS!G:G,CONFIG_METADATA!$B$4,DATOS!D:D,A109,DATOS!I:I,B109,DATOS!K:K,1),"")</f>
        <v>0</v>
      </c>
      <c r="M109">
        <f>IF(V109="Sí",COUNTIFS(DATOS!G:G,CONFIG_METADATA!$B$4,DATOS!D:D,A109,DATOS!I:I,B109,DATOS!K:K,2),"")</f>
        <v>0</v>
      </c>
      <c r="N109">
        <f>IF(V109="Sí",COUNTIFS(DATOS!G:G,CONFIG_METADATA!$B$4,DATOS!D:D,A109,DATOS!I:I,B109,DATOS!K:K,3),"")</f>
        <v>0</v>
      </c>
      <c r="O109">
        <f>IF(V109="Sí",COUNTIFS(DATOS!G:G,CONFIG_METADATA!$B$4,DATOS!D:D,A109,DATOS!I:I,B109,DATOS!K:K,4),"")</f>
        <v>0</v>
      </c>
      <c r="P109">
        <f>IF(V109="Sí",COUNTIFS(DATOS!G:G,CONFIG_METADATA!$B$4,DATOS!D:D,A109,DATOS!I:I,B109,DATOS!K:K,5),"")</f>
        <v>0</v>
      </c>
      <c r="Q109">
        <f>IF(V109="Sí",COUNTIFS(DATOS!G:G,CONFIG_METADATA!$B$4,DATOS!D:D,A109,DATOS!I:I,B109,DATOS!K:K,6),"")</f>
        <v>0</v>
      </c>
      <c r="R109">
        <f>IF(V109="Sí",COUNTIFS(DATOS!G:G,CONFIG_METADATA!$B$4,DATOS!D:D,A109,DATOS!I:I,B109,DATOS!K:K,7),"")</f>
        <v>0</v>
      </c>
      <c r="S109">
        <f>IF(V109="Sí",COUNTIFS(DATOS!G:G,CONFIG_METADATA!$B$4,DATOS!D:D,A109,DATOS!I:I,B109,DATOS!K:K,8),"")</f>
        <v>0</v>
      </c>
      <c r="T109">
        <f>IF(V109="Sí",COUNTIFS(DATOS!G:G,CONFIG_METADATA!$B$4,DATOS!D:D,A109,DATOS!I:I,B109,DATOS!K:K,9),"")</f>
        <v>0</v>
      </c>
      <c r="U109">
        <f>IF(V109="Sí",COUNTIFS(DATOS!G:G,CONFIG_METADATA!$B$4,DATOS!D:D,A109,DATOS!I:I,B109,DATOS!K:K,10),"")</f>
        <v>0</v>
      </c>
      <c r="V109" t="str">
        <f>IFERROR(IF(ISERROR(FIND(A109,VLOOKUP(B109,CONFIG_ASIGNATURAS!B:C,2,FALSE()))),"No","Sí"),"No")</f>
        <v>Sí</v>
      </c>
    </row>
    <row r="110" spans="1:22">
      <c r="A110" s="3" t="inlineStr">
        <is>
          <t xml:space="preserve">1EEM</t>
        </is>
      </c>
      <c r="B110" s="3" cm="1">
        <f t="array" ref="B110">IFERROR(INDEX(_xlfn._xlws.FILTER(CONFIG_ASIGNATURAS!$B$2:$B$61,(CONFIG_ASIGNATURAS!$G$2:$G$61="Sí")*ISNUMBER(SEARCH("1EEM",CONFIG_ASIGNATURAS!$C$2:$C$61))),43),"")</f>
      </c>
      <c r="C110" s="3">
        <f>IF(B110="","",IFERROR(IF(VLOOKUP(B110,CONFIG_ASIGNATURAS!$B$2:$F$61,5,FALSE())="Sí","Especialidad","Asignatura"),"Asignatura"))</f>
      </c>
      <c r="D110">
        <f>IF(V110="Sí",COUNTIFS(DATOS!G:G,CONFIG_METADATA!$B$4,DATOS!D:D,A110,DATOS!I:I,B110),"")</f>
        <v>0</v>
      </c>
      <c r="E110" s="14" t="str">
        <f>IF(V110="Sí",IFERROR(AVERAGEIFS(DATOS!K:K,DATOS!G:G,CONFIG_METADATA!$B$4,DATOS!D:D,A110,DATOS!I:I,B110),"—"),"")</f>
        <v>—</v>
      </c>
      <c r="F110" s="14" t="str" cm="1">
        <f t="array" ref="F110">IF(V110="Sí",IFERROR(_xlfn.STDEV.P(IF((DATOS!$G$2:$G$20000=CONFIG_METADATA!$B$4)*(DATOS!$D$2:$D$20000=A110)*(DATOS!$I$2:$I$20000=B110),DATOS!$K$2:$K$20000)),"—"),"")</f>
        <v>—</v>
      </c>
      <c r="G110" t="str" cm="1">
        <f t="array" ref="G110">IF(V110="Sí",IFERROR(_xlfn.MODE.SNGL(IF((DATOS!$G$2:$G$20000=CONFIG_METADATA!$B$4)*(DATOS!$D$2:$D$20000=A110)*(DATOS!$I$2:$I$20000=B110),DATOS!$K$2:$K$20000)),"—"),"")</f>
        <v>—</v>
      </c>
      <c r="H110" s="15" t="str">
        <f>IF(V110="Sí",IFERROR(COUNTIFS(DATOS!G:G,CONFIG_METADATA!$B$4,DATOS!D:D,A110,DATOS!I:I,B110,DATOS!L:L,"S")/COUNTIFS(DATOS!G:G,CONFIG_METADATA!$B$4,DATOS!D:D,A110,DATOS!I:I,B110),"—"),"")</f>
        <v>—</v>
      </c>
      <c r="I110" s="15" t="str">
        <f>IF(V110="Sí",IFERROR(COUNTIFS(DATOS!G:G,CONFIG_METADATA!$B$4,DATOS!D:D,A110,DATOS!I:I,B110,DATOS!L:L,"N")/COUNTIFS(DATOS!G:G,CONFIG_METADATA!$B$4,DATOS!D:D,A110,DATOS!I:I,B110),"—"),"")</f>
        <v>—</v>
      </c>
      <c r="J110" t="str" cm="1">
        <f t="array" ref="J110">IF(V110="Sí",IFERROR(_xlfn.MODE.SNGL(IF((DATOS!$G$2:$G$20000=CONFIG_METADATA!$B$4)*(DATOS!$D$2:$D$20000=A110)*(DATOS!$I$2:$I$20000=B110)*(DATOS!$L$2:$L$20000="S"),DATOS!$K$2:$K$20000)),"—"),"")</f>
        <v>—</v>
      </c>
      <c r="K110" t="str" cm="1">
        <f t="array" ref="K110">IF(V110="Sí",IFERROR(_xlfn.MODE.SNGL(IF((DATOS!$G$2:$G$20000=CONFIG_METADATA!$B$4)*(DATOS!$D$2:$D$20000=A110)*(DATOS!$I$2:$I$20000=B110)*(DATOS!$L$2:$L$20000="N"),DATOS!$K$2:$K$20000)),"—"),"")</f>
        <v>—</v>
      </c>
      <c r="L110">
        <f>IF(V110="Sí",COUNTIFS(DATOS!G:G,CONFIG_METADATA!$B$4,DATOS!D:D,A110,DATOS!I:I,B110,DATOS!K:K,1),"")</f>
        <v>0</v>
      </c>
      <c r="M110">
        <f>IF(V110="Sí",COUNTIFS(DATOS!G:G,CONFIG_METADATA!$B$4,DATOS!D:D,A110,DATOS!I:I,B110,DATOS!K:K,2),"")</f>
        <v>0</v>
      </c>
      <c r="N110">
        <f>IF(V110="Sí",COUNTIFS(DATOS!G:G,CONFIG_METADATA!$B$4,DATOS!D:D,A110,DATOS!I:I,B110,DATOS!K:K,3),"")</f>
        <v>0</v>
      </c>
      <c r="O110">
        <f>IF(V110="Sí",COUNTIFS(DATOS!G:G,CONFIG_METADATA!$B$4,DATOS!D:D,A110,DATOS!I:I,B110,DATOS!K:K,4),"")</f>
        <v>0</v>
      </c>
      <c r="P110">
        <f>IF(V110="Sí",COUNTIFS(DATOS!G:G,CONFIG_METADATA!$B$4,DATOS!D:D,A110,DATOS!I:I,B110,DATOS!K:K,5),"")</f>
        <v>0</v>
      </c>
      <c r="Q110">
        <f>IF(V110="Sí",COUNTIFS(DATOS!G:G,CONFIG_METADATA!$B$4,DATOS!D:D,A110,DATOS!I:I,B110,DATOS!K:K,6),"")</f>
        <v>0</v>
      </c>
      <c r="R110">
        <f>IF(V110="Sí",COUNTIFS(DATOS!G:G,CONFIG_METADATA!$B$4,DATOS!D:D,A110,DATOS!I:I,B110,DATOS!K:K,7),"")</f>
        <v>0</v>
      </c>
      <c r="S110">
        <f>IF(V110="Sí",COUNTIFS(DATOS!G:G,CONFIG_METADATA!$B$4,DATOS!D:D,A110,DATOS!I:I,B110,DATOS!K:K,8),"")</f>
        <v>0</v>
      </c>
      <c r="T110">
        <f>IF(V110="Sí",COUNTIFS(DATOS!G:G,CONFIG_METADATA!$B$4,DATOS!D:D,A110,DATOS!I:I,B110,DATOS!K:K,9),"")</f>
        <v>0</v>
      </c>
      <c r="U110">
        <f>IF(V110="Sí",COUNTIFS(DATOS!G:G,CONFIG_METADATA!$B$4,DATOS!D:D,A110,DATOS!I:I,B110,DATOS!K:K,10),"")</f>
        <v>0</v>
      </c>
      <c r="V110" t="str">
        <f>IFERROR(IF(ISERROR(FIND(A110,VLOOKUP(B110,CONFIG_ASIGNATURAS!B:C,2,FALSE()))),"No","Sí"),"No")</f>
        <v>Sí</v>
      </c>
    </row>
    <row r="111" spans="1:22">
      <c r="A111" s="3" t="inlineStr">
        <is>
          <t xml:space="preserve">1EEM</t>
        </is>
      </c>
      <c r="B111" s="3" cm="1">
        <f t="array" ref="B111">IFERROR(INDEX(_xlfn._xlws.FILTER(CONFIG_ASIGNATURAS!$B$2:$B$61,(CONFIG_ASIGNATURAS!$G$2:$G$61="Sí")*ISNUMBER(SEARCH("1EEM",CONFIG_ASIGNATURAS!$C$2:$C$61))),44),"")</f>
      </c>
      <c r="C111" s="3">
        <f>IF(B111="","",IFERROR(IF(VLOOKUP(B111,CONFIG_ASIGNATURAS!$B$2:$F$61,5,FALSE())="Sí","Especialidad","Asignatura"),"Asignatura"))</f>
      </c>
      <c r="D111">
        <f>IF(V111="Sí",COUNTIFS(DATOS!G:G,CONFIG_METADATA!$B$4,DATOS!D:D,A111,DATOS!I:I,B111),"")</f>
        <v>0</v>
      </c>
      <c r="E111" s="14" t="str">
        <f>IF(V111="Sí",IFERROR(AVERAGEIFS(DATOS!K:K,DATOS!G:G,CONFIG_METADATA!$B$4,DATOS!D:D,A111,DATOS!I:I,B111),"—"),"")</f>
        <v>—</v>
      </c>
      <c r="F111" s="14" t="str" cm="1">
        <f t="array" ref="F111">IF(V111="Sí",IFERROR(_xlfn.STDEV.P(IF((DATOS!$G$2:$G$20000=CONFIG_METADATA!$B$4)*(DATOS!$D$2:$D$20000=A111)*(DATOS!$I$2:$I$20000=B111),DATOS!$K$2:$K$20000)),"—"),"")</f>
        <v>—</v>
      </c>
      <c r="G111" t="str" cm="1">
        <f t="array" ref="G111">IF(V111="Sí",IFERROR(_xlfn.MODE.SNGL(IF((DATOS!$G$2:$G$20000=CONFIG_METADATA!$B$4)*(DATOS!$D$2:$D$20000=A111)*(DATOS!$I$2:$I$20000=B111),DATOS!$K$2:$K$20000)),"—"),"")</f>
        <v>—</v>
      </c>
      <c r="H111" s="15" t="str">
        <f>IF(V111="Sí",IFERROR(COUNTIFS(DATOS!G:G,CONFIG_METADATA!$B$4,DATOS!D:D,A111,DATOS!I:I,B111,DATOS!L:L,"S")/COUNTIFS(DATOS!G:G,CONFIG_METADATA!$B$4,DATOS!D:D,A111,DATOS!I:I,B111),"—"),"")</f>
        <v>—</v>
      </c>
      <c r="I111" s="15" t="str">
        <f>IF(V111="Sí",IFERROR(COUNTIFS(DATOS!G:G,CONFIG_METADATA!$B$4,DATOS!D:D,A111,DATOS!I:I,B111,DATOS!L:L,"N")/COUNTIFS(DATOS!G:G,CONFIG_METADATA!$B$4,DATOS!D:D,A111,DATOS!I:I,B111),"—"),"")</f>
        <v>—</v>
      </c>
      <c r="J111" t="str" cm="1">
        <f t="array" ref="J111">IF(V111="Sí",IFERROR(_xlfn.MODE.SNGL(IF((DATOS!$G$2:$G$20000=CONFIG_METADATA!$B$4)*(DATOS!$D$2:$D$20000=A111)*(DATOS!$I$2:$I$20000=B111)*(DATOS!$L$2:$L$20000="S"),DATOS!$K$2:$K$20000)),"—"),"")</f>
        <v>—</v>
      </c>
      <c r="K111" t="str" cm="1">
        <f t="array" ref="K111">IF(V111="Sí",IFERROR(_xlfn.MODE.SNGL(IF((DATOS!$G$2:$G$20000=CONFIG_METADATA!$B$4)*(DATOS!$D$2:$D$20000=A111)*(DATOS!$I$2:$I$20000=B111)*(DATOS!$L$2:$L$20000="N"),DATOS!$K$2:$K$20000)),"—"),"")</f>
        <v>—</v>
      </c>
      <c r="L111">
        <f>IF(V111="Sí",COUNTIFS(DATOS!G:G,CONFIG_METADATA!$B$4,DATOS!D:D,A111,DATOS!I:I,B111,DATOS!K:K,1),"")</f>
        <v>0</v>
      </c>
      <c r="M111">
        <f>IF(V111="Sí",COUNTIFS(DATOS!G:G,CONFIG_METADATA!$B$4,DATOS!D:D,A111,DATOS!I:I,B111,DATOS!K:K,2),"")</f>
        <v>0</v>
      </c>
      <c r="N111">
        <f>IF(V111="Sí",COUNTIFS(DATOS!G:G,CONFIG_METADATA!$B$4,DATOS!D:D,A111,DATOS!I:I,B111,DATOS!K:K,3),"")</f>
        <v>0</v>
      </c>
      <c r="O111">
        <f>IF(V111="Sí",COUNTIFS(DATOS!G:G,CONFIG_METADATA!$B$4,DATOS!D:D,A111,DATOS!I:I,B111,DATOS!K:K,4),"")</f>
        <v>0</v>
      </c>
      <c r="P111">
        <f>IF(V111="Sí",COUNTIFS(DATOS!G:G,CONFIG_METADATA!$B$4,DATOS!D:D,A111,DATOS!I:I,B111,DATOS!K:K,5),"")</f>
        <v>0</v>
      </c>
      <c r="Q111">
        <f>IF(V111="Sí",COUNTIFS(DATOS!G:G,CONFIG_METADATA!$B$4,DATOS!D:D,A111,DATOS!I:I,B111,DATOS!K:K,6),"")</f>
        <v>0</v>
      </c>
      <c r="R111">
        <f>IF(V111="Sí",COUNTIFS(DATOS!G:G,CONFIG_METADATA!$B$4,DATOS!D:D,A111,DATOS!I:I,B111,DATOS!K:K,7),"")</f>
        <v>0</v>
      </c>
      <c r="S111">
        <f>IF(V111="Sí",COUNTIFS(DATOS!G:G,CONFIG_METADATA!$B$4,DATOS!D:D,A111,DATOS!I:I,B111,DATOS!K:K,8),"")</f>
        <v>0</v>
      </c>
      <c r="T111">
        <f>IF(V111="Sí",COUNTIFS(DATOS!G:G,CONFIG_METADATA!$B$4,DATOS!D:D,A111,DATOS!I:I,B111,DATOS!K:K,9),"")</f>
        <v>0</v>
      </c>
      <c r="U111">
        <f>IF(V111="Sí",COUNTIFS(DATOS!G:G,CONFIG_METADATA!$B$4,DATOS!D:D,A111,DATOS!I:I,B111,DATOS!K:K,10),"")</f>
        <v>0</v>
      </c>
      <c r="V111" t="str">
        <f>IFERROR(IF(ISERROR(FIND(A111,VLOOKUP(B111,CONFIG_ASIGNATURAS!B:C,2,FALSE()))),"No","Sí"),"No")</f>
        <v>Sí</v>
      </c>
    </row>
    <row r="112" spans="1:22">
      <c r="A112" s="3" t="inlineStr">
        <is>
          <t xml:space="preserve">1EEM</t>
        </is>
      </c>
      <c r="B112" s="3" cm="1">
        <f t="array" ref="B112">IFERROR(INDEX(_xlfn._xlws.FILTER(CONFIG_ASIGNATURAS!$B$2:$B$61,(CONFIG_ASIGNATURAS!$G$2:$G$61="Sí")*ISNUMBER(SEARCH("1EEM",CONFIG_ASIGNATURAS!$C$2:$C$61))),45),"")</f>
      </c>
      <c r="C112" s="3">
        <f>IF(B112="","",IFERROR(IF(VLOOKUP(B112,CONFIG_ASIGNATURAS!$B$2:$F$61,5,FALSE())="Sí","Especialidad","Asignatura"),"Asignatura"))</f>
      </c>
      <c r="D112">
        <f>IF(V112="Sí",COUNTIFS(DATOS!G:G,CONFIG_METADATA!$B$4,DATOS!D:D,A112,DATOS!I:I,B112),"")</f>
        <v>0</v>
      </c>
      <c r="E112" s="14" t="str">
        <f>IF(V112="Sí",IFERROR(AVERAGEIFS(DATOS!K:K,DATOS!G:G,CONFIG_METADATA!$B$4,DATOS!D:D,A112,DATOS!I:I,B112),"—"),"")</f>
        <v>—</v>
      </c>
      <c r="F112" s="14" t="str" cm="1">
        <f t="array" ref="F112">IF(V112="Sí",IFERROR(_xlfn.STDEV.P(IF((DATOS!$G$2:$G$20000=CONFIG_METADATA!$B$4)*(DATOS!$D$2:$D$20000=A112)*(DATOS!$I$2:$I$20000=B112),DATOS!$K$2:$K$20000)),"—"),"")</f>
        <v>—</v>
      </c>
      <c r="G112" t="str" cm="1">
        <f t="array" ref="G112">IF(V112="Sí",IFERROR(_xlfn.MODE.SNGL(IF((DATOS!$G$2:$G$20000=CONFIG_METADATA!$B$4)*(DATOS!$D$2:$D$20000=A112)*(DATOS!$I$2:$I$20000=B112),DATOS!$K$2:$K$20000)),"—"),"")</f>
        <v>—</v>
      </c>
      <c r="H112" s="15" t="str">
        <f>IF(V112="Sí",IFERROR(COUNTIFS(DATOS!G:G,CONFIG_METADATA!$B$4,DATOS!D:D,A112,DATOS!I:I,B112,DATOS!L:L,"S")/COUNTIFS(DATOS!G:G,CONFIG_METADATA!$B$4,DATOS!D:D,A112,DATOS!I:I,B112),"—"),"")</f>
        <v>—</v>
      </c>
      <c r="I112" s="15" t="str">
        <f>IF(V112="Sí",IFERROR(COUNTIFS(DATOS!G:G,CONFIG_METADATA!$B$4,DATOS!D:D,A112,DATOS!I:I,B112,DATOS!L:L,"N")/COUNTIFS(DATOS!G:G,CONFIG_METADATA!$B$4,DATOS!D:D,A112,DATOS!I:I,B112),"—"),"")</f>
        <v>—</v>
      </c>
      <c r="J112" t="str" cm="1">
        <f t="array" ref="J112">IF(V112="Sí",IFERROR(_xlfn.MODE.SNGL(IF((DATOS!$G$2:$G$20000=CONFIG_METADATA!$B$4)*(DATOS!$D$2:$D$20000=A112)*(DATOS!$I$2:$I$20000=B112)*(DATOS!$L$2:$L$20000="S"),DATOS!$K$2:$K$20000)),"—"),"")</f>
        <v>—</v>
      </c>
      <c r="K112" t="str" cm="1">
        <f t="array" ref="K112">IF(V112="Sí",IFERROR(_xlfn.MODE.SNGL(IF((DATOS!$G$2:$G$20000=CONFIG_METADATA!$B$4)*(DATOS!$D$2:$D$20000=A112)*(DATOS!$I$2:$I$20000=B112)*(DATOS!$L$2:$L$20000="N"),DATOS!$K$2:$K$20000)),"—"),"")</f>
        <v>—</v>
      </c>
      <c r="L112">
        <f>IF(V112="Sí",COUNTIFS(DATOS!G:G,CONFIG_METADATA!$B$4,DATOS!D:D,A112,DATOS!I:I,B112,DATOS!K:K,1),"")</f>
        <v>0</v>
      </c>
      <c r="M112">
        <f>IF(V112="Sí",COUNTIFS(DATOS!G:G,CONFIG_METADATA!$B$4,DATOS!D:D,A112,DATOS!I:I,B112,DATOS!K:K,2),"")</f>
        <v>0</v>
      </c>
      <c r="N112">
        <f>IF(V112="Sí",COUNTIFS(DATOS!G:G,CONFIG_METADATA!$B$4,DATOS!D:D,A112,DATOS!I:I,B112,DATOS!K:K,3),"")</f>
        <v>0</v>
      </c>
      <c r="O112">
        <f>IF(V112="Sí",COUNTIFS(DATOS!G:G,CONFIG_METADATA!$B$4,DATOS!D:D,A112,DATOS!I:I,B112,DATOS!K:K,4),"")</f>
        <v>0</v>
      </c>
      <c r="P112">
        <f>IF(V112="Sí",COUNTIFS(DATOS!G:G,CONFIG_METADATA!$B$4,DATOS!D:D,A112,DATOS!I:I,B112,DATOS!K:K,5),"")</f>
        <v>0</v>
      </c>
      <c r="Q112">
        <f>IF(V112="Sí",COUNTIFS(DATOS!G:G,CONFIG_METADATA!$B$4,DATOS!D:D,A112,DATOS!I:I,B112,DATOS!K:K,6),"")</f>
        <v>0</v>
      </c>
      <c r="R112">
        <f>IF(V112="Sí",COUNTIFS(DATOS!G:G,CONFIG_METADATA!$B$4,DATOS!D:D,A112,DATOS!I:I,B112,DATOS!K:K,7),"")</f>
        <v>0</v>
      </c>
      <c r="S112">
        <f>IF(V112="Sí",COUNTIFS(DATOS!G:G,CONFIG_METADATA!$B$4,DATOS!D:D,A112,DATOS!I:I,B112,DATOS!K:K,8),"")</f>
        <v>0</v>
      </c>
      <c r="T112">
        <f>IF(V112="Sí",COUNTIFS(DATOS!G:G,CONFIG_METADATA!$B$4,DATOS!D:D,A112,DATOS!I:I,B112,DATOS!K:K,9),"")</f>
        <v>0</v>
      </c>
      <c r="U112">
        <f>IF(V112="Sí",COUNTIFS(DATOS!G:G,CONFIG_METADATA!$B$4,DATOS!D:D,A112,DATOS!I:I,B112,DATOS!K:K,10),"")</f>
        <v>0</v>
      </c>
      <c r="V112" t="str">
        <f>IFERROR(IF(ISERROR(FIND(A112,VLOOKUP(B112,CONFIG_ASIGNATURAS!B:C,2,FALSE()))),"No","Sí"),"No")</f>
        <v>Sí</v>
      </c>
    </row>
    <row r="113" spans="1:22">
      <c r="A113" s="3" t="inlineStr">
        <is>
          <t xml:space="preserve">1EEM</t>
        </is>
      </c>
      <c r="B113" s="3" cm="1">
        <f t="array" ref="B113">IFERROR(INDEX(_xlfn._xlws.FILTER(CONFIG_ASIGNATURAS!$B$2:$B$61,(CONFIG_ASIGNATURAS!$G$2:$G$61="Sí")*ISNUMBER(SEARCH("1EEM",CONFIG_ASIGNATURAS!$C$2:$C$61))),46),"")</f>
      </c>
      <c r="C113" s="3">
        <f>IF(B113="","",IFERROR(IF(VLOOKUP(B113,CONFIG_ASIGNATURAS!$B$2:$F$61,5,FALSE())="Sí","Especialidad","Asignatura"),"Asignatura"))</f>
      </c>
      <c r="D113">
        <f>IF(V113="Sí",COUNTIFS(DATOS!G:G,CONFIG_METADATA!$B$4,DATOS!D:D,A113,DATOS!I:I,B113),"")</f>
        <v>0</v>
      </c>
      <c r="E113" s="14" t="str">
        <f>IF(V113="Sí",IFERROR(AVERAGEIFS(DATOS!K:K,DATOS!G:G,CONFIG_METADATA!$B$4,DATOS!D:D,A113,DATOS!I:I,B113),"—"),"")</f>
        <v>—</v>
      </c>
      <c r="F113" s="14" t="str" cm="1">
        <f t="array" ref="F113">IF(V113="Sí",IFERROR(_xlfn.STDEV.P(IF((DATOS!$G$2:$G$20000=CONFIG_METADATA!$B$4)*(DATOS!$D$2:$D$20000=A113)*(DATOS!$I$2:$I$20000=B113),DATOS!$K$2:$K$20000)),"—"),"")</f>
        <v>—</v>
      </c>
      <c r="G113" t="str" cm="1">
        <f t="array" ref="G113">IF(V113="Sí",IFERROR(_xlfn.MODE.SNGL(IF((DATOS!$G$2:$G$20000=CONFIG_METADATA!$B$4)*(DATOS!$D$2:$D$20000=A113)*(DATOS!$I$2:$I$20000=B113),DATOS!$K$2:$K$20000)),"—"),"")</f>
        <v>—</v>
      </c>
      <c r="H113" s="15" t="str">
        <f>IF(V113="Sí",IFERROR(COUNTIFS(DATOS!G:G,CONFIG_METADATA!$B$4,DATOS!D:D,A113,DATOS!I:I,B113,DATOS!L:L,"S")/COUNTIFS(DATOS!G:G,CONFIG_METADATA!$B$4,DATOS!D:D,A113,DATOS!I:I,B113),"—"),"")</f>
        <v>—</v>
      </c>
      <c r="I113" s="15" t="str">
        <f>IF(V113="Sí",IFERROR(COUNTIFS(DATOS!G:G,CONFIG_METADATA!$B$4,DATOS!D:D,A113,DATOS!I:I,B113,DATOS!L:L,"N")/COUNTIFS(DATOS!G:G,CONFIG_METADATA!$B$4,DATOS!D:D,A113,DATOS!I:I,B113),"—"),"")</f>
        <v>—</v>
      </c>
      <c r="J113" t="str" cm="1">
        <f t="array" ref="J113">IF(V113="Sí",IFERROR(_xlfn.MODE.SNGL(IF((DATOS!$G$2:$G$20000=CONFIG_METADATA!$B$4)*(DATOS!$D$2:$D$20000=A113)*(DATOS!$I$2:$I$20000=B113)*(DATOS!$L$2:$L$20000="S"),DATOS!$K$2:$K$20000)),"—"),"")</f>
        <v>—</v>
      </c>
      <c r="K113" t="str" cm="1">
        <f t="array" ref="K113">IF(V113="Sí",IFERROR(_xlfn.MODE.SNGL(IF((DATOS!$G$2:$G$20000=CONFIG_METADATA!$B$4)*(DATOS!$D$2:$D$20000=A113)*(DATOS!$I$2:$I$20000=B113)*(DATOS!$L$2:$L$20000="N"),DATOS!$K$2:$K$20000)),"—"),"")</f>
        <v>—</v>
      </c>
      <c r="L113">
        <f>IF(V113="Sí",COUNTIFS(DATOS!G:G,CONFIG_METADATA!$B$4,DATOS!D:D,A113,DATOS!I:I,B113,DATOS!K:K,1),"")</f>
        <v>0</v>
      </c>
      <c r="M113">
        <f>IF(V113="Sí",COUNTIFS(DATOS!G:G,CONFIG_METADATA!$B$4,DATOS!D:D,A113,DATOS!I:I,B113,DATOS!K:K,2),"")</f>
        <v>0</v>
      </c>
      <c r="N113">
        <f>IF(V113="Sí",COUNTIFS(DATOS!G:G,CONFIG_METADATA!$B$4,DATOS!D:D,A113,DATOS!I:I,B113,DATOS!K:K,3),"")</f>
        <v>0</v>
      </c>
      <c r="O113">
        <f>IF(V113="Sí",COUNTIFS(DATOS!G:G,CONFIG_METADATA!$B$4,DATOS!D:D,A113,DATOS!I:I,B113,DATOS!K:K,4),"")</f>
        <v>0</v>
      </c>
      <c r="P113">
        <f>IF(V113="Sí",COUNTIFS(DATOS!G:G,CONFIG_METADATA!$B$4,DATOS!D:D,A113,DATOS!I:I,B113,DATOS!K:K,5),"")</f>
        <v>0</v>
      </c>
      <c r="Q113">
        <f>IF(V113="Sí",COUNTIFS(DATOS!G:G,CONFIG_METADATA!$B$4,DATOS!D:D,A113,DATOS!I:I,B113,DATOS!K:K,6),"")</f>
        <v>0</v>
      </c>
      <c r="R113">
        <f>IF(V113="Sí",COUNTIFS(DATOS!G:G,CONFIG_METADATA!$B$4,DATOS!D:D,A113,DATOS!I:I,B113,DATOS!K:K,7),"")</f>
        <v>0</v>
      </c>
      <c r="S113">
        <f>IF(V113="Sí",COUNTIFS(DATOS!G:G,CONFIG_METADATA!$B$4,DATOS!D:D,A113,DATOS!I:I,B113,DATOS!K:K,8),"")</f>
        <v>0</v>
      </c>
      <c r="T113">
        <f>IF(V113="Sí",COUNTIFS(DATOS!G:G,CONFIG_METADATA!$B$4,DATOS!D:D,A113,DATOS!I:I,B113,DATOS!K:K,9),"")</f>
        <v>0</v>
      </c>
      <c r="U113">
        <f>IF(V113="Sí",COUNTIFS(DATOS!G:G,CONFIG_METADATA!$B$4,DATOS!D:D,A113,DATOS!I:I,B113,DATOS!K:K,10),"")</f>
        <v>0</v>
      </c>
      <c r="V113" t="str">
        <f>IFERROR(IF(ISERROR(FIND(A113,VLOOKUP(B113,CONFIG_ASIGNATURAS!B:C,2,FALSE()))),"No","Sí"),"No")</f>
        <v>Sí</v>
      </c>
    </row>
    <row r="114" spans="1:22">
      <c r="A114" s="3" t="inlineStr">
        <is>
          <t xml:space="preserve">1EEM</t>
        </is>
      </c>
      <c r="B114" s="3" cm="1">
        <f t="array" ref="B114">IFERROR(INDEX(_xlfn._xlws.FILTER(CONFIG_ASIGNATURAS!$B$2:$B$61,(CONFIG_ASIGNATURAS!$G$2:$G$61="Sí")*ISNUMBER(SEARCH("1EEM",CONFIG_ASIGNATURAS!$C$2:$C$61))),47),"")</f>
      </c>
      <c r="C114" s="3">
        <f>IF(B114="","",IFERROR(IF(VLOOKUP(B114,CONFIG_ASIGNATURAS!$B$2:$F$61,5,FALSE())="Sí","Especialidad","Asignatura"),"Asignatura"))</f>
      </c>
      <c r="D114">
        <f>IF(V114="Sí",COUNTIFS(DATOS!G:G,CONFIG_METADATA!$B$4,DATOS!D:D,A114,DATOS!I:I,B114),"")</f>
        <v>0</v>
      </c>
      <c r="E114" s="14" t="str">
        <f>IF(V114="Sí",IFERROR(AVERAGEIFS(DATOS!K:K,DATOS!G:G,CONFIG_METADATA!$B$4,DATOS!D:D,A114,DATOS!I:I,B114),"—"),"")</f>
        <v>—</v>
      </c>
      <c r="F114" s="14" t="str" cm="1">
        <f t="array" ref="F114">IF(V114="Sí",IFERROR(_xlfn.STDEV.P(IF((DATOS!$G$2:$G$20000=CONFIG_METADATA!$B$4)*(DATOS!$D$2:$D$20000=A114)*(DATOS!$I$2:$I$20000=B114),DATOS!$K$2:$K$20000)),"—"),"")</f>
        <v>—</v>
      </c>
      <c r="G114" t="str" cm="1">
        <f t="array" ref="G114">IF(V114="Sí",IFERROR(_xlfn.MODE.SNGL(IF((DATOS!$G$2:$G$20000=CONFIG_METADATA!$B$4)*(DATOS!$D$2:$D$20000=A114)*(DATOS!$I$2:$I$20000=B114),DATOS!$K$2:$K$20000)),"—"),"")</f>
        <v>—</v>
      </c>
      <c r="H114" s="15" t="str">
        <f>IF(V114="Sí",IFERROR(COUNTIFS(DATOS!G:G,CONFIG_METADATA!$B$4,DATOS!D:D,A114,DATOS!I:I,B114,DATOS!L:L,"S")/COUNTIFS(DATOS!G:G,CONFIG_METADATA!$B$4,DATOS!D:D,A114,DATOS!I:I,B114),"—"),"")</f>
        <v>—</v>
      </c>
      <c r="I114" s="15" t="str">
        <f>IF(V114="Sí",IFERROR(COUNTIFS(DATOS!G:G,CONFIG_METADATA!$B$4,DATOS!D:D,A114,DATOS!I:I,B114,DATOS!L:L,"N")/COUNTIFS(DATOS!G:G,CONFIG_METADATA!$B$4,DATOS!D:D,A114,DATOS!I:I,B114),"—"),"")</f>
        <v>—</v>
      </c>
      <c r="J114" t="str" cm="1">
        <f t="array" ref="J114">IF(V114="Sí",IFERROR(_xlfn.MODE.SNGL(IF((DATOS!$G$2:$G$20000=CONFIG_METADATA!$B$4)*(DATOS!$D$2:$D$20000=A114)*(DATOS!$I$2:$I$20000=B114)*(DATOS!$L$2:$L$20000="S"),DATOS!$K$2:$K$20000)),"—"),"")</f>
        <v>—</v>
      </c>
      <c r="K114" t="str" cm="1">
        <f t="array" ref="K114">IF(V114="Sí",IFERROR(_xlfn.MODE.SNGL(IF((DATOS!$G$2:$G$20000=CONFIG_METADATA!$B$4)*(DATOS!$D$2:$D$20000=A114)*(DATOS!$I$2:$I$20000=B114)*(DATOS!$L$2:$L$20000="N"),DATOS!$K$2:$K$20000)),"—"),"")</f>
        <v>—</v>
      </c>
      <c r="L114">
        <f>IF(V114="Sí",COUNTIFS(DATOS!G:G,CONFIG_METADATA!$B$4,DATOS!D:D,A114,DATOS!I:I,B114,DATOS!K:K,1),"")</f>
        <v>0</v>
      </c>
      <c r="M114">
        <f>IF(V114="Sí",COUNTIFS(DATOS!G:G,CONFIG_METADATA!$B$4,DATOS!D:D,A114,DATOS!I:I,B114,DATOS!K:K,2),"")</f>
        <v>0</v>
      </c>
      <c r="N114">
        <f>IF(V114="Sí",COUNTIFS(DATOS!G:G,CONFIG_METADATA!$B$4,DATOS!D:D,A114,DATOS!I:I,B114,DATOS!K:K,3),"")</f>
        <v>0</v>
      </c>
      <c r="O114">
        <f>IF(V114="Sí",COUNTIFS(DATOS!G:G,CONFIG_METADATA!$B$4,DATOS!D:D,A114,DATOS!I:I,B114,DATOS!K:K,4),"")</f>
        <v>0</v>
      </c>
      <c r="P114">
        <f>IF(V114="Sí",COUNTIFS(DATOS!G:G,CONFIG_METADATA!$B$4,DATOS!D:D,A114,DATOS!I:I,B114,DATOS!K:K,5),"")</f>
        <v>0</v>
      </c>
      <c r="Q114">
        <f>IF(V114="Sí",COUNTIFS(DATOS!G:G,CONFIG_METADATA!$B$4,DATOS!D:D,A114,DATOS!I:I,B114,DATOS!K:K,6),"")</f>
        <v>0</v>
      </c>
      <c r="R114">
        <f>IF(V114="Sí",COUNTIFS(DATOS!G:G,CONFIG_METADATA!$B$4,DATOS!D:D,A114,DATOS!I:I,B114,DATOS!K:K,7),"")</f>
        <v>0</v>
      </c>
      <c r="S114">
        <f>IF(V114="Sí",COUNTIFS(DATOS!G:G,CONFIG_METADATA!$B$4,DATOS!D:D,A114,DATOS!I:I,B114,DATOS!K:K,8),"")</f>
        <v>0</v>
      </c>
      <c r="T114">
        <f>IF(V114="Sí",COUNTIFS(DATOS!G:G,CONFIG_METADATA!$B$4,DATOS!D:D,A114,DATOS!I:I,B114,DATOS!K:K,9),"")</f>
        <v>0</v>
      </c>
      <c r="U114">
        <f>IF(V114="Sí",COUNTIFS(DATOS!G:G,CONFIG_METADATA!$B$4,DATOS!D:D,A114,DATOS!I:I,B114,DATOS!K:K,10),"")</f>
        <v>0</v>
      </c>
      <c r="V114" t="str">
        <f>IFERROR(IF(ISERROR(FIND(A114,VLOOKUP(B114,CONFIG_ASIGNATURAS!B:C,2,FALSE()))),"No","Sí"),"No")</f>
        <v>Sí</v>
      </c>
    </row>
    <row r="115" spans="1:22">
      <c r="A115" s="3" t="inlineStr">
        <is>
          <t xml:space="preserve">1EEM</t>
        </is>
      </c>
      <c r="B115" s="3" cm="1">
        <f t="array" ref="B115">IFERROR(INDEX(_xlfn._xlws.FILTER(CONFIG_ASIGNATURAS!$B$2:$B$61,(CONFIG_ASIGNATURAS!$G$2:$G$61="Sí")*ISNUMBER(SEARCH("1EEM",CONFIG_ASIGNATURAS!$C$2:$C$61))),48),"")</f>
      </c>
      <c r="C115" s="3">
        <f>IF(B115="","",IFERROR(IF(VLOOKUP(B115,CONFIG_ASIGNATURAS!$B$2:$F$61,5,FALSE())="Sí","Especialidad","Asignatura"),"Asignatura"))</f>
      </c>
      <c r="D115">
        <f>IF(V115="Sí",COUNTIFS(DATOS!G:G,CONFIG_METADATA!$B$4,DATOS!D:D,A115,DATOS!I:I,B115),"")</f>
        <v>0</v>
      </c>
      <c r="E115" s="14" t="str">
        <f>IF(V115="Sí",IFERROR(AVERAGEIFS(DATOS!K:K,DATOS!G:G,CONFIG_METADATA!$B$4,DATOS!D:D,A115,DATOS!I:I,B115),"—"),"")</f>
        <v>—</v>
      </c>
      <c r="F115" s="14" t="str" cm="1">
        <f t="array" ref="F115">IF(V115="Sí",IFERROR(_xlfn.STDEV.P(IF((DATOS!$G$2:$G$20000=CONFIG_METADATA!$B$4)*(DATOS!$D$2:$D$20000=A115)*(DATOS!$I$2:$I$20000=B115),DATOS!$K$2:$K$20000)),"—"),"")</f>
        <v>—</v>
      </c>
      <c r="G115" t="str" cm="1">
        <f t="array" ref="G115">IF(V115="Sí",IFERROR(_xlfn.MODE.SNGL(IF((DATOS!$G$2:$G$20000=CONFIG_METADATA!$B$4)*(DATOS!$D$2:$D$20000=A115)*(DATOS!$I$2:$I$20000=B115),DATOS!$K$2:$K$20000)),"—"),"")</f>
        <v>—</v>
      </c>
      <c r="H115" s="15" t="str">
        <f>IF(V115="Sí",IFERROR(COUNTIFS(DATOS!G:G,CONFIG_METADATA!$B$4,DATOS!D:D,A115,DATOS!I:I,B115,DATOS!L:L,"S")/COUNTIFS(DATOS!G:G,CONFIG_METADATA!$B$4,DATOS!D:D,A115,DATOS!I:I,B115),"—"),"")</f>
        <v>—</v>
      </c>
      <c r="I115" s="15" t="str">
        <f>IF(V115="Sí",IFERROR(COUNTIFS(DATOS!G:G,CONFIG_METADATA!$B$4,DATOS!D:D,A115,DATOS!I:I,B115,DATOS!L:L,"N")/COUNTIFS(DATOS!G:G,CONFIG_METADATA!$B$4,DATOS!D:D,A115,DATOS!I:I,B115),"—"),"")</f>
        <v>—</v>
      </c>
      <c r="J115" t="str" cm="1">
        <f t="array" ref="J115">IF(V115="Sí",IFERROR(_xlfn.MODE.SNGL(IF((DATOS!$G$2:$G$20000=CONFIG_METADATA!$B$4)*(DATOS!$D$2:$D$20000=A115)*(DATOS!$I$2:$I$20000=B115)*(DATOS!$L$2:$L$20000="S"),DATOS!$K$2:$K$20000)),"—"),"")</f>
        <v>—</v>
      </c>
      <c r="K115" t="str" cm="1">
        <f t="array" ref="K115">IF(V115="Sí",IFERROR(_xlfn.MODE.SNGL(IF((DATOS!$G$2:$G$20000=CONFIG_METADATA!$B$4)*(DATOS!$D$2:$D$20000=A115)*(DATOS!$I$2:$I$20000=B115)*(DATOS!$L$2:$L$20000="N"),DATOS!$K$2:$K$20000)),"—"),"")</f>
        <v>—</v>
      </c>
      <c r="L115">
        <f>IF(V115="Sí",COUNTIFS(DATOS!G:G,CONFIG_METADATA!$B$4,DATOS!D:D,A115,DATOS!I:I,B115,DATOS!K:K,1),"")</f>
        <v>0</v>
      </c>
      <c r="M115">
        <f>IF(V115="Sí",COUNTIFS(DATOS!G:G,CONFIG_METADATA!$B$4,DATOS!D:D,A115,DATOS!I:I,B115,DATOS!K:K,2),"")</f>
        <v>0</v>
      </c>
      <c r="N115">
        <f>IF(V115="Sí",COUNTIFS(DATOS!G:G,CONFIG_METADATA!$B$4,DATOS!D:D,A115,DATOS!I:I,B115,DATOS!K:K,3),"")</f>
        <v>0</v>
      </c>
      <c r="O115">
        <f>IF(V115="Sí",COUNTIFS(DATOS!G:G,CONFIG_METADATA!$B$4,DATOS!D:D,A115,DATOS!I:I,B115,DATOS!K:K,4),"")</f>
        <v>0</v>
      </c>
      <c r="P115">
        <f>IF(V115="Sí",COUNTIFS(DATOS!G:G,CONFIG_METADATA!$B$4,DATOS!D:D,A115,DATOS!I:I,B115,DATOS!K:K,5),"")</f>
        <v>0</v>
      </c>
      <c r="Q115">
        <f>IF(V115="Sí",COUNTIFS(DATOS!G:G,CONFIG_METADATA!$B$4,DATOS!D:D,A115,DATOS!I:I,B115,DATOS!K:K,6),"")</f>
        <v>0</v>
      </c>
      <c r="R115">
        <f>IF(V115="Sí",COUNTIFS(DATOS!G:G,CONFIG_METADATA!$B$4,DATOS!D:D,A115,DATOS!I:I,B115,DATOS!K:K,7),"")</f>
        <v>0</v>
      </c>
      <c r="S115">
        <f>IF(V115="Sí",COUNTIFS(DATOS!G:G,CONFIG_METADATA!$B$4,DATOS!D:D,A115,DATOS!I:I,B115,DATOS!K:K,8),"")</f>
        <v>0</v>
      </c>
      <c r="T115">
        <f>IF(V115="Sí",COUNTIFS(DATOS!G:G,CONFIG_METADATA!$B$4,DATOS!D:D,A115,DATOS!I:I,B115,DATOS!K:K,9),"")</f>
        <v>0</v>
      </c>
      <c r="U115">
        <f>IF(V115="Sí",COUNTIFS(DATOS!G:G,CONFIG_METADATA!$B$4,DATOS!D:D,A115,DATOS!I:I,B115,DATOS!K:K,10),"")</f>
        <v>0</v>
      </c>
      <c r="V115" t="str">
        <f>IFERROR(IF(ISERROR(FIND(A115,VLOOKUP(B115,CONFIG_ASIGNATURAS!B:C,2,FALSE()))),"No","Sí"),"No")</f>
        <v>Sí</v>
      </c>
    </row>
    <row r="116" spans="1:22">
      <c r="A116" s="3" t="inlineStr">
        <is>
          <t xml:space="preserve">1EEM</t>
        </is>
      </c>
      <c r="B116" s="3" cm="1">
        <f t="array" ref="B116">IFERROR(INDEX(_xlfn._xlws.FILTER(CONFIG_ASIGNATURAS!$B$2:$B$61,(CONFIG_ASIGNATURAS!$G$2:$G$61="Sí")*ISNUMBER(SEARCH("1EEM",CONFIG_ASIGNATURAS!$C$2:$C$61))),49),"")</f>
      </c>
      <c r="C116" s="3">
        <f>IF(B116="","",IFERROR(IF(VLOOKUP(B116,CONFIG_ASIGNATURAS!$B$2:$F$61,5,FALSE())="Sí","Especialidad","Asignatura"),"Asignatura"))</f>
      </c>
      <c r="D116">
        <f>IF(V116="Sí",COUNTIFS(DATOS!G:G,CONFIG_METADATA!$B$4,DATOS!D:D,A116,DATOS!I:I,B116),"")</f>
        <v>0</v>
      </c>
      <c r="E116" s="14" t="str">
        <f>IF(V116="Sí",IFERROR(AVERAGEIFS(DATOS!K:K,DATOS!G:G,CONFIG_METADATA!$B$4,DATOS!D:D,A116,DATOS!I:I,B116),"—"),"")</f>
        <v>—</v>
      </c>
      <c r="F116" s="14" t="str" cm="1">
        <f t="array" ref="F116">IF(V116="Sí",IFERROR(_xlfn.STDEV.P(IF((DATOS!$G$2:$G$20000=CONFIG_METADATA!$B$4)*(DATOS!$D$2:$D$20000=A116)*(DATOS!$I$2:$I$20000=B116),DATOS!$K$2:$K$20000)),"—"),"")</f>
        <v>—</v>
      </c>
      <c r="G116" t="str" cm="1">
        <f t="array" ref="G116">IF(V116="Sí",IFERROR(_xlfn.MODE.SNGL(IF((DATOS!$G$2:$G$20000=CONFIG_METADATA!$B$4)*(DATOS!$D$2:$D$20000=A116)*(DATOS!$I$2:$I$20000=B116),DATOS!$K$2:$K$20000)),"—"),"")</f>
        <v>—</v>
      </c>
      <c r="H116" s="15" t="str">
        <f>IF(V116="Sí",IFERROR(COUNTIFS(DATOS!G:G,CONFIG_METADATA!$B$4,DATOS!D:D,A116,DATOS!I:I,B116,DATOS!L:L,"S")/COUNTIFS(DATOS!G:G,CONFIG_METADATA!$B$4,DATOS!D:D,A116,DATOS!I:I,B116),"—"),"")</f>
        <v>—</v>
      </c>
      <c r="I116" s="15" t="str">
        <f>IF(V116="Sí",IFERROR(COUNTIFS(DATOS!G:G,CONFIG_METADATA!$B$4,DATOS!D:D,A116,DATOS!I:I,B116,DATOS!L:L,"N")/COUNTIFS(DATOS!G:G,CONFIG_METADATA!$B$4,DATOS!D:D,A116,DATOS!I:I,B116),"—"),"")</f>
        <v>—</v>
      </c>
      <c r="J116" t="str" cm="1">
        <f t="array" ref="J116">IF(V116="Sí",IFERROR(_xlfn.MODE.SNGL(IF((DATOS!$G$2:$G$20000=CONFIG_METADATA!$B$4)*(DATOS!$D$2:$D$20000=A116)*(DATOS!$I$2:$I$20000=B116)*(DATOS!$L$2:$L$20000="S"),DATOS!$K$2:$K$20000)),"—"),"")</f>
        <v>—</v>
      </c>
      <c r="K116" t="str" cm="1">
        <f t="array" ref="K116">IF(V116="Sí",IFERROR(_xlfn.MODE.SNGL(IF((DATOS!$G$2:$G$20000=CONFIG_METADATA!$B$4)*(DATOS!$D$2:$D$20000=A116)*(DATOS!$I$2:$I$20000=B116)*(DATOS!$L$2:$L$20000="N"),DATOS!$K$2:$K$20000)),"—"),"")</f>
        <v>—</v>
      </c>
      <c r="L116">
        <f>IF(V116="Sí",COUNTIFS(DATOS!G:G,CONFIG_METADATA!$B$4,DATOS!D:D,A116,DATOS!I:I,B116,DATOS!K:K,1),"")</f>
        <v>0</v>
      </c>
      <c r="M116">
        <f>IF(V116="Sí",COUNTIFS(DATOS!G:G,CONFIG_METADATA!$B$4,DATOS!D:D,A116,DATOS!I:I,B116,DATOS!K:K,2),"")</f>
        <v>0</v>
      </c>
      <c r="N116">
        <f>IF(V116="Sí",COUNTIFS(DATOS!G:G,CONFIG_METADATA!$B$4,DATOS!D:D,A116,DATOS!I:I,B116,DATOS!K:K,3),"")</f>
        <v>0</v>
      </c>
      <c r="O116">
        <f>IF(V116="Sí",COUNTIFS(DATOS!G:G,CONFIG_METADATA!$B$4,DATOS!D:D,A116,DATOS!I:I,B116,DATOS!K:K,4),"")</f>
        <v>0</v>
      </c>
      <c r="P116">
        <f>IF(V116="Sí",COUNTIFS(DATOS!G:G,CONFIG_METADATA!$B$4,DATOS!D:D,A116,DATOS!I:I,B116,DATOS!K:K,5),"")</f>
        <v>0</v>
      </c>
      <c r="Q116">
        <f>IF(V116="Sí",COUNTIFS(DATOS!G:G,CONFIG_METADATA!$B$4,DATOS!D:D,A116,DATOS!I:I,B116,DATOS!K:K,6),"")</f>
        <v>0</v>
      </c>
      <c r="R116">
        <f>IF(V116="Sí",COUNTIFS(DATOS!G:G,CONFIG_METADATA!$B$4,DATOS!D:D,A116,DATOS!I:I,B116,DATOS!K:K,7),"")</f>
        <v>0</v>
      </c>
      <c r="S116">
        <f>IF(V116="Sí",COUNTIFS(DATOS!G:G,CONFIG_METADATA!$B$4,DATOS!D:D,A116,DATOS!I:I,B116,DATOS!K:K,8),"")</f>
        <v>0</v>
      </c>
      <c r="T116">
        <f>IF(V116="Sí",COUNTIFS(DATOS!G:G,CONFIG_METADATA!$B$4,DATOS!D:D,A116,DATOS!I:I,B116,DATOS!K:K,9),"")</f>
        <v>0</v>
      </c>
      <c r="U116">
        <f>IF(V116="Sí",COUNTIFS(DATOS!G:G,CONFIG_METADATA!$B$4,DATOS!D:D,A116,DATOS!I:I,B116,DATOS!K:K,10),"")</f>
        <v>0</v>
      </c>
      <c r="V116" t="str">
        <f>IFERROR(IF(ISERROR(FIND(A116,VLOOKUP(B116,CONFIG_ASIGNATURAS!B:C,2,FALSE()))),"No","Sí"),"No")</f>
        <v>Sí</v>
      </c>
    </row>
    <row r="117" spans="1:22">
      <c r="A117" s="3" t="inlineStr">
        <is>
          <t xml:space="preserve">1EEM</t>
        </is>
      </c>
      <c r="B117" s="3" cm="1">
        <f t="array" ref="B117">IFERROR(INDEX(_xlfn._xlws.FILTER(CONFIG_ASIGNATURAS!$B$2:$B$61,(CONFIG_ASIGNATURAS!$G$2:$G$61="Sí")*ISNUMBER(SEARCH("1EEM",CONFIG_ASIGNATURAS!$C$2:$C$61))),50),"")</f>
      </c>
      <c r="C117" s="3">
        <f>IF(B117="","",IFERROR(IF(VLOOKUP(B117,CONFIG_ASIGNATURAS!$B$2:$F$61,5,FALSE())="Sí","Especialidad","Asignatura"),"Asignatura"))</f>
      </c>
      <c r="D117">
        <f>IF(V117="Sí",COUNTIFS(DATOS!G:G,CONFIG_METADATA!$B$4,DATOS!D:D,A117,DATOS!I:I,B117),"")</f>
        <v>0</v>
      </c>
      <c r="E117" s="14" t="str">
        <f>IF(V117="Sí",IFERROR(AVERAGEIFS(DATOS!K:K,DATOS!G:G,CONFIG_METADATA!$B$4,DATOS!D:D,A117,DATOS!I:I,B117),"—"),"")</f>
        <v>—</v>
      </c>
      <c r="F117" s="14" t="str" cm="1">
        <f t="array" ref="F117">IF(V117="Sí",IFERROR(_xlfn.STDEV.P(IF((DATOS!$G$2:$G$20000=CONFIG_METADATA!$B$4)*(DATOS!$D$2:$D$20000=A117)*(DATOS!$I$2:$I$20000=B117),DATOS!$K$2:$K$20000)),"—"),"")</f>
        <v>—</v>
      </c>
      <c r="G117" t="str" cm="1">
        <f t="array" ref="G117">IF(V117="Sí",IFERROR(_xlfn.MODE.SNGL(IF((DATOS!$G$2:$G$20000=CONFIG_METADATA!$B$4)*(DATOS!$D$2:$D$20000=A117)*(DATOS!$I$2:$I$20000=B117),DATOS!$K$2:$K$20000)),"—"),"")</f>
        <v>—</v>
      </c>
      <c r="H117" s="15" t="str">
        <f>IF(V117="Sí",IFERROR(COUNTIFS(DATOS!G:G,CONFIG_METADATA!$B$4,DATOS!D:D,A117,DATOS!I:I,B117,DATOS!L:L,"S")/COUNTIFS(DATOS!G:G,CONFIG_METADATA!$B$4,DATOS!D:D,A117,DATOS!I:I,B117),"—"),"")</f>
        <v>—</v>
      </c>
      <c r="I117" s="15" t="str">
        <f>IF(V117="Sí",IFERROR(COUNTIFS(DATOS!G:G,CONFIG_METADATA!$B$4,DATOS!D:D,A117,DATOS!I:I,B117,DATOS!L:L,"N")/COUNTIFS(DATOS!G:G,CONFIG_METADATA!$B$4,DATOS!D:D,A117,DATOS!I:I,B117),"—"),"")</f>
        <v>—</v>
      </c>
      <c r="J117" t="str" cm="1">
        <f t="array" ref="J117">IF(V117="Sí",IFERROR(_xlfn.MODE.SNGL(IF((DATOS!$G$2:$G$20000=CONFIG_METADATA!$B$4)*(DATOS!$D$2:$D$20000=A117)*(DATOS!$I$2:$I$20000=B117)*(DATOS!$L$2:$L$20000="S"),DATOS!$K$2:$K$20000)),"—"),"")</f>
        <v>—</v>
      </c>
      <c r="K117" t="str" cm="1">
        <f t="array" ref="K117">IF(V117="Sí",IFERROR(_xlfn.MODE.SNGL(IF((DATOS!$G$2:$G$20000=CONFIG_METADATA!$B$4)*(DATOS!$D$2:$D$20000=A117)*(DATOS!$I$2:$I$20000=B117)*(DATOS!$L$2:$L$20000="N"),DATOS!$K$2:$K$20000)),"—"),"")</f>
        <v>—</v>
      </c>
      <c r="L117">
        <f>IF(V117="Sí",COUNTIFS(DATOS!G:G,CONFIG_METADATA!$B$4,DATOS!D:D,A117,DATOS!I:I,B117,DATOS!K:K,1),"")</f>
        <v>0</v>
      </c>
      <c r="M117">
        <f>IF(V117="Sí",COUNTIFS(DATOS!G:G,CONFIG_METADATA!$B$4,DATOS!D:D,A117,DATOS!I:I,B117,DATOS!K:K,2),"")</f>
        <v>0</v>
      </c>
      <c r="N117">
        <f>IF(V117="Sí",COUNTIFS(DATOS!G:G,CONFIG_METADATA!$B$4,DATOS!D:D,A117,DATOS!I:I,B117,DATOS!K:K,3),"")</f>
        <v>0</v>
      </c>
      <c r="O117">
        <f>IF(V117="Sí",COUNTIFS(DATOS!G:G,CONFIG_METADATA!$B$4,DATOS!D:D,A117,DATOS!I:I,B117,DATOS!K:K,4),"")</f>
        <v>0</v>
      </c>
      <c r="P117">
        <f>IF(V117="Sí",COUNTIFS(DATOS!G:G,CONFIG_METADATA!$B$4,DATOS!D:D,A117,DATOS!I:I,B117,DATOS!K:K,5),"")</f>
        <v>0</v>
      </c>
      <c r="Q117">
        <f>IF(V117="Sí",COUNTIFS(DATOS!G:G,CONFIG_METADATA!$B$4,DATOS!D:D,A117,DATOS!I:I,B117,DATOS!K:K,6),"")</f>
        <v>0</v>
      </c>
      <c r="R117">
        <f>IF(V117="Sí",COUNTIFS(DATOS!G:G,CONFIG_METADATA!$B$4,DATOS!D:D,A117,DATOS!I:I,B117,DATOS!K:K,7),"")</f>
        <v>0</v>
      </c>
      <c r="S117">
        <f>IF(V117="Sí",COUNTIFS(DATOS!G:G,CONFIG_METADATA!$B$4,DATOS!D:D,A117,DATOS!I:I,B117,DATOS!K:K,8),"")</f>
        <v>0</v>
      </c>
      <c r="T117">
        <f>IF(V117="Sí",COUNTIFS(DATOS!G:G,CONFIG_METADATA!$B$4,DATOS!D:D,A117,DATOS!I:I,B117,DATOS!K:K,9),"")</f>
        <v>0</v>
      </c>
      <c r="U117">
        <f>IF(V117="Sí",COUNTIFS(DATOS!G:G,CONFIG_METADATA!$B$4,DATOS!D:D,A117,DATOS!I:I,B117,DATOS!K:K,10),"")</f>
        <v>0</v>
      </c>
      <c r="V117" t="str">
        <f>IFERROR(IF(ISERROR(FIND(A117,VLOOKUP(B117,CONFIG_ASIGNATURAS!B:C,2,FALSE()))),"No","Sí"),"No")</f>
        <v>Sí</v>
      </c>
    </row>
    <row r="118" spans="1:22">
      <c r="A118" s="3" t="inlineStr">
        <is>
          <t xml:space="preserve">1EEM</t>
        </is>
      </c>
      <c r="B118" s="3" cm="1">
        <f t="array" ref="B118">IFERROR(INDEX(_xlfn._xlws.FILTER(CONFIG_ASIGNATURAS!$B$2:$B$61,(CONFIG_ASIGNATURAS!$G$2:$G$61="Sí")*ISNUMBER(SEARCH("1EEM",CONFIG_ASIGNATURAS!$C$2:$C$61))),51),"")</f>
      </c>
      <c r="C118" s="3">
        <f>IF(B118="","",IFERROR(IF(VLOOKUP(B118,CONFIG_ASIGNATURAS!$B$2:$F$61,5,FALSE())="Sí","Especialidad","Asignatura"),"Asignatura"))</f>
      </c>
      <c r="D118">
        <f>IF(V118="Sí",COUNTIFS(DATOS!G:G,CONFIG_METADATA!$B$4,DATOS!D:D,A118,DATOS!I:I,B118),"")</f>
        <v>0</v>
      </c>
      <c r="E118" s="14" t="str">
        <f>IF(V118="Sí",IFERROR(AVERAGEIFS(DATOS!K:K,DATOS!G:G,CONFIG_METADATA!$B$4,DATOS!D:D,A118,DATOS!I:I,B118),"—"),"")</f>
        <v>—</v>
      </c>
      <c r="F118" s="14" t="str" cm="1">
        <f t="array" ref="F118">IF(V118="Sí",IFERROR(_xlfn.STDEV.P(IF((DATOS!$G$2:$G$20000=CONFIG_METADATA!$B$4)*(DATOS!$D$2:$D$20000=A118)*(DATOS!$I$2:$I$20000=B118),DATOS!$K$2:$K$20000)),"—"),"")</f>
        <v>—</v>
      </c>
      <c r="G118" t="str" cm="1">
        <f t="array" ref="G118">IF(V118="Sí",IFERROR(_xlfn.MODE.SNGL(IF((DATOS!$G$2:$G$20000=CONFIG_METADATA!$B$4)*(DATOS!$D$2:$D$20000=A118)*(DATOS!$I$2:$I$20000=B118),DATOS!$K$2:$K$20000)),"—"),"")</f>
        <v>—</v>
      </c>
      <c r="H118" s="15" t="str">
        <f>IF(V118="Sí",IFERROR(COUNTIFS(DATOS!G:G,CONFIG_METADATA!$B$4,DATOS!D:D,A118,DATOS!I:I,B118,DATOS!L:L,"S")/COUNTIFS(DATOS!G:G,CONFIG_METADATA!$B$4,DATOS!D:D,A118,DATOS!I:I,B118),"—"),"")</f>
        <v>—</v>
      </c>
      <c r="I118" s="15" t="str">
        <f>IF(V118="Sí",IFERROR(COUNTIFS(DATOS!G:G,CONFIG_METADATA!$B$4,DATOS!D:D,A118,DATOS!I:I,B118,DATOS!L:L,"N")/COUNTIFS(DATOS!G:G,CONFIG_METADATA!$B$4,DATOS!D:D,A118,DATOS!I:I,B118),"—"),"")</f>
        <v>—</v>
      </c>
      <c r="J118" t="str" cm="1">
        <f t="array" ref="J118">IF(V118="Sí",IFERROR(_xlfn.MODE.SNGL(IF((DATOS!$G$2:$G$20000=CONFIG_METADATA!$B$4)*(DATOS!$D$2:$D$20000=A118)*(DATOS!$I$2:$I$20000=B118)*(DATOS!$L$2:$L$20000="S"),DATOS!$K$2:$K$20000)),"—"),"")</f>
        <v>—</v>
      </c>
      <c r="K118" t="str" cm="1">
        <f t="array" ref="K118">IF(V118="Sí",IFERROR(_xlfn.MODE.SNGL(IF((DATOS!$G$2:$G$20000=CONFIG_METADATA!$B$4)*(DATOS!$D$2:$D$20000=A118)*(DATOS!$I$2:$I$20000=B118)*(DATOS!$L$2:$L$20000="N"),DATOS!$K$2:$K$20000)),"—"),"")</f>
        <v>—</v>
      </c>
      <c r="L118">
        <f>IF(V118="Sí",COUNTIFS(DATOS!G:G,CONFIG_METADATA!$B$4,DATOS!D:D,A118,DATOS!I:I,B118,DATOS!K:K,1),"")</f>
        <v>0</v>
      </c>
      <c r="M118">
        <f>IF(V118="Sí",COUNTIFS(DATOS!G:G,CONFIG_METADATA!$B$4,DATOS!D:D,A118,DATOS!I:I,B118,DATOS!K:K,2),"")</f>
        <v>0</v>
      </c>
      <c r="N118">
        <f>IF(V118="Sí",COUNTIFS(DATOS!G:G,CONFIG_METADATA!$B$4,DATOS!D:D,A118,DATOS!I:I,B118,DATOS!K:K,3),"")</f>
        <v>0</v>
      </c>
      <c r="O118">
        <f>IF(V118="Sí",COUNTIFS(DATOS!G:G,CONFIG_METADATA!$B$4,DATOS!D:D,A118,DATOS!I:I,B118,DATOS!K:K,4),"")</f>
        <v>0</v>
      </c>
      <c r="P118">
        <f>IF(V118="Sí",COUNTIFS(DATOS!G:G,CONFIG_METADATA!$B$4,DATOS!D:D,A118,DATOS!I:I,B118,DATOS!K:K,5),"")</f>
        <v>0</v>
      </c>
      <c r="Q118">
        <f>IF(V118="Sí",COUNTIFS(DATOS!G:G,CONFIG_METADATA!$B$4,DATOS!D:D,A118,DATOS!I:I,B118,DATOS!K:K,6),"")</f>
        <v>0</v>
      </c>
      <c r="R118">
        <f>IF(V118="Sí",COUNTIFS(DATOS!G:G,CONFIG_METADATA!$B$4,DATOS!D:D,A118,DATOS!I:I,B118,DATOS!K:K,7),"")</f>
        <v>0</v>
      </c>
      <c r="S118">
        <f>IF(V118="Sí",COUNTIFS(DATOS!G:G,CONFIG_METADATA!$B$4,DATOS!D:D,A118,DATOS!I:I,B118,DATOS!K:K,8),"")</f>
        <v>0</v>
      </c>
      <c r="T118">
        <f>IF(V118="Sí",COUNTIFS(DATOS!G:G,CONFIG_METADATA!$B$4,DATOS!D:D,A118,DATOS!I:I,B118,DATOS!K:K,9),"")</f>
        <v>0</v>
      </c>
      <c r="U118">
        <f>IF(V118="Sí",COUNTIFS(DATOS!G:G,CONFIG_METADATA!$B$4,DATOS!D:D,A118,DATOS!I:I,B118,DATOS!K:K,10),"")</f>
        <v>0</v>
      </c>
      <c r="V118" t="str">
        <f>IFERROR(IF(ISERROR(FIND(A118,VLOOKUP(B118,CONFIG_ASIGNATURAS!B:C,2,FALSE()))),"No","Sí"),"No")</f>
        <v>Sí</v>
      </c>
    </row>
    <row r="119" spans="1:22">
      <c r="A119" s="3" t="inlineStr">
        <is>
          <t xml:space="preserve">1EEM</t>
        </is>
      </c>
      <c r="B119" s="3" cm="1">
        <f t="array" ref="B119">IFERROR(INDEX(_xlfn._xlws.FILTER(CONFIG_ASIGNATURAS!$B$2:$B$61,(CONFIG_ASIGNATURAS!$G$2:$G$61="Sí")*ISNUMBER(SEARCH("1EEM",CONFIG_ASIGNATURAS!$C$2:$C$61))),52),"")</f>
      </c>
      <c r="C119" s="3">
        <f>IF(B119="","",IFERROR(IF(VLOOKUP(B119,CONFIG_ASIGNATURAS!$B$2:$F$61,5,FALSE())="Sí","Especialidad","Asignatura"),"Asignatura"))</f>
      </c>
      <c r="D119">
        <f>IF(V119="Sí",COUNTIFS(DATOS!G:G,CONFIG_METADATA!$B$4,DATOS!D:D,A119,DATOS!I:I,B119),"")</f>
        <v>0</v>
      </c>
      <c r="E119" s="14" t="str">
        <f>IF(V119="Sí",IFERROR(AVERAGEIFS(DATOS!K:K,DATOS!G:G,CONFIG_METADATA!$B$4,DATOS!D:D,A119,DATOS!I:I,B119),"—"),"")</f>
        <v>—</v>
      </c>
      <c r="F119" s="14" t="str" cm="1">
        <f t="array" ref="F119">IF(V119="Sí",IFERROR(_xlfn.STDEV.P(IF((DATOS!$G$2:$G$20000=CONFIG_METADATA!$B$4)*(DATOS!$D$2:$D$20000=A119)*(DATOS!$I$2:$I$20000=B119),DATOS!$K$2:$K$20000)),"—"),"")</f>
        <v>—</v>
      </c>
      <c r="G119" t="str" cm="1">
        <f t="array" ref="G119">IF(V119="Sí",IFERROR(_xlfn.MODE.SNGL(IF((DATOS!$G$2:$G$20000=CONFIG_METADATA!$B$4)*(DATOS!$D$2:$D$20000=A119)*(DATOS!$I$2:$I$20000=B119),DATOS!$K$2:$K$20000)),"—"),"")</f>
        <v>—</v>
      </c>
      <c r="H119" s="15" t="str">
        <f>IF(V119="Sí",IFERROR(COUNTIFS(DATOS!G:G,CONFIG_METADATA!$B$4,DATOS!D:D,A119,DATOS!I:I,B119,DATOS!L:L,"S")/COUNTIFS(DATOS!G:G,CONFIG_METADATA!$B$4,DATOS!D:D,A119,DATOS!I:I,B119),"—"),"")</f>
        <v>—</v>
      </c>
      <c r="I119" s="15" t="str">
        <f>IF(V119="Sí",IFERROR(COUNTIFS(DATOS!G:G,CONFIG_METADATA!$B$4,DATOS!D:D,A119,DATOS!I:I,B119,DATOS!L:L,"N")/COUNTIFS(DATOS!G:G,CONFIG_METADATA!$B$4,DATOS!D:D,A119,DATOS!I:I,B119),"—"),"")</f>
        <v>—</v>
      </c>
      <c r="J119" t="str" cm="1">
        <f t="array" ref="J119">IF(V119="Sí",IFERROR(_xlfn.MODE.SNGL(IF((DATOS!$G$2:$G$20000=CONFIG_METADATA!$B$4)*(DATOS!$D$2:$D$20000=A119)*(DATOS!$I$2:$I$20000=B119)*(DATOS!$L$2:$L$20000="S"),DATOS!$K$2:$K$20000)),"—"),"")</f>
        <v>—</v>
      </c>
      <c r="K119" t="str" cm="1">
        <f t="array" ref="K119">IF(V119="Sí",IFERROR(_xlfn.MODE.SNGL(IF((DATOS!$G$2:$G$20000=CONFIG_METADATA!$B$4)*(DATOS!$D$2:$D$20000=A119)*(DATOS!$I$2:$I$20000=B119)*(DATOS!$L$2:$L$20000="N"),DATOS!$K$2:$K$20000)),"—"),"")</f>
        <v>—</v>
      </c>
      <c r="L119">
        <f>IF(V119="Sí",COUNTIFS(DATOS!G:G,CONFIG_METADATA!$B$4,DATOS!D:D,A119,DATOS!I:I,B119,DATOS!K:K,1),"")</f>
        <v>0</v>
      </c>
      <c r="M119">
        <f>IF(V119="Sí",COUNTIFS(DATOS!G:G,CONFIG_METADATA!$B$4,DATOS!D:D,A119,DATOS!I:I,B119,DATOS!K:K,2),"")</f>
        <v>0</v>
      </c>
      <c r="N119">
        <f>IF(V119="Sí",COUNTIFS(DATOS!G:G,CONFIG_METADATA!$B$4,DATOS!D:D,A119,DATOS!I:I,B119,DATOS!K:K,3),"")</f>
        <v>0</v>
      </c>
      <c r="O119">
        <f>IF(V119="Sí",COUNTIFS(DATOS!G:G,CONFIG_METADATA!$B$4,DATOS!D:D,A119,DATOS!I:I,B119,DATOS!K:K,4),"")</f>
        <v>0</v>
      </c>
      <c r="P119">
        <f>IF(V119="Sí",COUNTIFS(DATOS!G:G,CONFIG_METADATA!$B$4,DATOS!D:D,A119,DATOS!I:I,B119,DATOS!K:K,5),"")</f>
        <v>0</v>
      </c>
      <c r="Q119">
        <f>IF(V119="Sí",COUNTIFS(DATOS!G:G,CONFIG_METADATA!$B$4,DATOS!D:D,A119,DATOS!I:I,B119,DATOS!K:K,6),"")</f>
        <v>0</v>
      </c>
      <c r="R119">
        <f>IF(V119="Sí",COUNTIFS(DATOS!G:G,CONFIG_METADATA!$B$4,DATOS!D:D,A119,DATOS!I:I,B119,DATOS!K:K,7),"")</f>
        <v>0</v>
      </c>
      <c r="S119">
        <f>IF(V119="Sí",COUNTIFS(DATOS!G:G,CONFIG_METADATA!$B$4,DATOS!D:D,A119,DATOS!I:I,B119,DATOS!K:K,8),"")</f>
        <v>0</v>
      </c>
      <c r="T119">
        <f>IF(V119="Sí",COUNTIFS(DATOS!G:G,CONFIG_METADATA!$B$4,DATOS!D:D,A119,DATOS!I:I,B119,DATOS!K:K,9),"")</f>
        <v>0</v>
      </c>
      <c r="U119">
        <f>IF(V119="Sí",COUNTIFS(DATOS!G:G,CONFIG_METADATA!$B$4,DATOS!D:D,A119,DATOS!I:I,B119,DATOS!K:K,10),"")</f>
        <v>0</v>
      </c>
      <c r="V119" t="str">
        <f>IFERROR(IF(ISERROR(FIND(A119,VLOOKUP(B119,CONFIG_ASIGNATURAS!B:C,2,FALSE()))),"No","Sí"),"No")</f>
        <v>Sí</v>
      </c>
    </row>
    <row r="120" spans="1:22">
      <c r="A120" s="3" t="inlineStr">
        <is>
          <t xml:space="preserve">1EEM</t>
        </is>
      </c>
      <c r="B120" s="3" cm="1">
        <f t="array" ref="B120">IFERROR(INDEX(_xlfn._xlws.FILTER(CONFIG_ASIGNATURAS!$B$2:$B$61,(CONFIG_ASIGNATURAS!$G$2:$G$61="Sí")*ISNUMBER(SEARCH("1EEM",CONFIG_ASIGNATURAS!$C$2:$C$61))),53),"")</f>
      </c>
      <c r="C120" s="3">
        <f>IF(B120="","",IFERROR(IF(VLOOKUP(B120,CONFIG_ASIGNATURAS!$B$2:$F$61,5,FALSE())="Sí","Especialidad","Asignatura"),"Asignatura"))</f>
      </c>
      <c r="D120">
        <f>IF(V120="Sí",COUNTIFS(DATOS!G:G,CONFIG_METADATA!$B$4,DATOS!D:D,A120,DATOS!I:I,B120),"")</f>
        <v>0</v>
      </c>
      <c r="E120" s="14" t="str">
        <f>IF(V120="Sí",IFERROR(AVERAGEIFS(DATOS!K:K,DATOS!G:G,CONFIG_METADATA!$B$4,DATOS!D:D,A120,DATOS!I:I,B120),"—"),"")</f>
        <v>—</v>
      </c>
      <c r="F120" s="14" t="str" cm="1">
        <f t="array" ref="F120">IF(V120="Sí",IFERROR(_xlfn.STDEV.P(IF((DATOS!$G$2:$G$20000=CONFIG_METADATA!$B$4)*(DATOS!$D$2:$D$20000=A120)*(DATOS!$I$2:$I$20000=B120),DATOS!$K$2:$K$20000)),"—"),"")</f>
        <v>—</v>
      </c>
      <c r="G120" t="str" cm="1">
        <f t="array" ref="G120">IF(V120="Sí",IFERROR(_xlfn.MODE.SNGL(IF((DATOS!$G$2:$G$20000=CONFIG_METADATA!$B$4)*(DATOS!$D$2:$D$20000=A120)*(DATOS!$I$2:$I$20000=B120),DATOS!$K$2:$K$20000)),"—"),"")</f>
        <v>—</v>
      </c>
      <c r="H120" s="15" t="str">
        <f>IF(V120="Sí",IFERROR(COUNTIFS(DATOS!G:G,CONFIG_METADATA!$B$4,DATOS!D:D,A120,DATOS!I:I,B120,DATOS!L:L,"S")/COUNTIFS(DATOS!G:G,CONFIG_METADATA!$B$4,DATOS!D:D,A120,DATOS!I:I,B120),"—"),"")</f>
        <v>—</v>
      </c>
      <c r="I120" s="15" t="str">
        <f>IF(V120="Sí",IFERROR(COUNTIFS(DATOS!G:G,CONFIG_METADATA!$B$4,DATOS!D:D,A120,DATOS!I:I,B120,DATOS!L:L,"N")/COUNTIFS(DATOS!G:G,CONFIG_METADATA!$B$4,DATOS!D:D,A120,DATOS!I:I,B120),"—"),"")</f>
        <v>—</v>
      </c>
      <c r="J120" t="str" cm="1">
        <f t="array" ref="J120">IF(V120="Sí",IFERROR(_xlfn.MODE.SNGL(IF((DATOS!$G$2:$G$20000=CONFIG_METADATA!$B$4)*(DATOS!$D$2:$D$20000=A120)*(DATOS!$I$2:$I$20000=B120)*(DATOS!$L$2:$L$20000="S"),DATOS!$K$2:$K$20000)),"—"),"")</f>
        <v>—</v>
      </c>
      <c r="K120" t="str" cm="1">
        <f t="array" ref="K120">IF(V120="Sí",IFERROR(_xlfn.MODE.SNGL(IF((DATOS!$G$2:$G$20000=CONFIG_METADATA!$B$4)*(DATOS!$D$2:$D$20000=A120)*(DATOS!$I$2:$I$20000=B120)*(DATOS!$L$2:$L$20000="N"),DATOS!$K$2:$K$20000)),"—"),"")</f>
        <v>—</v>
      </c>
      <c r="L120">
        <f>IF(V120="Sí",COUNTIFS(DATOS!G:G,CONFIG_METADATA!$B$4,DATOS!D:D,A120,DATOS!I:I,B120,DATOS!K:K,1),"")</f>
        <v>0</v>
      </c>
      <c r="M120">
        <f>IF(V120="Sí",COUNTIFS(DATOS!G:G,CONFIG_METADATA!$B$4,DATOS!D:D,A120,DATOS!I:I,B120,DATOS!K:K,2),"")</f>
        <v>0</v>
      </c>
      <c r="N120">
        <f>IF(V120="Sí",COUNTIFS(DATOS!G:G,CONFIG_METADATA!$B$4,DATOS!D:D,A120,DATOS!I:I,B120,DATOS!K:K,3),"")</f>
        <v>0</v>
      </c>
      <c r="O120">
        <f>IF(V120="Sí",COUNTIFS(DATOS!G:G,CONFIG_METADATA!$B$4,DATOS!D:D,A120,DATOS!I:I,B120,DATOS!K:K,4),"")</f>
        <v>0</v>
      </c>
      <c r="P120">
        <f>IF(V120="Sí",COUNTIFS(DATOS!G:G,CONFIG_METADATA!$B$4,DATOS!D:D,A120,DATOS!I:I,B120,DATOS!K:K,5),"")</f>
        <v>0</v>
      </c>
      <c r="Q120">
        <f>IF(V120="Sí",COUNTIFS(DATOS!G:G,CONFIG_METADATA!$B$4,DATOS!D:D,A120,DATOS!I:I,B120,DATOS!K:K,6),"")</f>
        <v>0</v>
      </c>
      <c r="R120">
        <f>IF(V120="Sí",COUNTIFS(DATOS!G:G,CONFIG_METADATA!$B$4,DATOS!D:D,A120,DATOS!I:I,B120,DATOS!K:K,7),"")</f>
        <v>0</v>
      </c>
      <c r="S120">
        <f>IF(V120="Sí",COUNTIFS(DATOS!G:G,CONFIG_METADATA!$B$4,DATOS!D:D,A120,DATOS!I:I,B120,DATOS!K:K,8),"")</f>
        <v>0</v>
      </c>
      <c r="T120">
        <f>IF(V120="Sí",COUNTIFS(DATOS!G:G,CONFIG_METADATA!$B$4,DATOS!D:D,A120,DATOS!I:I,B120,DATOS!K:K,9),"")</f>
        <v>0</v>
      </c>
      <c r="U120">
        <f>IF(V120="Sí",COUNTIFS(DATOS!G:G,CONFIG_METADATA!$B$4,DATOS!D:D,A120,DATOS!I:I,B120,DATOS!K:K,10),"")</f>
        <v>0</v>
      </c>
      <c r="V120" t="str">
        <f>IFERROR(IF(ISERROR(FIND(A120,VLOOKUP(B120,CONFIG_ASIGNATURAS!B:C,2,FALSE()))),"No","Sí"),"No")</f>
        <v>Sí</v>
      </c>
    </row>
    <row r="121" spans="1:22">
      <c r="A121" s="3" t="inlineStr">
        <is>
          <t xml:space="preserve">1EEM</t>
        </is>
      </c>
      <c r="B121" s="3" cm="1">
        <f t="array" ref="B121">IFERROR(INDEX(_xlfn._xlws.FILTER(CONFIG_ASIGNATURAS!$B$2:$B$61,(CONFIG_ASIGNATURAS!$G$2:$G$61="Sí")*ISNUMBER(SEARCH("1EEM",CONFIG_ASIGNATURAS!$C$2:$C$61))),54),"")</f>
      </c>
      <c r="C121" s="3">
        <f>IF(B121="","",IFERROR(IF(VLOOKUP(B121,CONFIG_ASIGNATURAS!$B$2:$F$61,5,FALSE())="Sí","Especialidad","Asignatura"),"Asignatura"))</f>
      </c>
      <c r="D121">
        <f>IF(V121="Sí",COUNTIFS(DATOS!G:G,CONFIG_METADATA!$B$4,DATOS!D:D,A121,DATOS!I:I,B121),"")</f>
        <v>0</v>
      </c>
      <c r="E121" s="14" t="str">
        <f>IF(V121="Sí",IFERROR(AVERAGEIFS(DATOS!K:K,DATOS!G:G,CONFIG_METADATA!$B$4,DATOS!D:D,A121,DATOS!I:I,B121),"—"),"")</f>
        <v>—</v>
      </c>
      <c r="F121" s="14" t="str" cm="1">
        <f t="array" ref="F121">IF(V121="Sí",IFERROR(_xlfn.STDEV.P(IF((DATOS!$G$2:$G$20000=CONFIG_METADATA!$B$4)*(DATOS!$D$2:$D$20000=A121)*(DATOS!$I$2:$I$20000=B121),DATOS!$K$2:$K$20000)),"—"),"")</f>
        <v>—</v>
      </c>
      <c r="G121" t="str" cm="1">
        <f t="array" ref="G121">IF(V121="Sí",IFERROR(_xlfn.MODE.SNGL(IF((DATOS!$G$2:$G$20000=CONFIG_METADATA!$B$4)*(DATOS!$D$2:$D$20000=A121)*(DATOS!$I$2:$I$20000=B121),DATOS!$K$2:$K$20000)),"—"),"")</f>
        <v>—</v>
      </c>
      <c r="H121" s="15" t="str">
        <f>IF(V121="Sí",IFERROR(COUNTIFS(DATOS!G:G,CONFIG_METADATA!$B$4,DATOS!D:D,A121,DATOS!I:I,B121,DATOS!L:L,"S")/COUNTIFS(DATOS!G:G,CONFIG_METADATA!$B$4,DATOS!D:D,A121,DATOS!I:I,B121),"—"),"")</f>
        <v>—</v>
      </c>
      <c r="I121" s="15" t="str">
        <f>IF(V121="Sí",IFERROR(COUNTIFS(DATOS!G:G,CONFIG_METADATA!$B$4,DATOS!D:D,A121,DATOS!I:I,B121,DATOS!L:L,"N")/COUNTIFS(DATOS!G:G,CONFIG_METADATA!$B$4,DATOS!D:D,A121,DATOS!I:I,B121),"—"),"")</f>
        <v>—</v>
      </c>
      <c r="J121" t="str" cm="1">
        <f t="array" ref="J121">IF(V121="Sí",IFERROR(_xlfn.MODE.SNGL(IF((DATOS!$G$2:$G$20000=CONFIG_METADATA!$B$4)*(DATOS!$D$2:$D$20000=A121)*(DATOS!$I$2:$I$20000=B121)*(DATOS!$L$2:$L$20000="S"),DATOS!$K$2:$K$20000)),"—"),"")</f>
        <v>—</v>
      </c>
      <c r="K121" t="str" cm="1">
        <f t="array" ref="K121">IF(V121="Sí",IFERROR(_xlfn.MODE.SNGL(IF((DATOS!$G$2:$G$20000=CONFIG_METADATA!$B$4)*(DATOS!$D$2:$D$20000=A121)*(DATOS!$I$2:$I$20000=B121)*(DATOS!$L$2:$L$20000="N"),DATOS!$K$2:$K$20000)),"—"),"")</f>
        <v>—</v>
      </c>
      <c r="L121">
        <f>IF(V121="Sí",COUNTIFS(DATOS!G:G,CONFIG_METADATA!$B$4,DATOS!D:D,A121,DATOS!I:I,B121,DATOS!K:K,1),"")</f>
        <v>0</v>
      </c>
      <c r="M121">
        <f>IF(V121="Sí",COUNTIFS(DATOS!G:G,CONFIG_METADATA!$B$4,DATOS!D:D,A121,DATOS!I:I,B121,DATOS!K:K,2),"")</f>
        <v>0</v>
      </c>
      <c r="N121">
        <f>IF(V121="Sí",COUNTIFS(DATOS!G:G,CONFIG_METADATA!$B$4,DATOS!D:D,A121,DATOS!I:I,B121,DATOS!K:K,3),"")</f>
        <v>0</v>
      </c>
      <c r="O121">
        <f>IF(V121="Sí",COUNTIFS(DATOS!G:G,CONFIG_METADATA!$B$4,DATOS!D:D,A121,DATOS!I:I,B121,DATOS!K:K,4),"")</f>
        <v>0</v>
      </c>
      <c r="P121">
        <f>IF(V121="Sí",COUNTIFS(DATOS!G:G,CONFIG_METADATA!$B$4,DATOS!D:D,A121,DATOS!I:I,B121,DATOS!K:K,5),"")</f>
        <v>0</v>
      </c>
      <c r="Q121">
        <f>IF(V121="Sí",COUNTIFS(DATOS!G:G,CONFIG_METADATA!$B$4,DATOS!D:D,A121,DATOS!I:I,B121,DATOS!K:K,6),"")</f>
        <v>0</v>
      </c>
      <c r="R121">
        <f>IF(V121="Sí",COUNTIFS(DATOS!G:G,CONFIG_METADATA!$B$4,DATOS!D:D,A121,DATOS!I:I,B121,DATOS!K:K,7),"")</f>
        <v>0</v>
      </c>
      <c r="S121">
        <f>IF(V121="Sí",COUNTIFS(DATOS!G:G,CONFIG_METADATA!$B$4,DATOS!D:D,A121,DATOS!I:I,B121,DATOS!K:K,8),"")</f>
        <v>0</v>
      </c>
      <c r="T121">
        <f>IF(V121="Sí",COUNTIFS(DATOS!G:G,CONFIG_METADATA!$B$4,DATOS!D:D,A121,DATOS!I:I,B121,DATOS!K:K,9),"")</f>
        <v>0</v>
      </c>
      <c r="U121">
        <f>IF(V121="Sí",COUNTIFS(DATOS!G:G,CONFIG_METADATA!$B$4,DATOS!D:D,A121,DATOS!I:I,B121,DATOS!K:K,10),"")</f>
        <v>0</v>
      </c>
      <c r="V121" t="str">
        <f>IFERROR(IF(ISERROR(FIND(A121,VLOOKUP(B121,CONFIG_ASIGNATURAS!B:C,2,FALSE()))),"No","Sí"),"No")</f>
        <v>Sí</v>
      </c>
    </row>
    <row r="122" spans="1:22">
      <c r="A122" s="3" t="inlineStr">
        <is>
          <t xml:space="preserve">1EEM</t>
        </is>
      </c>
      <c r="B122" s="3" cm="1">
        <f t="array" ref="B122">IFERROR(INDEX(_xlfn._xlws.FILTER(CONFIG_ASIGNATURAS!$B$2:$B$61,(CONFIG_ASIGNATURAS!$G$2:$G$61="Sí")*ISNUMBER(SEARCH("1EEM",CONFIG_ASIGNATURAS!$C$2:$C$61))),55),"")</f>
      </c>
      <c r="C122" s="3">
        <f>IF(B122="","",IFERROR(IF(VLOOKUP(B122,CONFIG_ASIGNATURAS!$B$2:$F$61,5,FALSE())="Sí","Especialidad","Asignatura"),"Asignatura"))</f>
      </c>
      <c r="D122">
        <f>IF(V122="Sí",COUNTIFS(DATOS!G:G,CONFIG_METADATA!$B$4,DATOS!D:D,A122,DATOS!I:I,B122),"")</f>
        <v>0</v>
      </c>
      <c r="E122" s="14" t="str">
        <f>IF(V122="Sí",IFERROR(AVERAGEIFS(DATOS!K:K,DATOS!G:G,CONFIG_METADATA!$B$4,DATOS!D:D,A122,DATOS!I:I,B122),"—"),"")</f>
        <v>—</v>
      </c>
      <c r="F122" s="14" t="str" cm="1">
        <f t="array" ref="F122">IF(V122="Sí",IFERROR(_xlfn.STDEV.P(IF((DATOS!$G$2:$G$20000=CONFIG_METADATA!$B$4)*(DATOS!$D$2:$D$20000=A122)*(DATOS!$I$2:$I$20000=B122),DATOS!$K$2:$K$20000)),"—"),"")</f>
        <v>—</v>
      </c>
      <c r="G122" t="str" cm="1">
        <f t="array" ref="G122">IF(V122="Sí",IFERROR(_xlfn.MODE.SNGL(IF((DATOS!$G$2:$G$20000=CONFIG_METADATA!$B$4)*(DATOS!$D$2:$D$20000=A122)*(DATOS!$I$2:$I$20000=B122),DATOS!$K$2:$K$20000)),"—"),"")</f>
        <v>—</v>
      </c>
      <c r="H122" s="15" t="str">
        <f>IF(V122="Sí",IFERROR(COUNTIFS(DATOS!G:G,CONFIG_METADATA!$B$4,DATOS!D:D,A122,DATOS!I:I,B122,DATOS!L:L,"S")/COUNTIFS(DATOS!G:G,CONFIG_METADATA!$B$4,DATOS!D:D,A122,DATOS!I:I,B122),"—"),"")</f>
        <v>—</v>
      </c>
      <c r="I122" s="15" t="str">
        <f>IF(V122="Sí",IFERROR(COUNTIFS(DATOS!G:G,CONFIG_METADATA!$B$4,DATOS!D:D,A122,DATOS!I:I,B122,DATOS!L:L,"N")/COUNTIFS(DATOS!G:G,CONFIG_METADATA!$B$4,DATOS!D:D,A122,DATOS!I:I,B122),"—"),"")</f>
        <v>—</v>
      </c>
      <c r="J122" t="str" cm="1">
        <f t="array" ref="J122">IF(V122="Sí",IFERROR(_xlfn.MODE.SNGL(IF((DATOS!$G$2:$G$20000=CONFIG_METADATA!$B$4)*(DATOS!$D$2:$D$20000=A122)*(DATOS!$I$2:$I$20000=B122)*(DATOS!$L$2:$L$20000="S"),DATOS!$K$2:$K$20000)),"—"),"")</f>
        <v>—</v>
      </c>
      <c r="K122" t="str" cm="1">
        <f t="array" ref="K122">IF(V122="Sí",IFERROR(_xlfn.MODE.SNGL(IF((DATOS!$G$2:$G$20000=CONFIG_METADATA!$B$4)*(DATOS!$D$2:$D$20000=A122)*(DATOS!$I$2:$I$20000=B122)*(DATOS!$L$2:$L$20000="N"),DATOS!$K$2:$K$20000)),"—"),"")</f>
        <v>—</v>
      </c>
      <c r="L122">
        <f>IF(V122="Sí",COUNTIFS(DATOS!G:G,CONFIG_METADATA!$B$4,DATOS!D:D,A122,DATOS!I:I,B122,DATOS!K:K,1),"")</f>
        <v>0</v>
      </c>
      <c r="M122">
        <f>IF(V122="Sí",COUNTIFS(DATOS!G:G,CONFIG_METADATA!$B$4,DATOS!D:D,A122,DATOS!I:I,B122,DATOS!K:K,2),"")</f>
        <v>0</v>
      </c>
      <c r="N122">
        <f>IF(V122="Sí",COUNTIFS(DATOS!G:G,CONFIG_METADATA!$B$4,DATOS!D:D,A122,DATOS!I:I,B122,DATOS!K:K,3),"")</f>
        <v>0</v>
      </c>
      <c r="O122">
        <f>IF(V122="Sí",COUNTIFS(DATOS!G:G,CONFIG_METADATA!$B$4,DATOS!D:D,A122,DATOS!I:I,B122,DATOS!K:K,4),"")</f>
        <v>0</v>
      </c>
      <c r="P122">
        <f>IF(V122="Sí",COUNTIFS(DATOS!G:G,CONFIG_METADATA!$B$4,DATOS!D:D,A122,DATOS!I:I,B122,DATOS!K:K,5),"")</f>
        <v>0</v>
      </c>
      <c r="Q122">
        <f>IF(V122="Sí",COUNTIFS(DATOS!G:G,CONFIG_METADATA!$B$4,DATOS!D:D,A122,DATOS!I:I,B122,DATOS!K:K,6),"")</f>
        <v>0</v>
      </c>
      <c r="R122">
        <f>IF(V122="Sí",COUNTIFS(DATOS!G:G,CONFIG_METADATA!$B$4,DATOS!D:D,A122,DATOS!I:I,B122,DATOS!K:K,7),"")</f>
        <v>0</v>
      </c>
      <c r="S122">
        <f>IF(V122="Sí",COUNTIFS(DATOS!G:G,CONFIG_METADATA!$B$4,DATOS!D:D,A122,DATOS!I:I,B122,DATOS!K:K,8),"")</f>
        <v>0</v>
      </c>
      <c r="T122">
        <f>IF(V122="Sí",COUNTIFS(DATOS!G:G,CONFIG_METADATA!$B$4,DATOS!D:D,A122,DATOS!I:I,B122,DATOS!K:K,9),"")</f>
        <v>0</v>
      </c>
      <c r="U122">
        <f>IF(V122="Sí",COUNTIFS(DATOS!G:G,CONFIG_METADATA!$B$4,DATOS!D:D,A122,DATOS!I:I,B122,DATOS!K:K,10),"")</f>
        <v>0</v>
      </c>
      <c r="V122" t="str">
        <f>IFERROR(IF(ISERROR(FIND(A122,VLOOKUP(B122,CONFIG_ASIGNATURAS!B:C,2,FALSE()))),"No","Sí"),"No")</f>
        <v>Sí</v>
      </c>
    </row>
    <row r="123" spans="1:22">
      <c r="A123" s="3" t="inlineStr">
        <is>
          <t xml:space="preserve">1EEM</t>
        </is>
      </c>
      <c r="B123" s="3" cm="1">
        <f t="array" ref="B123">IFERROR(INDEX(_xlfn._xlws.FILTER(CONFIG_ASIGNATURAS!$B$2:$B$61,(CONFIG_ASIGNATURAS!$G$2:$G$61="Sí")*ISNUMBER(SEARCH("1EEM",CONFIG_ASIGNATURAS!$C$2:$C$61))),56),"")</f>
      </c>
      <c r="C123" s="3">
        <f>IF(B123="","",IFERROR(IF(VLOOKUP(B123,CONFIG_ASIGNATURAS!$B$2:$F$61,5,FALSE())="Sí","Especialidad","Asignatura"),"Asignatura"))</f>
      </c>
      <c r="D123">
        <f>IF(V123="Sí",COUNTIFS(DATOS!G:G,CONFIG_METADATA!$B$4,DATOS!D:D,A123,DATOS!I:I,B123),"")</f>
        <v>0</v>
      </c>
      <c r="E123" s="14" t="str">
        <f>IF(V123="Sí",IFERROR(AVERAGEIFS(DATOS!K:K,DATOS!G:G,CONFIG_METADATA!$B$4,DATOS!D:D,A123,DATOS!I:I,B123),"—"),"")</f>
        <v>—</v>
      </c>
      <c r="F123" s="14" t="str" cm="1">
        <f t="array" ref="F123">IF(V123="Sí",IFERROR(_xlfn.STDEV.P(IF((DATOS!$G$2:$G$20000=CONFIG_METADATA!$B$4)*(DATOS!$D$2:$D$20000=A123)*(DATOS!$I$2:$I$20000=B123),DATOS!$K$2:$K$20000)),"—"),"")</f>
        <v>—</v>
      </c>
      <c r="G123" t="str" cm="1">
        <f t="array" ref="G123">IF(V123="Sí",IFERROR(_xlfn.MODE.SNGL(IF((DATOS!$G$2:$G$20000=CONFIG_METADATA!$B$4)*(DATOS!$D$2:$D$20000=A123)*(DATOS!$I$2:$I$20000=B123),DATOS!$K$2:$K$20000)),"—"),"")</f>
        <v>—</v>
      </c>
      <c r="H123" s="15" t="str">
        <f>IF(V123="Sí",IFERROR(COUNTIFS(DATOS!G:G,CONFIG_METADATA!$B$4,DATOS!D:D,A123,DATOS!I:I,B123,DATOS!L:L,"S")/COUNTIFS(DATOS!G:G,CONFIG_METADATA!$B$4,DATOS!D:D,A123,DATOS!I:I,B123),"—"),"")</f>
        <v>—</v>
      </c>
      <c r="I123" s="15" t="str">
        <f>IF(V123="Sí",IFERROR(COUNTIFS(DATOS!G:G,CONFIG_METADATA!$B$4,DATOS!D:D,A123,DATOS!I:I,B123,DATOS!L:L,"N")/COUNTIFS(DATOS!G:G,CONFIG_METADATA!$B$4,DATOS!D:D,A123,DATOS!I:I,B123),"—"),"")</f>
        <v>—</v>
      </c>
      <c r="J123" t="str" cm="1">
        <f t="array" ref="J123">IF(V123="Sí",IFERROR(_xlfn.MODE.SNGL(IF((DATOS!$G$2:$G$20000=CONFIG_METADATA!$B$4)*(DATOS!$D$2:$D$20000=A123)*(DATOS!$I$2:$I$20000=B123)*(DATOS!$L$2:$L$20000="S"),DATOS!$K$2:$K$20000)),"—"),"")</f>
        <v>—</v>
      </c>
      <c r="K123" t="str" cm="1">
        <f t="array" ref="K123">IF(V123="Sí",IFERROR(_xlfn.MODE.SNGL(IF((DATOS!$G$2:$G$20000=CONFIG_METADATA!$B$4)*(DATOS!$D$2:$D$20000=A123)*(DATOS!$I$2:$I$20000=B123)*(DATOS!$L$2:$L$20000="N"),DATOS!$K$2:$K$20000)),"—"),"")</f>
        <v>—</v>
      </c>
      <c r="L123">
        <f>IF(V123="Sí",COUNTIFS(DATOS!G:G,CONFIG_METADATA!$B$4,DATOS!D:D,A123,DATOS!I:I,B123,DATOS!K:K,1),"")</f>
        <v>0</v>
      </c>
      <c r="M123">
        <f>IF(V123="Sí",COUNTIFS(DATOS!G:G,CONFIG_METADATA!$B$4,DATOS!D:D,A123,DATOS!I:I,B123,DATOS!K:K,2),"")</f>
        <v>0</v>
      </c>
      <c r="N123">
        <f>IF(V123="Sí",COUNTIFS(DATOS!G:G,CONFIG_METADATA!$B$4,DATOS!D:D,A123,DATOS!I:I,B123,DATOS!K:K,3),"")</f>
        <v>0</v>
      </c>
      <c r="O123">
        <f>IF(V123="Sí",COUNTIFS(DATOS!G:G,CONFIG_METADATA!$B$4,DATOS!D:D,A123,DATOS!I:I,B123,DATOS!K:K,4),"")</f>
        <v>0</v>
      </c>
      <c r="P123">
        <f>IF(V123="Sí",COUNTIFS(DATOS!G:G,CONFIG_METADATA!$B$4,DATOS!D:D,A123,DATOS!I:I,B123,DATOS!K:K,5),"")</f>
        <v>0</v>
      </c>
      <c r="Q123">
        <f>IF(V123="Sí",COUNTIFS(DATOS!G:G,CONFIG_METADATA!$B$4,DATOS!D:D,A123,DATOS!I:I,B123,DATOS!K:K,6),"")</f>
        <v>0</v>
      </c>
      <c r="R123">
        <f>IF(V123="Sí",COUNTIFS(DATOS!G:G,CONFIG_METADATA!$B$4,DATOS!D:D,A123,DATOS!I:I,B123,DATOS!K:K,7),"")</f>
        <v>0</v>
      </c>
      <c r="S123">
        <f>IF(V123="Sí",COUNTIFS(DATOS!G:G,CONFIG_METADATA!$B$4,DATOS!D:D,A123,DATOS!I:I,B123,DATOS!K:K,8),"")</f>
        <v>0</v>
      </c>
      <c r="T123">
        <f>IF(V123="Sí",COUNTIFS(DATOS!G:G,CONFIG_METADATA!$B$4,DATOS!D:D,A123,DATOS!I:I,B123,DATOS!K:K,9),"")</f>
        <v>0</v>
      </c>
      <c r="U123">
        <f>IF(V123="Sí",COUNTIFS(DATOS!G:G,CONFIG_METADATA!$B$4,DATOS!D:D,A123,DATOS!I:I,B123,DATOS!K:K,10),"")</f>
        <v>0</v>
      </c>
      <c r="V123" t="str">
        <f>IFERROR(IF(ISERROR(FIND(A123,VLOOKUP(B123,CONFIG_ASIGNATURAS!B:C,2,FALSE()))),"No","Sí"),"No")</f>
        <v>Sí</v>
      </c>
    </row>
    <row r="124" spans="1:22">
      <c r="A124" s="3" t="inlineStr">
        <is>
          <t xml:space="preserve">1EEM</t>
        </is>
      </c>
      <c r="B124" s="3" cm="1">
        <f t="array" ref="B124">IFERROR(INDEX(_xlfn._xlws.FILTER(CONFIG_ASIGNATURAS!$B$2:$B$61,(CONFIG_ASIGNATURAS!$G$2:$G$61="Sí")*ISNUMBER(SEARCH("1EEM",CONFIG_ASIGNATURAS!$C$2:$C$61))),57),"")</f>
      </c>
      <c r="C124" s="3">
        <f>IF(B124="","",IFERROR(IF(VLOOKUP(B124,CONFIG_ASIGNATURAS!$B$2:$F$61,5,FALSE())="Sí","Especialidad","Asignatura"),"Asignatura"))</f>
      </c>
      <c r="D124">
        <f>IF(V124="Sí",COUNTIFS(DATOS!G:G,CONFIG_METADATA!$B$4,DATOS!D:D,A124,DATOS!I:I,B124),"")</f>
        <v>0</v>
      </c>
      <c r="E124" s="14" t="str">
        <f>IF(V124="Sí",IFERROR(AVERAGEIFS(DATOS!K:K,DATOS!G:G,CONFIG_METADATA!$B$4,DATOS!D:D,A124,DATOS!I:I,B124),"—"),"")</f>
        <v>—</v>
      </c>
      <c r="F124" s="14" t="str" cm="1">
        <f t="array" ref="F124">IF(V124="Sí",IFERROR(_xlfn.STDEV.P(IF((DATOS!$G$2:$G$20000=CONFIG_METADATA!$B$4)*(DATOS!$D$2:$D$20000=A124)*(DATOS!$I$2:$I$20000=B124),DATOS!$K$2:$K$20000)),"—"),"")</f>
        <v>—</v>
      </c>
      <c r="G124" t="str" cm="1">
        <f t="array" ref="G124">IF(V124="Sí",IFERROR(_xlfn.MODE.SNGL(IF((DATOS!$G$2:$G$20000=CONFIG_METADATA!$B$4)*(DATOS!$D$2:$D$20000=A124)*(DATOS!$I$2:$I$20000=B124),DATOS!$K$2:$K$20000)),"—"),"")</f>
        <v>—</v>
      </c>
      <c r="H124" s="15" t="str">
        <f>IF(V124="Sí",IFERROR(COUNTIFS(DATOS!G:G,CONFIG_METADATA!$B$4,DATOS!D:D,A124,DATOS!I:I,B124,DATOS!L:L,"S")/COUNTIFS(DATOS!G:G,CONFIG_METADATA!$B$4,DATOS!D:D,A124,DATOS!I:I,B124),"—"),"")</f>
        <v>—</v>
      </c>
      <c r="I124" s="15" t="str">
        <f>IF(V124="Sí",IFERROR(COUNTIFS(DATOS!G:G,CONFIG_METADATA!$B$4,DATOS!D:D,A124,DATOS!I:I,B124,DATOS!L:L,"N")/COUNTIFS(DATOS!G:G,CONFIG_METADATA!$B$4,DATOS!D:D,A124,DATOS!I:I,B124),"—"),"")</f>
        <v>—</v>
      </c>
      <c r="J124" t="str" cm="1">
        <f t="array" ref="J124">IF(V124="Sí",IFERROR(_xlfn.MODE.SNGL(IF((DATOS!$G$2:$G$20000=CONFIG_METADATA!$B$4)*(DATOS!$D$2:$D$20000=A124)*(DATOS!$I$2:$I$20000=B124)*(DATOS!$L$2:$L$20000="S"),DATOS!$K$2:$K$20000)),"—"),"")</f>
        <v>—</v>
      </c>
      <c r="K124" t="str" cm="1">
        <f t="array" ref="K124">IF(V124="Sí",IFERROR(_xlfn.MODE.SNGL(IF((DATOS!$G$2:$G$20000=CONFIG_METADATA!$B$4)*(DATOS!$D$2:$D$20000=A124)*(DATOS!$I$2:$I$20000=B124)*(DATOS!$L$2:$L$20000="N"),DATOS!$K$2:$K$20000)),"—"),"")</f>
        <v>—</v>
      </c>
      <c r="L124">
        <f>IF(V124="Sí",COUNTIFS(DATOS!G:G,CONFIG_METADATA!$B$4,DATOS!D:D,A124,DATOS!I:I,B124,DATOS!K:K,1),"")</f>
        <v>0</v>
      </c>
      <c r="M124">
        <f>IF(V124="Sí",COUNTIFS(DATOS!G:G,CONFIG_METADATA!$B$4,DATOS!D:D,A124,DATOS!I:I,B124,DATOS!K:K,2),"")</f>
        <v>0</v>
      </c>
      <c r="N124">
        <f>IF(V124="Sí",COUNTIFS(DATOS!G:G,CONFIG_METADATA!$B$4,DATOS!D:D,A124,DATOS!I:I,B124,DATOS!K:K,3),"")</f>
        <v>0</v>
      </c>
      <c r="O124">
        <f>IF(V124="Sí",COUNTIFS(DATOS!G:G,CONFIG_METADATA!$B$4,DATOS!D:D,A124,DATOS!I:I,B124,DATOS!K:K,4),"")</f>
        <v>0</v>
      </c>
      <c r="P124">
        <f>IF(V124="Sí",COUNTIFS(DATOS!G:G,CONFIG_METADATA!$B$4,DATOS!D:D,A124,DATOS!I:I,B124,DATOS!K:K,5),"")</f>
        <v>0</v>
      </c>
      <c r="Q124">
        <f>IF(V124="Sí",COUNTIFS(DATOS!G:G,CONFIG_METADATA!$B$4,DATOS!D:D,A124,DATOS!I:I,B124,DATOS!K:K,6),"")</f>
        <v>0</v>
      </c>
      <c r="R124">
        <f>IF(V124="Sí",COUNTIFS(DATOS!G:G,CONFIG_METADATA!$B$4,DATOS!D:D,A124,DATOS!I:I,B124,DATOS!K:K,7),"")</f>
        <v>0</v>
      </c>
      <c r="S124">
        <f>IF(V124="Sí",COUNTIFS(DATOS!G:G,CONFIG_METADATA!$B$4,DATOS!D:D,A124,DATOS!I:I,B124,DATOS!K:K,8),"")</f>
        <v>0</v>
      </c>
      <c r="T124">
        <f>IF(V124="Sí",COUNTIFS(DATOS!G:G,CONFIG_METADATA!$B$4,DATOS!D:D,A124,DATOS!I:I,B124,DATOS!K:K,9),"")</f>
        <v>0</v>
      </c>
      <c r="U124">
        <f>IF(V124="Sí",COUNTIFS(DATOS!G:G,CONFIG_METADATA!$B$4,DATOS!D:D,A124,DATOS!I:I,B124,DATOS!K:K,10),"")</f>
        <v>0</v>
      </c>
      <c r="V124" t="str">
        <f>IFERROR(IF(ISERROR(FIND(A124,VLOOKUP(B124,CONFIG_ASIGNATURAS!B:C,2,FALSE()))),"No","Sí"),"No")</f>
        <v>Sí</v>
      </c>
    </row>
    <row r="125" spans="1:22">
      <c r="A125" s="3" t="inlineStr">
        <is>
          <t xml:space="preserve">1EEM</t>
        </is>
      </c>
      <c r="B125" s="3" cm="1">
        <f t="array" ref="B125">IFERROR(INDEX(_xlfn._xlws.FILTER(CONFIG_ASIGNATURAS!$B$2:$B$61,(CONFIG_ASIGNATURAS!$G$2:$G$61="Sí")*ISNUMBER(SEARCH("1EEM",CONFIG_ASIGNATURAS!$C$2:$C$61))),58),"")</f>
      </c>
      <c r="C125" s="3">
        <f>IF(B125="","",IFERROR(IF(VLOOKUP(B125,CONFIG_ASIGNATURAS!$B$2:$F$61,5,FALSE())="Sí","Especialidad","Asignatura"),"Asignatura"))</f>
      </c>
      <c r="D125">
        <f>IF(V125="Sí",COUNTIFS(DATOS!G:G,CONFIG_METADATA!$B$4,DATOS!D:D,A125,DATOS!I:I,B125),"")</f>
        <v>0</v>
      </c>
      <c r="E125" s="14" t="str">
        <f>IF(V125="Sí",IFERROR(AVERAGEIFS(DATOS!K:K,DATOS!G:G,CONFIG_METADATA!$B$4,DATOS!D:D,A125,DATOS!I:I,B125),"—"),"")</f>
        <v>—</v>
      </c>
      <c r="F125" s="14" t="str" cm="1">
        <f t="array" ref="F125">IF(V125="Sí",IFERROR(_xlfn.STDEV.P(IF((DATOS!$G$2:$G$20000=CONFIG_METADATA!$B$4)*(DATOS!$D$2:$D$20000=A125)*(DATOS!$I$2:$I$20000=B125),DATOS!$K$2:$K$20000)),"—"),"")</f>
        <v>—</v>
      </c>
      <c r="G125" t="str" cm="1">
        <f t="array" ref="G125">IF(V125="Sí",IFERROR(_xlfn.MODE.SNGL(IF((DATOS!$G$2:$G$20000=CONFIG_METADATA!$B$4)*(DATOS!$D$2:$D$20000=A125)*(DATOS!$I$2:$I$20000=B125),DATOS!$K$2:$K$20000)),"—"),"")</f>
        <v>—</v>
      </c>
      <c r="H125" s="15" t="str">
        <f>IF(V125="Sí",IFERROR(COUNTIFS(DATOS!G:G,CONFIG_METADATA!$B$4,DATOS!D:D,A125,DATOS!I:I,B125,DATOS!L:L,"S")/COUNTIFS(DATOS!G:G,CONFIG_METADATA!$B$4,DATOS!D:D,A125,DATOS!I:I,B125),"—"),"")</f>
        <v>—</v>
      </c>
      <c r="I125" s="15" t="str">
        <f>IF(V125="Sí",IFERROR(COUNTIFS(DATOS!G:G,CONFIG_METADATA!$B$4,DATOS!D:D,A125,DATOS!I:I,B125,DATOS!L:L,"N")/COUNTIFS(DATOS!G:G,CONFIG_METADATA!$B$4,DATOS!D:D,A125,DATOS!I:I,B125),"—"),"")</f>
        <v>—</v>
      </c>
      <c r="J125" t="str" cm="1">
        <f t="array" ref="J125">IF(V125="Sí",IFERROR(_xlfn.MODE.SNGL(IF((DATOS!$G$2:$G$20000=CONFIG_METADATA!$B$4)*(DATOS!$D$2:$D$20000=A125)*(DATOS!$I$2:$I$20000=B125)*(DATOS!$L$2:$L$20000="S"),DATOS!$K$2:$K$20000)),"—"),"")</f>
        <v>—</v>
      </c>
      <c r="K125" t="str" cm="1">
        <f t="array" ref="K125">IF(V125="Sí",IFERROR(_xlfn.MODE.SNGL(IF((DATOS!$G$2:$G$20000=CONFIG_METADATA!$B$4)*(DATOS!$D$2:$D$20000=A125)*(DATOS!$I$2:$I$20000=B125)*(DATOS!$L$2:$L$20000="N"),DATOS!$K$2:$K$20000)),"—"),"")</f>
        <v>—</v>
      </c>
      <c r="L125">
        <f>IF(V125="Sí",COUNTIFS(DATOS!G:G,CONFIG_METADATA!$B$4,DATOS!D:D,A125,DATOS!I:I,B125,DATOS!K:K,1),"")</f>
        <v>0</v>
      </c>
      <c r="M125">
        <f>IF(V125="Sí",COUNTIFS(DATOS!G:G,CONFIG_METADATA!$B$4,DATOS!D:D,A125,DATOS!I:I,B125,DATOS!K:K,2),"")</f>
        <v>0</v>
      </c>
      <c r="N125">
        <f>IF(V125="Sí",COUNTIFS(DATOS!G:G,CONFIG_METADATA!$B$4,DATOS!D:D,A125,DATOS!I:I,B125,DATOS!K:K,3),"")</f>
        <v>0</v>
      </c>
      <c r="O125">
        <f>IF(V125="Sí",COUNTIFS(DATOS!G:G,CONFIG_METADATA!$B$4,DATOS!D:D,A125,DATOS!I:I,B125,DATOS!K:K,4),"")</f>
        <v>0</v>
      </c>
      <c r="P125">
        <f>IF(V125="Sí",COUNTIFS(DATOS!G:G,CONFIG_METADATA!$B$4,DATOS!D:D,A125,DATOS!I:I,B125,DATOS!K:K,5),"")</f>
        <v>0</v>
      </c>
      <c r="Q125">
        <f>IF(V125="Sí",COUNTIFS(DATOS!G:G,CONFIG_METADATA!$B$4,DATOS!D:D,A125,DATOS!I:I,B125,DATOS!K:K,6),"")</f>
        <v>0</v>
      </c>
      <c r="R125">
        <f>IF(V125="Sí",COUNTIFS(DATOS!G:G,CONFIG_METADATA!$B$4,DATOS!D:D,A125,DATOS!I:I,B125,DATOS!K:K,7),"")</f>
        <v>0</v>
      </c>
      <c r="S125">
        <f>IF(V125="Sí",COUNTIFS(DATOS!G:G,CONFIG_METADATA!$B$4,DATOS!D:D,A125,DATOS!I:I,B125,DATOS!K:K,8),"")</f>
        <v>0</v>
      </c>
      <c r="T125">
        <f>IF(V125="Sí",COUNTIFS(DATOS!G:G,CONFIG_METADATA!$B$4,DATOS!D:D,A125,DATOS!I:I,B125,DATOS!K:K,9),"")</f>
        <v>0</v>
      </c>
      <c r="U125">
        <f>IF(V125="Sí",COUNTIFS(DATOS!G:G,CONFIG_METADATA!$B$4,DATOS!D:D,A125,DATOS!I:I,B125,DATOS!K:K,10),"")</f>
        <v>0</v>
      </c>
      <c r="V125" t="str">
        <f>IFERROR(IF(ISERROR(FIND(A125,VLOOKUP(B125,CONFIG_ASIGNATURAS!B:C,2,FALSE()))),"No","Sí"),"No")</f>
        <v>Sí</v>
      </c>
    </row>
    <row r="126" spans="1:22">
      <c r="A126" s="3" t="inlineStr">
        <is>
          <t xml:space="preserve">1EEM</t>
        </is>
      </c>
      <c r="B126" s="3" cm="1">
        <f t="array" ref="B126">IFERROR(INDEX(_xlfn._xlws.FILTER(CONFIG_ASIGNATURAS!$B$2:$B$61,(CONFIG_ASIGNATURAS!$G$2:$G$61="Sí")*ISNUMBER(SEARCH("1EEM",CONFIG_ASIGNATURAS!$C$2:$C$61))),59),"")</f>
      </c>
      <c r="C126" s="3">
        <f>IF(B126="","",IFERROR(IF(VLOOKUP(B126,CONFIG_ASIGNATURAS!$B$2:$F$61,5,FALSE())="Sí","Especialidad","Asignatura"),"Asignatura"))</f>
      </c>
      <c r="D126">
        <f>IF(V126="Sí",COUNTIFS(DATOS!G:G,CONFIG_METADATA!$B$4,DATOS!D:D,A126,DATOS!I:I,B126),"")</f>
        <v>0</v>
      </c>
      <c r="E126" s="14" t="str">
        <f>IF(V126="Sí",IFERROR(AVERAGEIFS(DATOS!K:K,DATOS!G:G,CONFIG_METADATA!$B$4,DATOS!D:D,A126,DATOS!I:I,B126),"—"),"")</f>
        <v>—</v>
      </c>
      <c r="F126" s="14" t="str" cm="1">
        <f t="array" ref="F126">IF(V126="Sí",IFERROR(_xlfn.STDEV.P(IF((DATOS!$G$2:$G$20000=CONFIG_METADATA!$B$4)*(DATOS!$D$2:$D$20000=A126)*(DATOS!$I$2:$I$20000=B126),DATOS!$K$2:$K$20000)),"—"),"")</f>
        <v>—</v>
      </c>
      <c r="G126" t="str" cm="1">
        <f t="array" ref="G126">IF(V126="Sí",IFERROR(_xlfn.MODE.SNGL(IF((DATOS!$G$2:$G$20000=CONFIG_METADATA!$B$4)*(DATOS!$D$2:$D$20000=A126)*(DATOS!$I$2:$I$20000=B126),DATOS!$K$2:$K$20000)),"—"),"")</f>
        <v>—</v>
      </c>
      <c r="H126" s="15" t="str">
        <f>IF(V126="Sí",IFERROR(COUNTIFS(DATOS!G:G,CONFIG_METADATA!$B$4,DATOS!D:D,A126,DATOS!I:I,B126,DATOS!L:L,"S")/COUNTIFS(DATOS!G:G,CONFIG_METADATA!$B$4,DATOS!D:D,A126,DATOS!I:I,B126),"—"),"")</f>
        <v>—</v>
      </c>
      <c r="I126" s="15" t="str">
        <f>IF(V126="Sí",IFERROR(COUNTIFS(DATOS!G:G,CONFIG_METADATA!$B$4,DATOS!D:D,A126,DATOS!I:I,B126,DATOS!L:L,"N")/COUNTIFS(DATOS!G:G,CONFIG_METADATA!$B$4,DATOS!D:D,A126,DATOS!I:I,B126),"—"),"")</f>
        <v>—</v>
      </c>
      <c r="J126" t="str" cm="1">
        <f t="array" ref="J126">IF(V126="Sí",IFERROR(_xlfn.MODE.SNGL(IF((DATOS!$G$2:$G$20000=CONFIG_METADATA!$B$4)*(DATOS!$D$2:$D$20000=A126)*(DATOS!$I$2:$I$20000=B126)*(DATOS!$L$2:$L$20000="S"),DATOS!$K$2:$K$20000)),"—"),"")</f>
        <v>—</v>
      </c>
      <c r="K126" t="str" cm="1">
        <f t="array" ref="K126">IF(V126="Sí",IFERROR(_xlfn.MODE.SNGL(IF((DATOS!$G$2:$G$20000=CONFIG_METADATA!$B$4)*(DATOS!$D$2:$D$20000=A126)*(DATOS!$I$2:$I$20000=B126)*(DATOS!$L$2:$L$20000="N"),DATOS!$K$2:$K$20000)),"—"),"")</f>
        <v>—</v>
      </c>
      <c r="L126">
        <f>IF(V126="Sí",COUNTIFS(DATOS!G:G,CONFIG_METADATA!$B$4,DATOS!D:D,A126,DATOS!I:I,B126,DATOS!K:K,1),"")</f>
        <v>0</v>
      </c>
      <c r="M126">
        <f>IF(V126="Sí",COUNTIFS(DATOS!G:G,CONFIG_METADATA!$B$4,DATOS!D:D,A126,DATOS!I:I,B126,DATOS!K:K,2),"")</f>
        <v>0</v>
      </c>
      <c r="N126">
        <f>IF(V126="Sí",COUNTIFS(DATOS!G:G,CONFIG_METADATA!$B$4,DATOS!D:D,A126,DATOS!I:I,B126,DATOS!K:K,3),"")</f>
        <v>0</v>
      </c>
      <c r="O126">
        <f>IF(V126="Sí",COUNTIFS(DATOS!G:G,CONFIG_METADATA!$B$4,DATOS!D:D,A126,DATOS!I:I,B126,DATOS!K:K,4),"")</f>
        <v>0</v>
      </c>
      <c r="P126">
        <f>IF(V126="Sí",COUNTIFS(DATOS!G:G,CONFIG_METADATA!$B$4,DATOS!D:D,A126,DATOS!I:I,B126,DATOS!K:K,5),"")</f>
        <v>0</v>
      </c>
      <c r="Q126">
        <f>IF(V126="Sí",COUNTIFS(DATOS!G:G,CONFIG_METADATA!$B$4,DATOS!D:D,A126,DATOS!I:I,B126,DATOS!K:K,6),"")</f>
        <v>0</v>
      </c>
      <c r="R126">
        <f>IF(V126="Sí",COUNTIFS(DATOS!G:G,CONFIG_METADATA!$B$4,DATOS!D:D,A126,DATOS!I:I,B126,DATOS!K:K,7),"")</f>
        <v>0</v>
      </c>
      <c r="S126">
        <f>IF(V126="Sí",COUNTIFS(DATOS!G:G,CONFIG_METADATA!$B$4,DATOS!D:D,A126,DATOS!I:I,B126,DATOS!K:K,8),"")</f>
        <v>0</v>
      </c>
      <c r="T126">
        <f>IF(V126="Sí",COUNTIFS(DATOS!G:G,CONFIG_METADATA!$B$4,DATOS!D:D,A126,DATOS!I:I,B126,DATOS!K:K,9),"")</f>
        <v>0</v>
      </c>
      <c r="U126">
        <f>IF(V126="Sí",COUNTIFS(DATOS!G:G,CONFIG_METADATA!$B$4,DATOS!D:D,A126,DATOS!I:I,B126,DATOS!K:K,10),"")</f>
        <v>0</v>
      </c>
      <c r="V126" t="str">
        <f>IFERROR(IF(ISERROR(FIND(A126,VLOOKUP(B126,CONFIG_ASIGNATURAS!B:C,2,FALSE()))),"No","Sí"),"No")</f>
        <v>Sí</v>
      </c>
    </row>
    <row r="127" spans="1:22">
      <c r="A127" s="3" t="inlineStr">
        <is>
          <t xml:space="preserve">1EEM</t>
        </is>
      </c>
      <c r="B127" s="3" cm="1">
        <f t="array" ref="B127">IFERROR(INDEX(_xlfn._xlws.FILTER(CONFIG_ASIGNATURAS!$B$2:$B$61,(CONFIG_ASIGNATURAS!$G$2:$G$61="Sí")*ISNUMBER(SEARCH("1EEM",CONFIG_ASIGNATURAS!$C$2:$C$61))),60),"")</f>
      </c>
      <c r="C127" s="3">
        <f>IF(B127="","",IFERROR(IF(VLOOKUP(B127,CONFIG_ASIGNATURAS!$B$2:$F$61,5,FALSE())="Sí","Especialidad","Asignatura"),"Asignatura"))</f>
      </c>
      <c r="D127">
        <f>IF(V127="Sí",COUNTIFS(DATOS!G:G,CONFIG_METADATA!$B$4,DATOS!D:D,A127,DATOS!I:I,B127),"")</f>
        <v>0</v>
      </c>
      <c r="E127" s="14" t="str">
        <f>IF(V127="Sí",IFERROR(AVERAGEIFS(DATOS!K:K,DATOS!G:G,CONFIG_METADATA!$B$4,DATOS!D:D,A127,DATOS!I:I,B127),"—"),"")</f>
        <v>—</v>
      </c>
      <c r="F127" s="14" t="str" cm="1">
        <f t="array" ref="F127">IF(V127="Sí",IFERROR(_xlfn.STDEV.P(IF((DATOS!$G$2:$G$20000=CONFIG_METADATA!$B$4)*(DATOS!$D$2:$D$20000=A127)*(DATOS!$I$2:$I$20000=B127),DATOS!$K$2:$K$20000)),"—"),"")</f>
        <v>—</v>
      </c>
      <c r="G127" t="str" cm="1">
        <f t="array" ref="G127">IF(V127="Sí",IFERROR(_xlfn.MODE.SNGL(IF((DATOS!$G$2:$G$20000=CONFIG_METADATA!$B$4)*(DATOS!$D$2:$D$20000=A127)*(DATOS!$I$2:$I$20000=B127),DATOS!$K$2:$K$20000)),"—"),"")</f>
        <v>—</v>
      </c>
      <c r="H127" s="15" t="str">
        <f>IF(V127="Sí",IFERROR(COUNTIFS(DATOS!G:G,CONFIG_METADATA!$B$4,DATOS!D:D,A127,DATOS!I:I,B127,DATOS!L:L,"S")/COUNTIFS(DATOS!G:G,CONFIG_METADATA!$B$4,DATOS!D:D,A127,DATOS!I:I,B127),"—"),"")</f>
        <v>—</v>
      </c>
      <c r="I127" s="15" t="str">
        <f>IF(V127="Sí",IFERROR(COUNTIFS(DATOS!G:G,CONFIG_METADATA!$B$4,DATOS!D:D,A127,DATOS!I:I,B127,DATOS!L:L,"N")/COUNTIFS(DATOS!G:G,CONFIG_METADATA!$B$4,DATOS!D:D,A127,DATOS!I:I,B127),"—"),"")</f>
        <v>—</v>
      </c>
      <c r="J127" t="str" cm="1">
        <f t="array" ref="J127">IF(V127="Sí",IFERROR(_xlfn.MODE.SNGL(IF((DATOS!$G$2:$G$20000=CONFIG_METADATA!$B$4)*(DATOS!$D$2:$D$20000=A127)*(DATOS!$I$2:$I$20000=B127)*(DATOS!$L$2:$L$20000="S"),DATOS!$K$2:$K$20000)),"—"),"")</f>
        <v>—</v>
      </c>
      <c r="K127" t="str" cm="1">
        <f t="array" ref="K127">IF(V127="Sí",IFERROR(_xlfn.MODE.SNGL(IF((DATOS!$G$2:$G$20000=CONFIG_METADATA!$B$4)*(DATOS!$D$2:$D$20000=A127)*(DATOS!$I$2:$I$20000=B127)*(DATOS!$L$2:$L$20000="N"),DATOS!$K$2:$K$20000)),"—"),"")</f>
        <v>—</v>
      </c>
      <c r="L127">
        <f>IF(V127="Sí",COUNTIFS(DATOS!G:G,CONFIG_METADATA!$B$4,DATOS!D:D,A127,DATOS!I:I,B127,DATOS!K:K,1),"")</f>
        <v>0</v>
      </c>
      <c r="M127">
        <f>IF(V127="Sí",COUNTIFS(DATOS!G:G,CONFIG_METADATA!$B$4,DATOS!D:D,A127,DATOS!I:I,B127,DATOS!K:K,2),"")</f>
        <v>0</v>
      </c>
      <c r="N127">
        <f>IF(V127="Sí",COUNTIFS(DATOS!G:G,CONFIG_METADATA!$B$4,DATOS!D:D,A127,DATOS!I:I,B127,DATOS!K:K,3),"")</f>
        <v>0</v>
      </c>
      <c r="O127">
        <f>IF(V127="Sí",COUNTIFS(DATOS!G:G,CONFIG_METADATA!$B$4,DATOS!D:D,A127,DATOS!I:I,B127,DATOS!K:K,4),"")</f>
        <v>0</v>
      </c>
      <c r="P127">
        <f>IF(V127="Sí",COUNTIFS(DATOS!G:G,CONFIG_METADATA!$B$4,DATOS!D:D,A127,DATOS!I:I,B127,DATOS!K:K,5),"")</f>
        <v>0</v>
      </c>
      <c r="Q127">
        <f>IF(V127="Sí",COUNTIFS(DATOS!G:G,CONFIG_METADATA!$B$4,DATOS!D:D,A127,DATOS!I:I,B127,DATOS!K:K,6),"")</f>
        <v>0</v>
      </c>
      <c r="R127">
        <f>IF(V127="Sí",COUNTIFS(DATOS!G:G,CONFIG_METADATA!$B$4,DATOS!D:D,A127,DATOS!I:I,B127,DATOS!K:K,7),"")</f>
        <v>0</v>
      </c>
      <c r="S127">
        <f>IF(V127="Sí",COUNTIFS(DATOS!G:G,CONFIG_METADATA!$B$4,DATOS!D:D,A127,DATOS!I:I,B127,DATOS!K:K,8),"")</f>
        <v>0</v>
      </c>
      <c r="T127">
        <f>IF(V127="Sí",COUNTIFS(DATOS!G:G,CONFIG_METADATA!$B$4,DATOS!D:D,A127,DATOS!I:I,B127,DATOS!K:K,9),"")</f>
        <v>0</v>
      </c>
      <c r="U127">
        <f>IF(V127="Sí",COUNTIFS(DATOS!G:G,CONFIG_METADATA!$B$4,DATOS!D:D,A127,DATOS!I:I,B127,DATOS!K:K,10),"")</f>
        <v>0</v>
      </c>
      <c r="V127" t="str">
        <f>IFERROR(IF(ISERROR(FIND(A127,VLOOKUP(B127,CONFIG_ASIGNATURAS!B:C,2,FALSE()))),"No","Sí"),"No")</f>
        <v>Sí</v>
      </c>
    </row>
    <row r="128" spans="1:22">
      <c r="A128" s="3" t="inlineStr">
        <is>
          <t xml:space="preserve">2EEM</t>
        </is>
      </c>
      <c r="B128" s="3" t="inlineStr">
        <is>
          <t xml:space="preserve">Total</t>
        </is>
      </c>
      <c r="C128" s="3" t="inlineStr">
        <is>
          <t xml:space="preserve">Total</t>
        </is>
      </c>
      <c r="D128">
        <f>COUNTIFS(DATOS!G:G,CONFIG_METADATA!$B$4,DATOS!D:D,A128)</f>
        <v>0</v>
      </c>
      <c r="E128" s="14" t="str">
        <f>IFERROR(AVERAGEIFS(DATOS!K:K,DATOS!G:G,CONFIG_METADATA!$B$4,DATOS!D:D,A128),"—")</f>
        <v>—</v>
      </c>
      <c r="F128" s="14" t="str" cm="1">
        <f t="array" ref="F128">IFERROR(_xlfn.STDEV.P(IF((DATOS!$G$2:$G$20000=CONFIG_METADATA!$B$4)*(DATOS!$D$2:$D$20000=A128),DATOS!$K$2:$K$20000)),"—")</f>
        <v>—</v>
      </c>
      <c r="G128" t="str" cm="1">
        <f t="array" ref="G128">IFERROR(_xlfn.MODE.SNGL(IF((DATOS!$G$2:$G$20000=CONFIG_METADATA!$B$4)*(DATOS!$D$2:$D$20000=A128),DATOS!$K$2:$K$20000)),"—")</f>
        <v>—</v>
      </c>
      <c r="H128" s="15" t="str">
        <f>IFERROR(COUNTIFS(DATOS!$G$2:$G$20000,CONFIG_METADATA!$B$4,DATOS!$D$2:$D$20000,A128,DATOS!$L$2:$L$20000,"S")/COUNTIFS(DATOS!$G$2:$G$20000,CONFIG_METADATA!$B$4,DATOS!$D$2:$D$20000,A128),"—")</f>
        <v>—</v>
      </c>
      <c r="I128" s="15" t="str">
        <f>IFERROR(COUNTIFS(DATOS!$G$2:$G$20000,CONFIG_METADATA!$B$4,DATOS!$D$2:$D$20000,A128,DATOS!$L$2:$L$20000,"N")/COUNTIFS(DATOS!$G$2:$G$20000,CONFIG_METADATA!$B$4,DATOS!$D$2:$D$20000,A128),"—")</f>
        <v>—</v>
      </c>
      <c r="J128" t="str" cm="1">
        <f t="array" ref="J128">IFERROR(_xlfn.MODE.SNGL(IF((DATOS!$G$2:$G$20000=CONFIG_METADATA!$B$4)*(DATOS!$D$2:$D$20000=A128)*(DATOS!$L$2:$L$20000="S"),DATOS!$K$2:$K$20000)),"—")</f>
        <v>—</v>
      </c>
      <c r="K128" t="str" cm="1">
        <f t="array" ref="K128">IFERROR(_xlfn.MODE.SNGL(IF((DATOS!$G$2:$G$20000=CONFIG_METADATA!$B$4)*(DATOS!$D$2:$D$20000=A128)*(DATOS!$L$2:$L$20000="N"),DATOS!$K$2:$K$20000)),"—")</f>
        <v>—</v>
      </c>
      <c r="L128" cm="1">
        <f t="array" ref="L128">SUMPRODUCT((DATOS!$G$2:$G$20000=CONFIG_METADATA!$B$4)*(DATOS!$D$2:$D$20000=A128)*(DATOS!$K$2:$K$20000=1))</f>
        <v>0</v>
      </c>
      <c r="M128" cm="1">
        <f t="array" ref="M128">SUMPRODUCT((DATOS!$G$2:$G$20000=CONFIG_METADATA!$B$4)*(DATOS!$D$2:$D$20000=A128)*(DATOS!$K$2:$K$20000=2))</f>
        <v>0</v>
      </c>
      <c r="N128" cm="1">
        <f t="array" ref="N128">SUMPRODUCT((DATOS!$G$2:$G$20000=CONFIG_METADATA!$B$4)*(DATOS!$D$2:$D$20000=A128)*(DATOS!$K$2:$K$20000=3))</f>
        <v>0</v>
      </c>
      <c r="O128" cm="1">
        <f t="array" ref="O128">SUMPRODUCT((DATOS!$G$2:$G$20000=CONFIG_METADATA!$B$4)*(DATOS!$D$2:$D$20000=A128)*(DATOS!$K$2:$K$20000=4))</f>
        <v>0</v>
      </c>
      <c r="P128" cm="1">
        <f t="array" ref="P128">SUMPRODUCT((DATOS!$G$2:$G$20000=CONFIG_METADATA!$B$4)*(DATOS!$D$2:$D$20000=A128)*(DATOS!$K$2:$K$20000=5))</f>
        <v>0</v>
      </c>
      <c r="Q128" cm="1">
        <f t="array" ref="Q128">SUMPRODUCT((DATOS!$G$2:$G$20000=CONFIG_METADATA!$B$4)*(DATOS!$D$2:$D$20000=A128)*(DATOS!$K$2:$K$20000=6))</f>
        <v>0</v>
      </c>
      <c r="R128" cm="1">
        <f t="array" ref="R128">SUMPRODUCT((DATOS!$G$2:$G$20000=CONFIG_METADATA!$B$4)*(DATOS!$D$2:$D$20000=A128)*(DATOS!$K$2:$K$20000=7))</f>
        <v>0</v>
      </c>
      <c r="S128" cm="1">
        <f t="array" ref="S128">SUMPRODUCT((DATOS!$G$2:$G$20000=CONFIG_METADATA!$B$4)*(DATOS!$D$2:$D$20000=A128)*(DATOS!$K$2:$K$20000=8))</f>
        <v>0</v>
      </c>
      <c r="T128" cm="1">
        <f t="array" ref="T128">SUMPRODUCT((DATOS!$G$2:$G$20000=CONFIG_METADATA!$B$4)*(DATOS!$D$2:$D$20000=A128)*(DATOS!$K$2:$K$20000=9))</f>
        <v>0</v>
      </c>
      <c r="U128" cm="1">
        <f t="array" ref="U128">SUMPRODUCT((DATOS!$G$2:$G$20000=CONFIG_METADATA!$B$4)*(DATOS!$D$2:$D$20000=A128)*(DATOS!$K$2:$K$20000=10))</f>
        <v>0</v>
      </c>
    </row>
    <row r="129" spans="1:22">
      <c r="A129" s="3" t="inlineStr">
        <is>
          <t xml:space="preserve">2EEM</t>
        </is>
      </c>
      <c r="B129" s="3" t="inlineStr">
        <is>
          <t xml:space="preserve">Total Especialidad</t>
        </is>
      </c>
      <c r="C129" s="3" t="inlineStr">
        <is>
          <t xml:space="preserve">TotalEsp</t>
        </is>
      </c>
      <c r="D129">
        <f>SUMPRODUCT((DATOS!$G$2:$G$20000=CONFIG_METADATA!$B$4)*(DATOS!$D$2:$D$20000=A129)*(COUNTIFS(CONFIG_ASIGNATURAS!$B$2:$B$61,DATOS!$I$2:$I$20000,CONFIG_ASIGNATURAS!$D$2:$D$61,"Especialidad",CONFIG_ASIGNATURAS!$G$2:$G$61,"Sí")&gt;0)*1)</f>
      </c>
      <c r="E129" s="14">
        <f>IFERROR(AVERAGE(IF((DATOS!$G$2:$G$20000=CONFIG_METADATA!$B$4)*(DATOS!$D$2:$D$20000=A129)*(COUNTIFS(CONFIG_ASIGNATURAS!$B$2:$B$61,DATOS!$I$2:$I$20000,CONFIG_ASIGNATURAS!$D$2:$D$61,"Especialidad",CONFIG_ASIGNATURAS!$G$2:$G$61,"Sí")&gt;0),DATOS!$K$2:$K$20000)),"—")</f>
      </c>
      <c r="F129" s="14">
        <f>IFERROR(_xlfn.STDEV.P(IF((DATOS!$G$2:$G$20000=CONFIG_METADATA!$B$4)*(DATOS!$D$2:$D$20000=A129)*(COUNTIFS(CONFIG_ASIGNATURAS!$B$2:$B$61,DATOS!$I$2:$I$20000,CONFIG_ASIGNATURAS!$D$2:$D$61,"Especialidad",CONFIG_ASIGNATURAS!$G$2:$G$61,"Sí")&gt;0),DATOS!$K$2:$K$20000)),"—")</f>
      </c>
      <c r="G129">
        <f>IFERROR(_xlfn.MODE.SNGL(IF((DATOS!$G$2:$G$20000=CONFIG_METADATA!$B$4)*(DATOS!$D$2:$D$20000=A129)*(COUNTIFS(CONFIG_ASIGNATURAS!$B$2:$B$61,DATOS!$I$2:$I$20000,CONFIG_ASIGNATURAS!$D$2:$D$61,"Especialidad",CONFIG_ASIGNATURAS!$G$2:$G$61,"Sí")&gt;0),DATOS!$K$2:$K$20000)),"—")</f>
      </c>
      <c r="H129" s="15">
        <f>IFERROR(SUMPRODUCT((DATOS!$G$2:$G$20000=CONFIG_METADATA!$B$4)*(DATOS!$D$2:$D$20000=A129)*(COUNTIFS(CONFIG_ASIGNATURAS!$B$2:$B$61,DATOS!$I$2:$I$20000,CONFIG_ASIGNATURAS!$D$2:$D$61,"Especialidad",CONFIG_ASIGNATURAS!$G$2:$G$61,"Sí")&gt;0)*(DATOS!$L$2:$L$20000="S"))/SUMPRODUCT((DATOS!$G$2:$G$20000=CONFIG_METADATA!$B$4)*(DATOS!$D$2:$D$20000=A129)*(COUNTIFS(CONFIG_ASIGNATURAS!$B$2:$B$61,DATOS!$I$2:$I$20000,CONFIG_ASIGNATURAS!$D$2:$D$61,"Especialidad",CONFIG_ASIGNATURAS!$G$2:$G$61,"Sí")&gt;0)*1),"—")</f>
      </c>
      <c r="I129" s="15">
        <f>IFERROR(SUMPRODUCT((DATOS!$G$2:$G$20000=CONFIG_METADATA!$B$4)*(DATOS!$D$2:$D$20000=A129)*(COUNTIFS(CONFIG_ASIGNATURAS!$B$2:$B$61,DATOS!$I$2:$I$20000,CONFIG_ASIGNATURAS!$D$2:$D$61,"Especialidad",CONFIG_ASIGNATURAS!$G$2:$G$61,"Sí")&gt;0)*(DATOS!$L$2:$L$20000="N"))/SUMPRODUCT((DATOS!$G$2:$G$20000=CONFIG_METADATA!$B$4)*(DATOS!$D$2:$D$20000=A129)*(COUNTIFS(CONFIG_ASIGNATURAS!$B$2:$B$61,DATOS!$I$2:$I$20000,CONFIG_ASIGNATURAS!$D$2:$D$61,"Especialidad",CONFIG_ASIGNATURAS!$G$2:$G$61,"Sí")&gt;0)*1),"—")</f>
      </c>
      <c r="J129">
        <f>IFERROR(_xlfn.MODE.SNGL(IF((DATOS!$G$2:$G$20000=CONFIG_METADATA!$B$4)*(DATOS!$D$2:$D$20000=A129)*(COUNTIFS(CONFIG_ASIGNATURAS!$B$2:$B$61,DATOS!$I$2:$I$20000,CONFIG_ASIGNATURAS!$D$2:$D$61,"Especialidad",CONFIG_ASIGNATURAS!$G$2:$G$61,"Sí")&gt;0)*(DATOS!$L$2:$L$20000="S"),DATOS!$K$2:$K$20000)),"—")</f>
      </c>
      <c r="K129">
        <f>IFERROR(_xlfn.MODE.SNGL(IF((DATOS!$G$2:$G$20000=CONFIG_METADATA!$B$4)*(DATOS!$D$2:$D$20000=A129)*(COUNTIFS(CONFIG_ASIGNATURAS!$B$2:$B$61,DATOS!$I$2:$I$20000,CONFIG_ASIGNATURAS!$D$2:$D$61,"Especialidad",CONFIG_ASIGNATURAS!$G$2:$G$61,"Sí")&gt;0)*(DATOS!$L$2:$L$20000="N"),DATOS!$K$2:$K$20000)),"—")</f>
      </c>
      <c r="L129">
        <f>SUMPRODUCT((DATOS!$G$2:$G$20000=CONFIG_METADATA!$B$4)*(DATOS!$D$2:$D$20000=A129)*(COUNTIFS(CONFIG_ASIGNATURAS!$B$2:$B$61,DATOS!$I$2:$I$20000,CONFIG_ASIGNATURAS!$D$2:$D$61,"Especialidad",CONFIG_ASIGNATURAS!$G$2:$G$61,"Sí")&gt;0)*(DATOS!$K$2:$K$20000=1))</f>
      </c>
      <c r="M129">
        <f>SUMPRODUCT((DATOS!$G$2:$G$20000=CONFIG_METADATA!$B$4)*(DATOS!$D$2:$D$20000=A129)*(COUNTIFS(CONFIG_ASIGNATURAS!$B$2:$B$61,DATOS!$I$2:$I$20000,CONFIG_ASIGNATURAS!$D$2:$D$61,"Especialidad",CONFIG_ASIGNATURAS!$G$2:$G$61,"Sí")&gt;0)*(DATOS!$K$2:$K$20000=2))</f>
      </c>
      <c r="N129">
        <f>SUMPRODUCT((DATOS!$G$2:$G$20000=CONFIG_METADATA!$B$4)*(DATOS!$D$2:$D$20000=A129)*(COUNTIFS(CONFIG_ASIGNATURAS!$B$2:$B$61,DATOS!$I$2:$I$20000,CONFIG_ASIGNATURAS!$D$2:$D$61,"Especialidad",CONFIG_ASIGNATURAS!$G$2:$G$61,"Sí")&gt;0)*(DATOS!$K$2:$K$20000=3))</f>
      </c>
      <c r="O129">
        <f>SUMPRODUCT((DATOS!$G$2:$G$20000=CONFIG_METADATA!$B$4)*(DATOS!$D$2:$D$20000=A129)*(COUNTIFS(CONFIG_ASIGNATURAS!$B$2:$B$61,DATOS!$I$2:$I$20000,CONFIG_ASIGNATURAS!$D$2:$D$61,"Especialidad",CONFIG_ASIGNATURAS!$G$2:$G$61,"Sí")&gt;0)*(DATOS!$K$2:$K$20000=4))</f>
      </c>
      <c r="P129">
        <f>SUMPRODUCT((DATOS!$G$2:$G$20000=CONFIG_METADATA!$B$4)*(DATOS!$D$2:$D$20000=A129)*(COUNTIFS(CONFIG_ASIGNATURAS!$B$2:$B$61,DATOS!$I$2:$I$20000,CONFIG_ASIGNATURAS!$D$2:$D$61,"Especialidad",CONFIG_ASIGNATURAS!$G$2:$G$61,"Sí")&gt;0)*(DATOS!$K$2:$K$20000=5))</f>
      </c>
      <c r="Q129">
        <f>SUMPRODUCT((DATOS!$G$2:$G$20000=CONFIG_METADATA!$B$4)*(DATOS!$D$2:$D$20000=A129)*(COUNTIFS(CONFIG_ASIGNATURAS!$B$2:$B$61,DATOS!$I$2:$I$20000,CONFIG_ASIGNATURAS!$D$2:$D$61,"Especialidad",CONFIG_ASIGNATURAS!$G$2:$G$61,"Sí")&gt;0)*(DATOS!$K$2:$K$20000=6))</f>
      </c>
      <c r="R129">
        <f>SUMPRODUCT((DATOS!$G$2:$G$20000=CONFIG_METADATA!$B$4)*(DATOS!$D$2:$D$20000=A129)*(COUNTIFS(CONFIG_ASIGNATURAS!$B$2:$B$61,DATOS!$I$2:$I$20000,CONFIG_ASIGNATURAS!$D$2:$D$61,"Especialidad",CONFIG_ASIGNATURAS!$G$2:$G$61,"Sí")&gt;0)*(DATOS!$K$2:$K$20000=7))</f>
      </c>
      <c r="S129">
        <f>SUMPRODUCT((DATOS!$G$2:$G$20000=CONFIG_METADATA!$B$4)*(DATOS!$D$2:$D$20000=A129)*(COUNTIFS(CONFIG_ASIGNATURAS!$B$2:$B$61,DATOS!$I$2:$I$20000,CONFIG_ASIGNATURAS!$D$2:$D$61,"Especialidad",CONFIG_ASIGNATURAS!$G$2:$G$61,"Sí")&gt;0)*(DATOS!$K$2:$K$20000=8))</f>
      </c>
      <c r="T129">
        <f>SUMPRODUCT((DATOS!$G$2:$G$20000=CONFIG_METADATA!$B$4)*(DATOS!$D$2:$D$20000=A129)*(COUNTIFS(CONFIG_ASIGNATURAS!$B$2:$B$61,DATOS!$I$2:$I$20000,CONFIG_ASIGNATURAS!$D$2:$D$61,"Especialidad",CONFIG_ASIGNATURAS!$G$2:$G$61,"Sí")&gt;0)*(DATOS!$K$2:$K$20000=9))</f>
      </c>
      <c r="U129">
        <f>SUMPRODUCT((DATOS!$G$2:$G$20000=CONFIG_METADATA!$B$4)*(DATOS!$D$2:$D$20000=A129)*(COUNTIFS(CONFIG_ASIGNATURAS!$B$2:$B$61,DATOS!$I$2:$I$20000,CONFIG_ASIGNATURAS!$D$2:$D$61,"Especialidad",CONFIG_ASIGNATURAS!$G$2:$G$61,"Sí")&gt;0)*(DATOS!$K$2:$K$20000=10))</f>
      </c>
    </row>
    <row r="130" spans="1:22">
      <c r="A130" s="3" t="inlineStr">
        <is>
          <t xml:space="preserve">2EEM</t>
        </is>
      </c>
      <c r="B130" s="3" t="inlineStr">
        <is>
          <t xml:space="preserve">Total no Especialidad</t>
        </is>
      </c>
      <c r="C130" s="3" t="inlineStr">
        <is>
          <t xml:space="preserve">TotalNoEsp</t>
        </is>
      </c>
      <c r="D130">
        <f>SUMPRODUCT((DATOS!$G$2:$G$20000=CONFIG_METADATA!$B$4)*(DATOS!$D$2:$D$20000=A130)*(COUNTIFS(CONFIG_ASIGNATURAS!$B$2:$B$61,DATOS!$I$2:$I$20000,CONFIG_ASIGNATURAS!$D$2:$D$61,"&lt;&gt;Especialidad",CONFIG_ASIGNATURAS!$G$2:$G$61,"Sí")&gt;0)*1)</f>
      </c>
      <c r="E130" s="14">
        <f>IFERROR(AVERAGE(IF((DATOS!$G$2:$G$20000=CONFIG_METADATA!$B$4)*(DATOS!$D$2:$D$20000=A130)*(COUNTIFS(CONFIG_ASIGNATURAS!$B$2:$B$61,DATOS!$I$2:$I$20000,CONFIG_ASIGNATURAS!$D$2:$D$61,"&lt;&gt;Especialidad",CONFIG_ASIGNATURAS!$G$2:$G$61,"Sí")&gt;0),DATOS!$K$2:$K$20000)),"—")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F130" s="14">
        <f>IFERROR(_xlfn.STDEV.P(IF((DATOS!$G$2:$G$20000=CONFIG_METADATA!$B$4)*(DATOS!$D$2:$D$20000=A130)*(COUNTIFS(CONFIG_ASIGNATURAS!$B$2:$B$61,DATOS!$I$2:$I$20000,CONFIG_ASIGNATURAS!$D$2:$D$61,"&lt;&gt;Especialidad",CONFIG_ASIGNATURAS!$G$2:$G$61,"Sí")&gt;0),DATOS!$K$2:$K$20000)),"—")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G130">
        <f>IFERROR(_xlfn.MODE.SNGL(IF((DATOS!$G$2:$G$20000=CONFIG_METADATA!$B$4)*(DATOS!$D$2:$D$20000=A130)*(COUNTIFS(CONFIG_ASIGNATURAS!$B$2:$B$61,DATOS!$I$2:$I$20000,CONFIG_ASIGNATURAS!$D$2:$D$61,"&lt;&gt;Especialidad",CONFIG_ASIGNATURAS!$G$2:$G$61,"Sí")&gt;0),DATOS!$K$2:$K$20000)),"—")</f>
      </c>
      <c r="H130" s="15">
        <f>IFERROR(SUMPRODUCT((DATOS!$G$2:$G$20000=CONFIG_METADATA!$B$4)*(DATOS!$D$2:$D$20000=A130)*(COUNTIFS(CONFIG_ASIGNATURAS!$B$2:$B$61,DATOS!$I$2:$I$20000,CONFIG_ASIGNATURAS!$D$2:$D$61,"&lt;&gt;Especialidad",CONFIG_ASIGNATURAS!$G$2:$G$61,"Sí")&gt;0)*(DATOS!$L$2:$L$20000="S"))/SUMPRODUCT((DATOS!$G$2:$G$20000=CONFIG_METADATA!$B$4)*(DATOS!$D$2:$D$20000=A130)*(COUNTIFS(CONFIG_ASIGNATURAS!$B$2:$B$61,DATOS!$I$2:$I$20000,CONFIG_ASIGNATURAS!$D$2:$D$61,"&lt;&gt;Especialidad",CONFIG_ASIGNATURAS!$G$2:$G$61,"Sí")&gt;0)*1),"—")</f>
      </c>
      <c r="I130" s="15">
        <f>IFERROR(SUMPRODUCT((DATOS!$G$2:$G$20000=CONFIG_METADATA!$B$4)*(DATOS!$D$2:$D$20000=A130)*(COUNTIFS(CONFIG_ASIGNATURAS!$B$2:$B$61,DATOS!$I$2:$I$20000,CONFIG_ASIGNATURAS!$D$2:$D$61,"&lt;&gt;Especialidad",CONFIG_ASIGNATURAS!$G$2:$G$61,"Sí")&gt;0)*(DATOS!$L$2:$L$20000="N"))/SUMPRODUCT((DATOS!$G$2:$G$20000=CONFIG_METADATA!$B$4)*(DATOS!$D$2:$D$20000=A130)*(COUNTIFS(CONFIG_ASIGNATURAS!$B$2:$B$61,DATOS!$I$2:$I$20000,CONFIG_ASIGNATURAS!$D$2:$D$61,"&lt;&gt;Especialidad",CONFIG_ASIGNATURAS!$G$2:$G$61,"Sí")&gt;0)*1),"—")</f>
      </c>
      <c r="J130">
        <f>IFERROR(_xlfn.MODE.SNGL(IF((DATOS!$G$2:$G$20000=CONFIG_METADATA!$B$4)*(DATOS!$D$2:$D$20000=A130)*(COUNTIFS(CONFIG_ASIGNATURAS!$B$2:$B$61,DATOS!$I$2:$I$20000,CONFIG_ASIGNATURAS!$D$2:$D$61,"&lt;&gt;Especialidad",CONFIG_ASIGNATURAS!$G$2:$G$61,"Sí")&gt;0)*(DATOS!$L$2:$L$20000="S"),DATOS!$K$2:$K$20000)),"—")</f>
      </c>
      <c r="K130">
        <f>IFERROR(_xlfn.MODE.SNGL(IF((DATOS!$G$2:$G$20000=CONFIG_METADATA!$B$4)*(DATOS!$D$2:$D$20000=A130)*(COUNTIFS(CONFIG_ASIGNATURAS!$B$2:$B$61,DATOS!$I$2:$I$20000,CONFIG_ASIGNATURAS!$D$2:$D$61,"&lt;&gt;Especialidad",CONFIG_ASIGNATURAS!$G$2:$G$61,"Sí")&gt;0)*(DATOS!$L$2:$L$20000="N"),DATOS!$K$2:$K$20000)),"—")</f>
      </c>
      <c r="L130">
        <f>SUMPRODUCT((DATOS!$G$2:$G$20000=CONFIG_METADATA!$B$4)*(DATOS!$D$2:$D$20000=A130)*(COUNTIFS(CONFIG_ASIGNATURAS!$B$2:$B$61,DATOS!$I$2:$I$20000,CONFIG_ASIGNATURAS!$D$2:$D$61,"&lt;&gt;Especialidad",CONFIG_ASIGNATURAS!$G$2:$G$61,"Sí")&gt;0)*(DATOS!$K$2:$K$20000=1))</f>
      </c>
      <c r="M130">
        <f>SUMPRODUCT((DATOS!$G$2:$G$20000=CONFIG_METADATA!$B$4)*(DATOS!$D$2:$D$20000=A130)*(COUNTIFS(CONFIG_ASIGNATURAS!$B$2:$B$61,DATOS!$I$2:$I$20000,CONFIG_ASIGNATURAS!$D$2:$D$61,"&lt;&gt;Especialidad",CONFIG_ASIGNATURAS!$G$2:$G$61,"Sí")&gt;0)*(DATOS!$K$2:$K$20000=2))</f>
      </c>
      <c r="N130">
        <f>SUMPRODUCT((DATOS!$G$2:$G$20000=CONFIG_METADATA!$B$4)*(DATOS!$D$2:$D$20000=A130)*(COUNTIFS(CONFIG_ASIGNATURAS!$B$2:$B$61,DATOS!$I$2:$I$20000,CONFIG_ASIGNATURAS!$D$2:$D$61,"&lt;&gt;Especialidad",CONFIG_ASIGNATURAS!$G$2:$G$61,"Sí")&gt;0)*(DATOS!$K$2:$K$20000=3))</f>
      </c>
      <c r="O130">
        <f>SUMPRODUCT((DATOS!$G$2:$G$20000=CONFIG_METADATA!$B$4)*(DATOS!$D$2:$D$20000=A130)*(COUNTIFS(CONFIG_ASIGNATURAS!$B$2:$B$61,DATOS!$I$2:$I$20000,CONFIG_ASIGNATURAS!$D$2:$D$61,"&lt;&gt;Especialidad",CONFIG_ASIGNATURAS!$G$2:$G$61,"Sí")&gt;0)*(DATOS!$K$2:$K$20000=4))</f>
      </c>
      <c r="P130">
        <f>SUMPRODUCT((DATOS!$G$2:$G$20000=CONFIG_METADATA!$B$4)*(DATOS!$D$2:$D$20000=A130)*(COUNTIFS(CONFIG_ASIGNATURAS!$B$2:$B$61,DATOS!$I$2:$I$20000,CONFIG_ASIGNATURAS!$D$2:$D$61,"&lt;&gt;Especialidad",CONFIG_ASIGNATURAS!$G$2:$G$61,"Sí")&gt;0)*(DATOS!$K$2:$K$20000=5))</f>
      </c>
      <c r="Q130">
        <f>SUMPRODUCT((DATOS!$G$2:$G$20000=CONFIG_METADATA!$B$4)*(DATOS!$D$2:$D$20000=A130)*(COUNTIFS(CONFIG_ASIGNATURAS!$B$2:$B$61,DATOS!$I$2:$I$20000,CONFIG_ASIGNATURAS!$D$2:$D$61,"&lt;&gt;Especialidad",CONFIG_ASIGNATURAS!$G$2:$G$61,"Sí")&gt;0)*(DATOS!$K$2:$K$20000=6))</f>
      </c>
      <c r="R130">
        <f>SUMPRODUCT((DATOS!$G$2:$G$20000=CONFIG_METADATA!$B$4)*(DATOS!$D$2:$D$20000=A130)*(COUNTIFS(CONFIG_ASIGNATURAS!$B$2:$B$61,DATOS!$I$2:$I$20000,CONFIG_ASIGNATURAS!$D$2:$D$61,"&lt;&gt;Especialidad",CONFIG_ASIGNATURAS!$G$2:$G$61,"Sí")&gt;0)*(DATOS!$K$2:$K$20000=7))</f>
      </c>
      <c r="S130">
        <f>SUMPRODUCT((DATOS!$G$2:$G$20000=CONFIG_METADATA!$B$4)*(DATOS!$D$2:$D$20000=A130)*(COUNTIFS(CONFIG_ASIGNATURAS!$B$2:$B$61,DATOS!$I$2:$I$20000,CONFIG_ASIGNATURAS!$D$2:$D$61,"&lt;&gt;Especialidad",CONFIG_ASIGNATURAS!$G$2:$G$61,"Sí")&gt;0)*(DATOS!$K$2:$K$20000=8))</f>
      </c>
      <c r="T130">
        <f>SUMPRODUCT((DATOS!$G$2:$G$20000=CONFIG_METADATA!$B$4)*(DATOS!$D$2:$D$20000=A130)*(COUNTIFS(CONFIG_ASIGNATURAS!$B$2:$B$61,DATOS!$I$2:$I$20000,CONFIG_ASIGNATURAS!$D$2:$D$61,"&lt;&gt;Especialidad",CONFIG_ASIGNATURAS!$G$2:$G$61,"Sí")&gt;0)*(DATOS!$K$2:$K$20000=9))</f>
      </c>
      <c r="U130">
        <f>SUMPRODUCT((DATOS!$G$2:$G$20000=CONFIG_METADATA!$B$4)*(DATOS!$D$2:$D$20000=A130)*(COUNTIFS(CONFIG_ASIGNATURAS!$B$2:$B$61,DATOS!$I$2:$I$20000,CONFIG_ASIGNATURAS!$D$2:$D$61,"&lt;&gt;Especialidad",CONFIG_ASIGNATURAS!$G$2:$G$61,"Sí")&gt;0)*(DATOS!$K$2:$K$20000=10))</f>
      </c>
    </row>
    <row r="131" spans="1:22">
      <c r="A131" s="3" t="inlineStr">
        <is>
          <t xml:space="preserve">2EEM</t>
        </is>
      </c>
      <c r="B131" s="3" cm="1">
        <f t="array" ref="B131">IFERROR(INDEX(_xlfn._xlws.FILTER(CONFIG_ASIGNATURAS!$B$2:$B$61,(CONFIG_ASIGNATURAS!$G$2:$G$61="Sí")*ISNUMBER(SEARCH("2EEM",CONFIG_ASIGNATURAS!$C$2:$C$61))),1),"")</f>
      </c>
      <c r="C131" s="3">
        <f>IF(B131="","",IFERROR(IF(VLOOKUP(B131,CONFIG_ASIGNATURAS!$B$2:$F$61,5,FALSE())="Sí","Especialidad","Asignatura"),"Asignatura"))</f>
      </c>
      <c r="D131">
        <f>IF(V131="Sí",COUNTIFS(DATOS!G:G,CONFIG_METADATA!$B$4,DATOS!D:D,A131,DATOS!I:I,B131),"")</f>
        <v>0</v>
      </c>
      <c r="E131" s="14" t="str">
        <f>IF(V131="Sí",IFERROR(AVERAGEIFS(DATOS!K:K,DATOS!G:G,CONFIG_METADATA!$B$4,DATOS!D:D,A131,DATOS!I:I,B131),"—"),"")</f>
        <v>—</v>
      </c>
      <c r="F131" s="14" t="str" cm="1">
        <f t="array" ref="F131">IF(V131="Sí",IFERROR(_xlfn.STDEV.P(IF((DATOS!$G$2:$G$20000=CONFIG_METADATA!$B$4)*(DATOS!$D$2:$D$20000=A131)*(DATOS!$I$2:$I$20000=B131),DATOS!$K$2:$K$20000)),"—"),"")</f>
        <v>—</v>
      </c>
      <c r="G131" t="str" cm="1">
        <f t="array" ref="G131">IF(V131="Sí",IFERROR(_xlfn.MODE.SNGL(IF((DATOS!$G$2:$G$20000=CONFIG_METADATA!$B$4)*(DATOS!$D$2:$D$20000=A131)*(DATOS!$I$2:$I$20000=B131),DATOS!$K$2:$K$20000)),"—"),"")</f>
        <v>—</v>
      </c>
      <c r="H131" s="15" t="str">
        <f>IF(V131="Sí",IFERROR(COUNTIFS(DATOS!G:G,CONFIG_METADATA!$B$4,DATOS!D:D,A131,DATOS!I:I,B131,DATOS!L:L,"S")/COUNTIFS(DATOS!G:G,CONFIG_METADATA!$B$4,DATOS!D:D,A131,DATOS!I:I,B131),"—"),"")</f>
        <v>—</v>
      </c>
      <c r="I131" s="15" t="str">
        <f>IF(V131="Sí",IFERROR(COUNTIFS(DATOS!G:G,CONFIG_METADATA!$B$4,DATOS!D:D,A131,DATOS!I:I,B131,DATOS!L:L,"N")/COUNTIFS(DATOS!G:G,CONFIG_METADATA!$B$4,DATOS!D:D,A131,DATOS!I:I,B131),"—"),"")</f>
        <v>—</v>
      </c>
      <c r="J131" t="str" cm="1">
        <f t="array" ref="J131">IF(V131="Sí",IFERROR(_xlfn.MODE.SNGL(IF((DATOS!$G$2:$G$20000=CONFIG_METADATA!$B$4)*(DATOS!$D$2:$D$20000=A131)*(DATOS!$I$2:$I$20000=B131)*(DATOS!$L$2:$L$20000="S"),DATOS!$K$2:$K$20000)),"—"),"")</f>
        <v>—</v>
      </c>
      <c r="K131" t="str" cm="1">
        <f t="array" ref="K131">IF(V131="Sí",IFERROR(_xlfn.MODE.SNGL(IF((DATOS!$G$2:$G$20000=CONFIG_METADATA!$B$4)*(DATOS!$D$2:$D$20000=A131)*(DATOS!$I$2:$I$20000=B131)*(DATOS!$L$2:$L$20000="N"),DATOS!$K$2:$K$20000)),"—"),"")</f>
        <v>—</v>
      </c>
      <c r="L131">
        <f>IF(V131="Sí",COUNTIFS(DATOS!G:G,CONFIG_METADATA!$B$4,DATOS!D:D,A131,DATOS!I:I,B131,DATOS!K:K,1),"")</f>
        <v>0</v>
      </c>
      <c r="M131">
        <f>IF(V131="Sí",COUNTIFS(DATOS!G:G,CONFIG_METADATA!$B$4,DATOS!D:D,A131,DATOS!I:I,B131,DATOS!K:K,2),"")</f>
        <v>0</v>
      </c>
      <c r="N131">
        <f>IF(V131="Sí",COUNTIFS(DATOS!G:G,CONFIG_METADATA!$B$4,DATOS!D:D,A131,DATOS!I:I,B131,DATOS!K:K,3),"")</f>
        <v>0</v>
      </c>
      <c r="O131">
        <f>IF(V131="Sí",COUNTIFS(DATOS!G:G,CONFIG_METADATA!$B$4,DATOS!D:D,A131,DATOS!I:I,B131,DATOS!K:K,4),"")</f>
        <v>0</v>
      </c>
      <c r="P131">
        <f>IF(V131="Sí",COUNTIFS(DATOS!G:G,CONFIG_METADATA!$B$4,DATOS!D:D,A131,DATOS!I:I,B131,DATOS!K:K,5),"")</f>
        <v>0</v>
      </c>
      <c r="Q131">
        <f>IF(V131="Sí",COUNTIFS(DATOS!G:G,CONFIG_METADATA!$B$4,DATOS!D:D,A131,DATOS!I:I,B131,DATOS!K:K,6),"")</f>
        <v>0</v>
      </c>
      <c r="R131">
        <f>IF(V131="Sí",COUNTIFS(DATOS!G:G,CONFIG_METADATA!$B$4,DATOS!D:D,A131,DATOS!I:I,B131,DATOS!K:K,7),"")</f>
        <v>0</v>
      </c>
      <c r="S131">
        <f>IF(V131="Sí",COUNTIFS(DATOS!G:G,CONFIG_METADATA!$B$4,DATOS!D:D,A131,DATOS!I:I,B131,DATOS!K:K,8),"")</f>
        <v>0</v>
      </c>
      <c r="T131">
        <f>IF(V131="Sí",COUNTIFS(DATOS!G:G,CONFIG_METADATA!$B$4,DATOS!D:D,A131,DATOS!I:I,B131,DATOS!K:K,9),"")</f>
        <v>0</v>
      </c>
      <c r="U131">
        <f>IF(V131="Sí",COUNTIFS(DATOS!G:G,CONFIG_METADATA!$B$4,DATOS!D:D,A131,DATOS!I:I,B131,DATOS!K:K,10),"")</f>
        <v>0</v>
      </c>
      <c r="V131" t="str">
        <f>IFERROR(IF(ISERROR(FIND(A131,VLOOKUP(B131,CONFIG_ASIGNATURAS!B:C,2,FALSE()))),"No","Sí"),"No")</f>
        <v>Sí</v>
      </c>
    </row>
    <row r="132" spans="1:22">
      <c r="A132" s="3" t="inlineStr">
        <is>
          <t xml:space="preserve">2EEM</t>
        </is>
      </c>
      <c r="B132" s="3" cm="1">
        <f t="array" ref="B132">IFERROR(INDEX(_xlfn._xlws.FILTER(CONFIG_ASIGNATURAS!$B$2:$B$61,(CONFIG_ASIGNATURAS!$G$2:$G$61="Sí")*ISNUMBER(SEARCH("2EEM",CONFIG_ASIGNATURAS!$C$2:$C$61))),2),"")</f>
      </c>
      <c r="C132" s="3">
        <f>IF(B132="","",IFERROR(IF(VLOOKUP(B132,CONFIG_ASIGNATURAS!$B$2:$F$61,5,FALSE())="Sí","Especialidad","Asignatura"),"Asignatura"))</f>
      </c>
      <c r="D132">
        <f>IF(V132="Sí",COUNTIFS(DATOS!G:G,CONFIG_METADATA!$B$4,DATOS!D:D,A132,DATOS!I:I,B132),"")</f>
        <v>0</v>
      </c>
      <c r="E132" s="14" t="str">
        <f>IF(V132="Sí",IFERROR(AVERAGEIFS(DATOS!K:K,DATOS!G:G,CONFIG_METADATA!$B$4,DATOS!D:D,A132,DATOS!I:I,B132),"—"),"")</f>
        <v>—</v>
      </c>
      <c r="F132" s="14" t="str" cm="1">
        <f t="array" ref="F132">IF(V132="Sí",IFERROR(_xlfn.STDEV.P(IF((DATOS!$G$2:$G$20000=CONFIG_METADATA!$B$4)*(DATOS!$D$2:$D$20000=A132)*(DATOS!$I$2:$I$20000=B132),DATOS!$K$2:$K$20000)),"—"),"")</f>
        <v>—</v>
      </c>
      <c r="G132" t="str" cm="1">
        <f t="array" ref="G132">IF(V132="Sí",IFERROR(_xlfn.MODE.SNGL(IF((DATOS!$G$2:$G$20000=CONFIG_METADATA!$B$4)*(DATOS!$D$2:$D$20000=A132)*(DATOS!$I$2:$I$20000=B132),DATOS!$K$2:$K$20000)),"—"),"")</f>
        <v>—</v>
      </c>
      <c r="H132" s="15" t="str">
        <f>IF(V132="Sí",IFERROR(COUNTIFS(DATOS!G:G,CONFIG_METADATA!$B$4,DATOS!D:D,A132,DATOS!I:I,B132,DATOS!L:L,"S")/COUNTIFS(DATOS!G:G,CONFIG_METADATA!$B$4,DATOS!D:D,A132,DATOS!I:I,B132),"—"),"")</f>
        <v>—</v>
      </c>
      <c r="I132" s="15" t="str">
        <f>IF(V132="Sí",IFERROR(COUNTIFS(DATOS!G:G,CONFIG_METADATA!$B$4,DATOS!D:D,A132,DATOS!I:I,B132,DATOS!L:L,"N")/COUNTIFS(DATOS!G:G,CONFIG_METADATA!$B$4,DATOS!D:D,A132,DATOS!I:I,B132),"—"),"")</f>
        <v>—</v>
      </c>
      <c r="J132" t="str" cm="1">
        <f t="array" ref="J132">IF(V132="Sí",IFERROR(_xlfn.MODE.SNGL(IF((DATOS!$G$2:$G$20000=CONFIG_METADATA!$B$4)*(DATOS!$D$2:$D$20000=A132)*(DATOS!$I$2:$I$20000=B132)*(DATOS!$L$2:$L$20000="S"),DATOS!$K$2:$K$20000)),"—"),"")</f>
        <v>—</v>
      </c>
      <c r="K132" t="str" cm="1">
        <f t="array" ref="K132">IF(V132="Sí",IFERROR(_xlfn.MODE.SNGL(IF((DATOS!$G$2:$G$20000=CONFIG_METADATA!$B$4)*(DATOS!$D$2:$D$20000=A132)*(DATOS!$I$2:$I$20000=B132)*(DATOS!$L$2:$L$20000="N"),DATOS!$K$2:$K$20000)),"—"),"")</f>
        <v>—</v>
      </c>
      <c r="L132">
        <f>IF(V132="Sí",COUNTIFS(DATOS!G:G,CONFIG_METADATA!$B$4,DATOS!D:D,A132,DATOS!I:I,B132,DATOS!K:K,1),"")</f>
        <v>0</v>
      </c>
      <c r="M132">
        <f>IF(V132="Sí",COUNTIFS(DATOS!G:G,CONFIG_METADATA!$B$4,DATOS!D:D,A132,DATOS!I:I,B132,DATOS!K:K,2),"")</f>
        <v>0</v>
      </c>
      <c r="N132">
        <f>IF(V132="Sí",COUNTIFS(DATOS!G:G,CONFIG_METADATA!$B$4,DATOS!D:D,A132,DATOS!I:I,B132,DATOS!K:K,3),"")</f>
        <v>0</v>
      </c>
      <c r="O132">
        <f>IF(V132="Sí",COUNTIFS(DATOS!G:G,CONFIG_METADATA!$B$4,DATOS!D:D,A132,DATOS!I:I,B132,DATOS!K:K,4),"")</f>
        <v>0</v>
      </c>
      <c r="P132">
        <f>IF(V132="Sí",COUNTIFS(DATOS!G:G,CONFIG_METADATA!$B$4,DATOS!D:D,A132,DATOS!I:I,B132,DATOS!K:K,5),"")</f>
        <v>0</v>
      </c>
      <c r="Q132">
        <f>IF(V132="Sí",COUNTIFS(DATOS!G:G,CONFIG_METADATA!$B$4,DATOS!D:D,A132,DATOS!I:I,B132,DATOS!K:K,6),"")</f>
        <v>0</v>
      </c>
      <c r="R132">
        <f>IF(V132="Sí",COUNTIFS(DATOS!G:G,CONFIG_METADATA!$B$4,DATOS!D:D,A132,DATOS!I:I,B132,DATOS!K:K,7),"")</f>
        <v>0</v>
      </c>
      <c r="S132">
        <f>IF(V132="Sí",COUNTIFS(DATOS!G:G,CONFIG_METADATA!$B$4,DATOS!D:D,A132,DATOS!I:I,B132,DATOS!K:K,8),"")</f>
        <v>0</v>
      </c>
      <c r="T132">
        <f>IF(V132="Sí",COUNTIFS(DATOS!G:G,CONFIG_METADATA!$B$4,DATOS!D:D,A132,DATOS!I:I,B132,DATOS!K:K,9),"")</f>
        <v>0</v>
      </c>
      <c r="U132">
        <f>IF(V132="Sí",COUNTIFS(DATOS!G:G,CONFIG_METADATA!$B$4,DATOS!D:D,A132,DATOS!I:I,B132,DATOS!K:K,10),"")</f>
        <v>0</v>
      </c>
      <c r="V132" t="str">
        <f>IFERROR(IF(ISERROR(FIND(A132,VLOOKUP(B132,CONFIG_ASIGNATURAS!B:C,2,FALSE()))),"No","Sí"),"No")</f>
        <v>Sí</v>
      </c>
    </row>
    <row r="133" spans="1:22">
      <c r="A133" s="3" t="inlineStr">
        <is>
          <t xml:space="preserve">2EEM</t>
        </is>
      </c>
      <c r="B133" s="3" cm="1">
        <f t="array" ref="B133">IFERROR(INDEX(_xlfn._xlws.FILTER(CONFIG_ASIGNATURAS!$B$2:$B$61,(CONFIG_ASIGNATURAS!$G$2:$G$61="Sí")*ISNUMBER(SEARCH("2EEM",CONFIG_ASIGNATURAS!$C$2:$C$61))),3),"")</f>
      </c>
      <c r="C133" s="3">
        <f>IF(B133="","",IFERROR(IF(VLOOKUP(B133,CONFIG_ASIGNATURAS!$B$2:$F$61,5,FALSE())="Sí","Especialidad","Asignatura"),"Asignatura"))</f>
      </c>
      <c r="D133">
        <f>IF(V133="Sí",COUNTIFS(DATOS!G:G,CONFIG_METADATA!$B$4,DATOS!D:D,A133,DATOS!I:I,B133),"")</f>
        <v>0</v>
      </c>
      <c r="E133" s="14" t="str">
        <f>IF(V133="Sí",IFERROR(AVERAGEIFS(DATOS!K:K,DATOS!G:G,CONFIG_METADATA!$B$4,DATOS!D:D,A133,DATOS!I:I,B133),"—"),"")</f>
        <v>—</v>
      </c>
      <c r="F133" s="14" t="str" cm="1">
        <f t="array" ref="F133">IF(V133="Sí",IFERROR(_xlfn.STDEV.P(IF((DATOS!$G$2:$G$20000=CONFIG_METADATA!$B$4)*(DATOS!$D$2:$D$20000=A133)*(DATOS!$I$2:$I$20000=B133),DATOS!$K$2:$K$20000)),"—"),"")</f>
        <v>—</v>
      </c>
      <c r="G133" t="str" cm="1">
        <f t="array" ref="G133">IF(V133="Sí",IFERROR(_xlfn.MODE.SNGL(IF((DATOS!$G$2:$G$20000=CONFIG_METADATA!$B$4)*(DATOS!$D$2:$D$20000=A133)*(DATOS!$I$2:$I$20000=B133),DATOS!$K$2:$K$20000)),"—"),"")</f>
        <v>—</v>
      </c>
      <c r="H133" s="15" t="str">
        <f>IF(V133="Sí",IFERROR(COUNTIFS(DATOS!G:G,CONFIG_METADATA!$B$4,DATOS!D:D,A133,DATOS!I:I,B133,DATOS!L:L,"S")/COUNTIFS(DATOS!G:G,CONFIG_METADATA!$B$4,DATOS!D:D,A133,DATOS!I:I,B133),"—"),"")</f>
        <v>—</v>
      </c>
      <c r="I133" s="15" t="str">
        <f>IF(V133="Sí",IFERROR(COUNTIFS(DATOS!G:G,CONFIG_METADATA!$B$4,DATOS!D:D,A133,DATOS!I:I,B133,DATOS!L:L,"N")/COUNTIFS(DATOS!G:G,CONFIG_METADATA!$B$4,DATOS!D:D,A133,DATOS!I:I,B133),"—"),"")</f>
        <v>—</v>
      </c>
      <c r="J133" t="str" cm="1">
        <f t="array" ref="J133">IF(V133="Sí",IFERROR(_xlfn.MODE.SNGL(IF((DATOS!$G$2:$G$20000=CONFIG_METADATA!$B$4)*(DATOS!$D$2:$D$20000=A133)*(DATOS!$I$2:$I$20000=B133)*(DATOS!$L$2:$L$20000="S"),DATOS!$K$2:$K$20000)),"—"),"")</f>
        <v>—</v>
      </c>
      <c r="K133" t="str" cm="1">
        <f t="array" ref="K133">IF(V133="Sí",IFERROR(_xlfn.MODE.SNGL(IF((DATOS!$G$2:$G$20000=CONFIG_METADATA!$B$4)*(DATOS!$D$2:$D$20000=A133)*(DATOS!$I$2:$I$20000=B133)*(DATOS!$L$2:$L$20000="N"),DATOS!$K$2:$K$20000)),"—"),"")</f>
        <v>—</v>
      </c>
      <c r="L133">
        <f>IF(V133="Sí",COUNTIFS(DATOS!G:G,CONFIG_METADATA!$B$4,DATOS!D:D,A133,DATOS!I:I,B133,DATOS!K:K,1),"")</f>
        <v>0</v>
      </c>
      <c r="M133">
        <f>IF(V133="Sí",COUNTIFS(DATOS!G:G,CONFIG_METADATA!$B$4,DATOS!D:D,A133,DATOS!I:I,B133,DATOS!K:K,2),"")</f>
        <v>0</v>
      </c>
      <c r="N133">
        <f>IF(V133="Sí",COUNTIFS(DATOS!G:G,CONFIG_METADATA!$B$4,DATOS!D:D,A133,DATOS!I:I,B133,DATOS!K:K,3),"")</f>
        <v>0</v>
      </c>
      <c r="O133">
        <f>IF(V133="Sí",COUNTIFS(DATOS!G:G,CONFIG_METADATA!$B$4,DATOS!D:D,A133,DATOS!I:I,B133,DATOS!K:K,4),"")</f>
        <v>0</v>
      </c>
      <c r="P133">
        <f>IF(V133="Sí",COUNTIFS(DATOS!G:G,CONFIG_METADATA!$B$4,DATOS!D:D,A133,DATOS!I:I,B133,DATOS!K:K,5),"")</f>
        <v>0</v>
      </c>
      <c r="Q133">
        <f>IF(V133="Sí",COUNTIFS(DATOS!G:G,CONFIG_METADATA!$B$4,DATOS!D:D,A133,DATOS!I:I,B133,DATOS!K:K,6),"")</f>
        <v>0</v>
      </c>
      <c r="R133">
        <f>IF(V133="Sí",COUNTIFS(DATOS!G:G,CONFIG_METADATA!$B$4,DATOS!D:D,A133,DATOS!I:I,B133,DATOS!K:K,7),"")</f>
        <v>0</v>
      </c>
      <c r="S133">
        <f>IF(V133="Sí",COUNTIFS(DATOS!G:G,CONFIG_METADATA!$B$4,DATOS!D:D,A133,DATOS!I:I,B133,DATOS!K:K,8),"")</f>
        <v>0</v>
      </c>
      <c r="T133">
        <f>IF(V133="Sí",COUNTIFS(DATOS!G:G,CONFIG_METADATA!$B$4,DATOS!D:D,A133,DATOS!I:I,B133,DATOS!K:K,9),"")</f>
        <v>0</v>
      </c>
      <c r="U133">
        <f>IF(V133="Sí",COUNTIFS(DATOS!G:G,CONFIG_METADATA!$B$4,DATOS!D:D,A133,DATOS!I:I,B133,DATOS!K:K,10),"")</f>
        <v>0</v>
      </c>
      <c r="V133" t="str">
        <f>IFERROR(IF(ISERROR(FIND(A133,VLOOKUP(B133,CONFIG_ASIGNATURAS!B:C,2,FALSE()))),"No","Sí"),"No")</f>
        <v>Sí</v>
      </c>
    </row>
    <row r="134" spans="1:22">
      <c r="A134" s="3" t="inlineStr">
        <is>
          <t xml:space="preserve">2EEM</t>
        </is>
      </c>
      <c r="B134" s="3" cm="1">
        <f t="array" ref="B134">IFERROR(INDEX(_xlfn._xlws.FILTER(CONFIG_ASIGNATURAS!$B$2:$B$61,(CONFIG_ASIGNATURAS!$G$2:$G$61="Sí")*ISNUMBER(SEARCH("2EEM",CONFIG_ASIGNATURAS!$C$2:$C$61))),4),"")</f>
      </c>
      <c r="C134" s="3">
        <f>IF(B134="","",IFERROR(IF(VLOOKUP(B134,CONFIG_ASIGNATURAS!$B$2:$F$61,5,FALSE())="Sí","Especialidad","Asignatura"),"Asignatura"))</f>
      </c>
      <c r="D134">
        <f>IF(V134="Sí",COUNTIFS(DATOS!G:G,CONFIG_METADATA!$B$4,DATOS!D:D,A134,DATOS!I:I,B134),"")</f>
        <v>0</v>
      </c>
      <c r="E134" s="14" t="str">
        <f>IF(V134="Sí",IFERROR(AVERAGEIFS(DATOS!K:K,DATOS!G:G,CONFIG_METADATA!$B$4,DATOS!D:D,A134,DATOS!I:I,B134),"—"),"")</f>
        <v>—</v>
      </c>
      <c r="F134" s="14" t="str" cm="1">
        <f t="array" ref="F134">IF(V134="Sí",IFERROR(_xlfn.STDEV.P(IF((DATOS!$G$2:$G$20000=CONFIG_METADATA!$B$4)*(DATOS!$D$2:$D$20000=A134)*(DATOS!$I$2:$I$20000=B134),DATOS!$K$2:$K$20000)),"—"),"")</f>
        <v>—</v>
      </c>
      <c r="G134" t="str" cm="1">
        <f t="array" ref="G134">IF(V134="Sí",IFERROR(_xlfn.MODE.SNGL(IF((DATOS!$G$2:$G$20000=CONFIG_METADATA!$B$4)*(DATOS!$D$2:$D$20000=A134)*(DATOS!$I$2:$I$20000=B134),DATOS!$K$2:$K$20000)),"—"),"")</f>
        <v>—</v>
      </c>
      <c r="H134" s="15" t="str">
        <f>IF(V134="Sí",IFERROR(COUNTIFS(DATOS!G:G,CONFIG_METADATA!$B$4,DATOS!D:D,A134,DATOS!I:I,B134,DATOS!L:L,"S")/COUNTIFS(DATOS!G:G,CONFIG_METADATA!$B$4,DATOS!D:D,A134,DATOS!I:I,B134),"—"),"")</f>
        <v>—</v>
      </c>
      <c r="I134" s="15" t="str">
        <f>IF(V134="Sí",IFERROR(COUNTIFS(DATOS!G:G,CONFIG_METADATA!$B$4,DATOS!D:D,A134,DATOS!I:I,B134,DATOS!L:L,"N")/COUNTIFS(DATOS!G:G,CONFIG_METADATA!$B$4,DATOS!D:D,A134,DATOS!I:I,B134),"—"),"")</f>
        <v>—</v>
      </c>
      <c r="J134" t="str" cm="1">
        <f t="array" ref="J134">IF(V134="Sí",IFERROR(_xlfn.MODE.SNGL(IF((DATOS!$G$2:$G$20000=CONFIG_METADATA!$B$4)*(DATOS!$D$2:$D$20000=A134)*(DATOS!$I$2:$I$20000=B134)*(DATOS!$L$2:$L$20000="S"),DATOS!$K$2:$K$20000)),"—"),"")</f>
        <v>—</v>
      </c>
      <c r="K134" t="str" cm="1">
        <f t="array" ref="K134">IF(V134="Sí",IFERROR(_xlfn.MODE.SNGL(IF((DATOS!$G$2:$G$20000=CONFIG_METADATA!$B$4)*(DATOS!$D$2:$D$20000=A134)*(DATOS!$I$2:$I$20000=B134)*(DATOS!$L$2:$L$20000="N"),DATOS!$K$2:$K$20000)),"—"),"")</f>
        <v>—</v>
      </c>
      <c r="L134">
        <f>IF(V134="Sí",COUNTIFS(DATOS!G:G,CONFIG_METADATA!$B$4,DATOS!D:D,A134,DATOS!I:I,B134,DATOS!K:K,1),"")</f>
        <v>0</v>
      </c>
      <c r="M134">
        <f>IF(V134="Sí",COUNTIFS(DATOS!G:G,CONFIG_METADATA!$B$4,DATOS!D:D,A134,DATOS!I:I,B134,DATOS!K:K,2),"")</f>
        <v>0</v>
      </c>
      <c r="N134">
        <f>IF(V134="Sí",COUNTIFS(DATOS!G:G,CONFIG_METADATA!$B$4,DATOS!D:D,A134,DATOS!I:I,B134,DATOS!K:K,3),"")</f>
        <v>0</v>
      </c>
      <c r="O134">
        <f>IF(V134="Sí",COUNTIFS(DATOS!G:G,CONFIG_METADATA!$B$4,DATOS!D:D,A134,DATOS!I:I,B134,DATOS!K:K,4),"")</f>
        <v>0</v>
      </c>
      <c r="P134">
        <f>IF(V134="Sí",COUNTIFS(DATOS!G:G,CONFIG_METADATA!$B$4,DATOS!D:D,A134,DATOS!I:I,B134,DATOS!K:K,5),"")</f>
        <v>0</v>
      </c>
      <c r="Q134">
        <f>IF(V134="Sí",COUNTIFS(DATOS!G:G,CONFIG_METADATA!$B$4,DATOS!D:D,A134,DATOS!I:I,B134,DATOS!K:K,6),"")</f>
        <v>0</v>
      </c>
      <c r="R134">
        <f>IF(V134="Sí",COUNTIFS(DATOS!G:G,CONFIG_METADATA!$B$4,DATOS!D:D,A134,DATOS!I:I,B134,DATOS!K:K,7),"")</f>
        <v>0</v>
      </c>
      <c r="S134">
        <f>IF(V134="Sí",COUNTIFS(DATOS!G:G,CONFIG_METADATA!$B$4,DATOS!D:D,A134,DATOS!I:I,B134,DATOS!K:K,8),"")</f>
        <v>0</v>
      </c>
      <c r="T134">
        <f>IF(V134="Sí",COUNTIFS(DATOS!G:G,CONFIG_METADATA!$B$4,DATOS!D:D,A134,DATOS!I:I,B134,DATOS!K:K,9),"")</f>
        <v>0</v>
      </c>
      <c r="U134">
        <f>IF(V134="Sí",COUNTIFS(DATOS!G:G,CONFIG_METADATA!$B$4,DATOS!D:D,A134,DATOS!I:I,B134,DATOS!K:K,10),"")</f>
        <v>0</v>
      </c>
      <c r="V134" t="str">
        <f>IFERROR(IF(ISERROR(FIND(A134,VLOOKUP(B134,CONFIG_ASIGNATURAS!B:C,2,FALSE()))),"No","Sí"),"No")</f>
        <v>Sí</v>
      </c>
    </row>
    <row r="135" spans="1:22">
      <c r="A135" s="3" t="inlineStr">
        <is>
          <t xml:space="preserve">2EEM</t>
        </is>
      </c>
      <c r="B135" s="3" cm="1">
        <f t="array" ref="B135">IFERROR(INDEX(_xlfn._xlws.FILTER(CONFIG_ASIGNATURAS!$B$2:$B$61,(CONFIG_ASIGNATURAS!$G$2:$G$61="Sí")*ISNUMBER(SEARCH("2EEM",CONFIG_ASIGNATURAS!$C$2:$C$61))),5),"")</f>
      </c>
      <c r="C135" s="3">
        <f>IF(B135="","",IFERROR(IF(VLOOKUP(B135,CONFIG_ASIGNATURAS!$B$2:$F$61,5,FALSE())="Sí","Especialidad","Asignatura"),"Asignatura"))</f>
      </c>
      <c r="D135">
        <f>IF(V135="Sí",COUNTIFS(DATOS!G:G,CONFIG_METADATA!$B$4,DATOS!D:D,A135,DATOS!I:I,B135),"")</f>
        <v>0</v>
      </c>
      <c r="E135" s="14" t="str">
        <f>IF(V135="Sí",IFERROR(AVERAGEIFS(DATOS!K:K,DATOS!G:G,CONFIG_METADATA!$B$4,DATOS!D:D,A135,DATOS!I:I,B135),"—"),"")</f>
        <v>—</v>
      </c>
      <c r="F135" s="14" t="str" cm="1">
        <f t="array" ref="F135">IF(V135="Sí",IFERROR(_xlfn.STDEV.P(IF((DATOS!$G$2:$G$20000=CONFIG_METADATA!$B$4)*(DATOS!$D$2:$D$20000=A135)*(DATOS!$I$2:$I$20000=B135),DATOS!$K$2:$K$20000)),"—"),"")</f>
        <v>—</v>
      </c>
      <c r="G135" t="str" cm="1">
        <f t="array" ref="G135">IF(V135="Sí",IFERROR(_xlfn.MODE.SNGL(IF((DATOS!$G$2:$G$20000=CONFIG_METADATA!$B$4)*(DATOS!$D$2:$D$20000=A135)*(DATOS!$I$2:$I$20000=B135),DATOS!$K$2:$K$20000)),"—"),"")</f>
        <v>—</v>
      </c>
      <c r="H135" s="15" t="str">
        <f>IF(V135="Sí",IFERROR(COUNTIFS(DATOS!G:G,CONFIG_METADATA!$B$4,DATOS!D:D,A135,DATOS!I:I,B135,DATOS!L:L,"S")/COUNTIFS(DATOS!G:G,CONFIG_METADATA!$B$4,DATOS!D:D,A135,DATOS!I:I,B135),"—"),"")</f>
        <v>—</v>
      </c>
      <c r="I135" s="15" t="str">
        <f>IF(V135="Sí",IFERROR(COUNTIFS(DATOS!G:G,CONFIG_METADATA!$B$4,DATOS!D:D,A135,DATOS!I:I,B135,DATOS!L:L,"N")/COUNTIFS(DATOS!G:G,CONFIG_METADATA!$B$4,DATOS!D:D,A135,DATOS!I:I,B135),"—"),"")</f>
        <v>—</v>
      </c>
      <c r="J135" t="str" cm="1">
        <f t="array" ref="J135">IF(V135="Sí",IFERROR(_xlfn.MODE.SNGL(IF((DATOS!$G$2:$G$20000=CONFIG_METADATA!$B$4)*(DATOS!$D$2:$D$20000=A135)*(DATOS!$I$2:$I$20000=B135)*(DATOS!$L$2:$L$20000="S"),DATOS!$K$2:$K$20000)),"—"),"")</f>
        <v>—</v>
      </c>
      <c r="K135" t="str" cm="1">
        <f t="array" ref="K135">IF(V135="Sí",IFERROR(_xlfn.MODE.SNGL(IF((DATOS!$G$2:$G$20000=CONFIG_METADATA!$B$4)*(DATOS!$D$2:$D$20000=A135)*(DATOS!$I$2:$I$20000=B135)*(DATOS!$L$2:$L$20000="N"),DATOS!$K$2:$K$20000)),"—"),"")</f>
        <v>—</v>
      </c>
      <c r="L135">
        <f>IF(V135="Sí",COUNTIFS(DATOS!G:G,CONFIG_METADATA!$B$4,DATOS!D:D,A135,DATOS!I:I,B135,DATOS!K:K,1),"")</f>
        <v>0</v>
      </c>
      <c r="M135">
        <f>IF(V135="Sí",COUNTIFS(DATOS!G:G,CONFIG_METADATA!$B$4,DATOS!D:D,A135,DATOS!I:I,B135,DATOS!K:K,2),"")</f>
        <v>0</v>
      </c>
      <c r="N135">
        <f>IF(V135="Sí",COUNTIFS(DATOS!G:G,CONFIG_METADATA!$B$4,DATOS!D:D,A135,DATOS!I:I,B135,DATOS!K:K,3),"")</f>
        <v>0</v>
      </c>
      <c r="O135">
        <f>IF(V135="Sí",COUNTIFS(DATOS!G:G,CONFIG_METADATA!$B$4,DATOS!D:D,A135,DATOS!I:I,B135,DATOS!K:K,4),"")</f>
        <v>0</v>
      </c>
      <c r="P135">
        <f>IF(V135="Sí",COUNTIFS(DATOS!G:G,CONFIG_METADATA!$B$4,DATOS!D:D,A135,DATOS!I:I,B135,DATOS!K:K,5),"")</f>
        <v>0</v>
      </c>
      <c r="Q135">
        <f>IF(V135="Sí",COUNTIFS(DATOS!G:G,CONFIG_METADATA!$B$4,DATOS!D:D,A135,DATOS!I:I,B135,DATOS!K:K,6),"")</f>
        <v>0</v>
      </c>
      <c r="R135">
        <f>IF(V135="Sí",COUNTIFS(DATOS!G:G,CONFIG_METADATA!$B$4,DATOS!D:D,A135,DATOS!I:I,B135,DATOS!K:K,7),"")</f>
        <v>0</v>
      </c>
      <c r="S135">
        <f>IF(V135="Sí",COUNTIFS(DATOS!G:G,CONFIG_METADATA!$B$4,DATOS!D:D,A135,DATOS!I:I,B135,DATOS!K:K,8),"")</f>
        <v>0</v>
      </c>
      <c r="T135">
        <f>IF(V135="Sí",COUNTIFS(DATOS!G:G,CONFIG_METADATA!$B$4,DATOS!D:D,A135,DATOS!I:I,B135,DATOS!K:K,9),"")</f>
        <v>0</v>
      </c>
      <c r="U135">
        <f>IF(V135="Sí",COUNTIFS(DATOS!G:G,CONFIG_METADATA!$B$4,DATOS!D:D,A135,DATOS!I:I,B135,DATOS!K:K,10),"")</f>
        <v>0</v>
      </c>
      <c r="V135" t="str">
        <f>IFERROR(IF(ISERROR(FIND(A135,VLOOKUP(B135,CONFIG_ASIGNATURAS!B:C,2,FALSE()))),"No","Sí"),"No")</f>
        <v>Sí</v>
      </c>
    </row>
    <row r="136" spans="1:22">
      <c r="A136" s="3" t="inlineStr">
        <is>
          <t xml:space="preserve">2EEM</t>
        </is>
      </c>
      <c r="B136" s="3" cm="1">
        <f t="array" ref="B136">IFERROR(INDEX(_xlfn._xlws.FILTER(CONFIG_ASIGNATURAS!$B$2:$B$61,(CONFIG_ASIGNATURAS!$G$2:$G$61="Sí")*ISNUMBER(SEARCH("2EEM",CONFIG_ASIGNATURAS!$C$2:$C$61))),6),"")</f>
      </c>
      <c r="C136" s="3">
        <f>IF(B136="","",IFERROR(IF(VLOOKUP(B136,CONFIG_ASIGNATURAS!$B$2:$F$61,5,FALSE())="Sí","Especialidad","Asignatura"),"Asignatura"))</f>
      </c>
      <c r="D136">
        <f>IF(V136="Sí",COUNTIFS(DATOS!G:G,CONFIG_METADATA!$B$4,DATOS!D:D,A136,DATOS!I:I,B136),"")</f>
        <v>0</v>
      </c>
      <c r="E136" s="14" t="str">
        <f>IF(V136="Sí",IFERROR(AVERAGEIFS(DATOS!K:K,DATOS!G:G,CONFIG_METADATA!$B$4,DATOS!D:D,A136,DATOS!I:I,B136),"—"),"")</f>
        <v>—</v>
      </c>
      <c r="F136" s="14" t="str" cm="1">
        <f t="array" ref="F136">IF(V136="Sí",IFERROR(_xlfn.STDEV.P(IF((DATOS!$G$2:$G$20000=CONFIG_METADATA!$B$4)*(DATOS!$D$2:$D$20000=A136)*(DATOS!$I$2:$I$20000=B136),DATOS!$K$2:$K$20000)),"—"),"")</f>
        <v>—</v>
      </c>
      <c r="G136" t="str" cm="1">
        <f t="array" ref="G136">IF(V136="Sí",IFERROR(_xlfn.MODE.SNGL(IF((DATOS!$G$2:$G$20000=CONFIG_METADATA!$B$4)*(DATOS!$D$2:$D$20000=A136)*(DATOS!$I$2:$I$20000=B136),DATOS!$K$2:$K$20000)),"—"),"")</f>
        <v>—</v>
      </c>
      <c r="H136" s="15" t="str">
        <f>IF(V136="Sí",IFERROR(COUNTIFS(DATOS!G:G,CONFIG_METADATA!$B$4,DATOS!D:D,A136,DATOS!I:I,B136,DATOS!L:L,"S")/COUNTIFS(DATOS!G:G,CONFIG_METADATA!$B$4,DATOS!D:D,A136,DATOS!I:I,B136),"—"),"")</f>
        <v>—</v>
      </c>
      <c r="I136" s="15" t="str">
        <f>IF(V136="Sí",IFERROR(COUNTIFS(DATOS!G:G,CONFIG_METADATA!$B$4,DATOS!D:D,A136,DATOS!I:I,B136,DATOS!L:L,"N")/COUNTIFS(DATOS!G:G,CONFIG_METADATA!$B$4,DATOS!D:D,A136,DATOS!I:I,B136),"—"),"")</f>
        <v>—</v>
      </c>
      <c r="J136" t="str" cm="1">
        <f t="array" ref="J136">IF(V136="Sí",IFERROR(_xlfn.MODE.SNGL(IF((DATOS!$G$2:$G$20000=CONFIG_METADATA!$B$4)*(DATOS!$D$2:$D$20000=A136)*(DATOS!$I$2:$I$20000=B136)*(DATOS!$L$2:$L$20000="S"),DATOS!$K$2:$K$20000)),"—"),"")</f>
        <v>—</v>
      </c>
      <c r="K136" t="str" cm="1">
        <f t="array" ref="K136">IF(V136="Sí",IFERROR(_xlfn.MODE.SNGL(IF((DATOS!$G$2:$G$20000=CONFIG_METADATA!$B$4)*(DATOS!$D$2:$D$20000=A136)*(DATOS!$I$2:$I$20000=B136)*(DATOS!$L$2:$L$20000="N"),DATOS!$K$2:$K$20000)),"—"),"")</f>
        <v>—</v>
      </c>
      <c r="L136">
        <f>IF(V136="Sí",COUNTIFS(DATOS!G:G,CONFIG_METADATA!$B$4,DATOS!D:D,A136,DATOS!I:I,B136,DATOS!K:K,1),"")</f>
        <v>0</v>
      </c>
      <c r="M136">
        <f>IF(V136="Sí",COUNTIFS(DATOS!G:G,CONFIG_METADATA!$B$4,DATOS!D:D,A136,DATOS!I:I,B136,DATOS!K:K,2),"")</f>
        <v>0</v>
      </c>
      <c r="N136">
        <f>IF(V136="Sí",COUNTIFS(DATOS!G:G,CONFIG_METADATA!$B$4,DATOS!D:D,A136,DATOS!I:I,B136,DATOS!K:K,3),"")</f>
        <v>0</v>
      </c>
      <c r="O136">
        <f>IF(V136="Sí",COUNTIFS(DATOS!G:G,CONFIG_METADATA!$B$4,DATOS!D:D,A136,DATOS!I:I,B136,DATOS!K:K,4),"")</f>
        <v>0</v>
      </c>
      <c r="P136">
        <f>IF(V136="Sí",COUNTIFS(DATOS!G:G,CONFIG_METADATA!$B$4,DATOS!D:D,A136,DATOS!I:I,B136,DATOS!K:K,5),"")</f>
        <v>0</v>
      </c>
      <c r="Q136">
        <f>IF(V136="Sí",COUNTIFS(DATOS!G:G,CONFIG_METADATA!$B$4,DATOS!D:D,A136,DATOS!I:I,B136,DATOS!K:K,6),"")</f>
        <v>0</v>
      </c>
      <c r="R136">
        <f>IF(V136="Sí",COUNTIFS(DATOS!G:G,CONFIG_METADATA!$B$4,DATOS!D:D,A136,DATOS!I:I,B136,DATOS!K:K,7),"")</f>
        <v>0</v>
      </c>
      <c r="S136">
        <f>IF(V136="Sí",COUNTIFS(DATOS!G:G,CONFIG_METADATA!$B$4,DATOS!D:D,A136,DATOS!I:I,B136,DATOS!K:K,8),"")</f>
        <v>0</v>
      </c>
      <c r="T136">
        <f>IF(V136="Sí",COUNTIFS(DATOS!G:G,CONFIG_METADATA!$B$4,DATOS!D:D,A136,DATOS!I:I,B136,DATOS!K:K,9),"")</f>
        <v>0</v>
      </c>
      <c r="U136">
        <f>IF(V136="Sí",COUNTIFS(DATOS!G:G,CONFIG_METADATA!$B$4,DATOS!D:D,A136,DATOS!I:I,B136,DATOS!K:K,10),"")</f>
        <v>0</v>
      </c>
      <c r="V136" t="str">
        <f>IFERROR(IF(ISERROR(FIND(A136,VLOOKUP(B136,CONFIG_ASIGNATURAS!B:C,2,FALSE()))),"No","Sí"),"No")</f>
        <v>Sí</v>
      </c>
    </row>
    <row r="137" spans="1:22">
      <c r="A137" s="3" t="inlineStr">
        <is>
          <t xml:space="preserve">2EEM</t>
        </is>
      </c>
      <c r="B137" s="3" cm="1">
        <f t="array" ref="B137">IFERROR(INDEX(_xlfn._xlws.FILTER(CONFIG_ASIGNATURAS!$B$2:$B$61,(CONFIG_ASIGNATURAS!$G$2:$G$61="Sí")*ISNUMBER(SEARCH("2EEM",CONFIG_ASIGNATURAS!$C$2:$C$61))),7),"")</f>
      </c>
      <c r="C137" s="3">
        <f>IF(B137="","",IFERROR(IF(VLOOKUP(B137,CONFIG_ASIGNATURAS!$B$2:$F$61,5,FALSE())="Sí","Especialidad","Asignatura"),"Asignatura"))</f>
      </c>
      <c r="D137">
        <f>IF(V137="Sí",COUNTIFS(DATOS!G:G,CONFIG_METADATA!$B$4,DATOS!D:D,A137,DATOS!I:I,B137),"")</f>
        <v>0</v>
      </c>
      <c r="E137" s="14" t="str">
        <f>IF(V137="Sí",IFERROR(AVERAGEIFS(DATOS!K:K,DATOS!G:G,CONFIG_METADATA!$B$4,DATOS!D:D,A137,DATOS!I:I,B137),"—"),"")</f>
        <v>—</v>
      </c>
      <c r="F137" s="14" t="str" cm="1">
        <f t="array" ref="F137">IF(V137="Sí",IFERROR(_xlfn.STDEV.P(IF((DATOS!$G$2:$G$20000=CONFIG_METADATA!$B$4)*(DATOS!$D$2:$D$20000=A137)*(DATOS!$I$2:$I$20000=B137),DATOS!$K$2:$K$20000)),"—"),"")</f>
        <v>—</v>
      </c>
      <c r="G137" t="str" cm="1">
        <f t="array" ref="G137">IF(V137="Sí",IFERROR(_xlfn.MODE.SNGL(IF((DATOS!$G$2:$G$20000=CONFIG_METADATA!$B$4)*(DATOS!$D$2:$D$20000=A137)*(DATOS!$I$2:$I$20000=B137),DATOS!$K$2:$K$20000)),"—"),"")</f>
        <v>—</v>
      </c>
      <c r="H137" s="15" t="str">
        <f>IF(V137="Sí",IFERROR(COUNTIFS(DATOS!G:G,CONFIG_METADATA!$B$4,DATOS!D:D,A137,DATOS!I:I,B137,DATOS!L:L,"S")/COUNTIFS(DATOS!G:G,CONFIG_METADATA!$B$4,DATOS!D:D,A137,DATOS!I:I,B137),"—"),"")</f>
        <v>—</v>
      </c>
      <c r="I137" s="15" t="str">
        <f>IF(V137="Sí",IFERROR(COUNTIFS(DATOS!G:G,CONFIG_METADATA!$B$4,DATOS!D:D,A137,DATOS!I:I,B137,DATOS!L:L,"N")/COUNTIFS(DATOS!G:G,CONFIG_METADATA!$B$4,DATOS!D:D,A137,DATOS!I:I,B137),"—"),"")</f>
        <v>—</v>
      </c>
      <c r="J137" t="str" cm="1">
        <f t="array" ref="J137">IF(V137="Sí",IFERROR(_xlfn.MODE.SNGL(IF((DATOS!$G$2:$G$20000=CONFIG_METADATA!$B$4)*(DATOS!$D$2:$D$20000=A137)*(DATOS!$I$2:$I$20000=B137)*(DATOS!$L$2:$L$20000="S"),DATOS!$K$2:$K$20000)),"—"),"")</f>
        <v>—</v>
      </c>
      <c r="K137" t="str" cm="1">
        <f t="array" ref="K137">IF(V137="Sí",IFERROR(_xlfn.MODE.SNGL(IF((DATOS!$G$2:$G$20000=CONFIG_METADATA!$B$4)*(DATOS!$D$2:$D$20000=A137)*(DATOS!$I$2:$I$20000=B137)*(DATOS!$L$2:$L$20000="N"),DATOS!$K$2:$K$20000)),"—"),"")</f>
        <v>—</v>
      </c>
      <c r="L137">
        <f>IF(V137="Sí",COUNTIFS(DATOS!G:G,CONFIG_METADATA!$B$4,DATOS!D:D,A137,DATOS!I:I,B137,DATOS!K:K,1),"")</f>
        <v>0</v>
      </c>
      <c r="M137">
        <f>IF(V137="Sí",COUNTIFS(DATOS!G:G,CONFIG_METADATA!$B$4,DATOS!D:D,A137,DATOS!I:I,B137,DATOS!K:K,2),"")</f>
        <v>0</v>
      </c>
      <c r="N137">
        <f>IF(V137="Sí",COUNTIFS(DATOS!G:G,CONFIG_METADATA!$B$4,DATOS!D:D,A137,DATOS!I:I,B137,DATOS!K:K,3),"")</f>
        <v>0</v>
      </c>
      <c r="O137">
        <f>IF(V137="Sí",COUNTIFS(DATOS!G:G,CONFIG_METADATA!$B$4,DATOS!D:D,A137,DATOS!I:I,B137,DATOS!K:K,4),"")</f>
        <v>0</v>
      </c>
      <c r="P137">
        <f>IF(V137="Sí",COUNTIFS(DATOS!G:G,CONFIG_METADATA!$B$4,DATOS!D:D,A137,DATOS!I:I,B137,DATOS!K:K,5),"")</f>
        <v>0</v>
      </c>
      <c r="Q137">
        <f>IF(V137="Sí",COUNTIFS(DATOS!G:G,CONFIG_METADATA!$B$4,DATOS!D:D,A137,DATOS!I:I,B137,DATOS!K:K,6),"")</f>
        <v>0</v>
      </c>
      <c r="R137">
        <f>IF(V137="Sí",COUNTIFS(DATOS!G:G,CONFIG_METADATA!$B$4,DATOS!D:D,A137,DATOS!I:I,B137,DATOS!K:K,7),"")</f>
        <v>0</v>
      </c>
      <c r="S137">
        <f>IF(V137="Sí",COUNTIFS(DATOS!G:G,CONFIG_METADATA!$B$4,DATOS!D:D,A137,DATOS!I:I,B137,DATOS!K:K,8),"")</f>
        <v>0</v>
      </c>
      <c r="T137">
        <f>IF(V137="Sí",COUNTIFS(DATOS!G:G,CONFIG_METADATA!$B$4,DATOS!D:D,A137,DATOS!I:I,B137,DATOS!K:K,9),"")</f>
        <v>0</v>
      </c>
      <c r="U137">
        <f>IF(V137="Sí",COUNTIFS(DATOS!G:G,CONFIG_METADATA!$B$4,DATOS!D:D,A137,DATOS!I:I,B137,DATOS!K:K,10),"")</f>
        <v>0</v>
      </c>
      <c r="V137" t="str">
        <f>IFERROR(IF(ISERROR(FIND(A137,VLOOKUP(B137,CONFIG_ASIGNATURAS!B:C,2,FALSE()))),"No","Sí"),"No")</f>
        <v>Sí</v>
      </c>
    </row>
    <row r="138" spans="1:22">
      <c r="A138" s="3" t="inlineStr">
        <is>
          <t xml:space="preserve">2EEM</t>
        </is>
      </c>
      <c r="B138" s="3" cm="1">
        <f t="array" ref="B138">IFERROR(INDEX(_xlfn._xlws.FILTER(CONFIG_ASIGNATURAS!$B$2:$B$61,(CONFIG_ASIGNATURAS!$G$2:$G$61="Sí")*ISNUMBER(SEARCH("2EEM",CONFIG_ASIGNATURAS!$C$2:$C$61))),8),"")</f>
      </c>
      <c r="C138" s="3">
        <f>IF(B138="","",IFERROR(IF(VLOOKUP(B138,CONFIG_ASIGNATURAS!$B$2:$F$61,5,FALSE())="Sí","Especialidad","Asignatura"),"Asignatura"))</f>
      </c>
      <c r="D138">
        <f>IF(V138="Sí",COUNTIFS(DATOS!G:G,CONFIG_METADATA!$B$4,DATOS!D:D,A138,DATOS!I:I,B138),"")</f>
        <v>0</v>
      </c>
      <c r="E138" s="14" t="str">
        <f>IF(V138="Sí",IFERROR(AVERAGEIFS(DATOS!K:K,DATOS!G:G,CONFIG_METADATA!$B$4,DATOS!D:D,A138,DATOS!I:I,B138),"—"),"")</f>
        <v>—</v>
      </c>
      <c r="F138" s="14" t="str" cm="1">
        <f t="array" ref="F138">IF(V138="Sí",IFERROR(_xlfn.STDEV.P(IF((DATOS!$G$2:$G$20000=CONFIG_METADATA!$B$4)*(DATOS!$D$2:$D$20000=A138)*(DATOS!$I$2:$I$20000=B138),DATOS!$K$2:$K$20000)),"—"),"")</f>
        <v>—</v>
      </c>
      <c r="G138" t="str" cm="1">
        <f t="array" ref="G138">IF(V138="Sí",IFERROR(_xlfn.MODE.SNGL(IF((DATOS!$G$2:$G$20000=CONFIG_METADATA!$B$4)*(DATOS!$D$2:$D$20000=A138)*(DATOS!$I$2:$I$20000=B138),DATOS!$K$2:$K$20000)),"—"),"")</f>
        <v>—</v>
      </c>
      <c r="H138" s="15" t="str">
        <f>IF(V138="Sí",IFERROR(COUNTIFS(DATOS!G:G,CONFIG_METADATA!$B$4,DATOS!D:D,A138,DATOS!I:I,B138,DATOS!L:L,"S")/COUNTIFS(DATOS!G:G,CONFIG_METADATA!$B$4,DATOS!D:D,A138,DATOS!I:I,B138),"—"),"")</f>
        <v>—</v>
      </c>
      <c r="I138" s="15" t="str">
        <f>IF(V138="Sí",IFERROR(COUNTIFS(DATOS!G:G,CONFIG_METADATA!$B$4,DATOS!D:D,A138,DATOS!I:I,B138,DATOS!L:L,"N")/COUNTIFS(DATOS!G:G,CONFIG_METADATA!$B$4,DATOS!D:D,A138,DATOS!I:I,B138),"—"),"")</f>
        <v>—</v>
      </c>
      <c r="J138" t="str" cm="1">
        <f t="array" ref="J138">IF(V138="Sí",IFERROR(_xlfn.MODE.SNGL(IF((DATOS!$G$2:$G$20000=CONFIG_METADATA!$B$4)*(DATOS!$D$2:$D$20000=A138)*(DATOS!$I$2:$I$20000=B138)*(DATOS!$L$2:$L$20000="S"),DATOS!$K$2:$K$20000)),"—"),"")</f>
        <v>—</v>
      </c>
      <c r="K138" t="str" cm="1">
        <f t="array" ref="K138">IF(V138="Sí",IFERROR(_xlfn.MODE.SNGL(IF((DATOS!$G$2:$G$20000=CONFIG_METADATA!$B$4)*(DATOS!$D$2:$D$20000=A138)*(DATOS!$I$2:$I$20000=B138)*(DATOS!$L$2:$L$20000="N"),DATOS!$K$2:$K$20000)),"—"),"")</f>
        <v>—</v>
      </c>
      <c r="L138">
        <f>IF(V138="Sí",COUNTIFS(DATOS!G:G,CONFIG_METADATA!$B$4,DATOS!D:D,A138,DATOS!I:I,B138,DATOS!K:K,1),"")</f>
        <v>0</v>
      </c>
      <c r="M138">
        <f>IF(V138="Sí",COUNTIFS(DATOS!G:G,CONFIG_METADATA!$B$4,DATOS!D:D,A138,DATOS!I:I,B138,DATOS!K:K,2),"")</f>
        <v>0</v>
      </c>
      <c r="N138">
        <f>IF(V138="Sí",COUNTIFS(DATOS!G:G,CONFIG_METADATA!$B$4,DATOS!D:D,A138,DATOS!I:I,B138,DATOS!K:K,3),"")</f>
        <v>0</v>
      </c>
      <c r="O138">
        <f>IF(V138="Sí",COUNTIFS(DATOS!G:G,CONFIG_METADATA!$B$4,DATOS!D:D,A138,DATOS!I:I,B138,DATOS!K:K,4),"")</f>
        <v>0</v>
      </c>
      <c r="P138">
        <f>IF(V138="Sí",COUNTIFS(DATOS!G:G,CONFIG_METADATA!$B$4,DATOS!D:D,A138,DATOS!I:I,B138,DATOS!K:K,5),"")</f>
        <v>0</v>
      </c>
      <c r="Q138">
        <f>IF(V138="Sí",COUNTIFS(DATOS!G:G,CONFIG_METADATA!$B$4,DATOS!D:D,A138,DATOS!I:I,B138,DATOS!K:K,6),"")</f>
        <v>0</v>
      </c>
      <c r="R138">
        <f>IF(V138="Sí",COUNTIFS(DATOS!G:G,CONFIG_METADATA!$B$4,DATOS!D:D,A138,DATOS!I:I,B138,DATOS!K:K,7),"")</f>
        <v>0</v>
      </c>
      <c r="S138">
        <f>IF(V138="Sí",COUNTIFS(DATOS!G:G,CONFIG_METADATA!$B$4,DATOS!D:D,A138,DATOS!I:I,B138,DATOS!K:K,8),"")</f>
        <v>0</v>
      </c>
      <c r="T138">
        <f>IF(V138="Sí",COUNTIFS(DATOS!G:G,CONFIG_METADATA!$B$4,DATOS!D:D,A138,DATOS!I:I,B138,DATOS!K:K,9),"")</f>
        <v>0</v>
      </c>
      <c r="U138">
        <f>IF(V138="Sí",COUNTIFS(DATOS!G:G,CONFIG_METADATA!$B$4,DATOS!D:D,A138,DATOS!I:I,B138,DATOS!K:K,10),"")</f>
        <v>0</v>
      </c>
      <c r="V138" t="str">
        <f>IFERROR(IF(ISERROR(FIND(A138,VLOOKUP(B138,CONFIG_ASIGNATURAS!B:C,2,FALSE()))),"No","Sí"),"No")</f>
        <v>Sí</v>
      </c>
    </row>
    <row r="139" spans="1:22">
      <c r="A139" s="3" t="inlineStr">
        <is>
          <t xml:space="preserve">2EEM</t>
        </is>
      </c>
      <c r="B139" s="3" cm="1">
        <f t="array" ref="B139">IFERROR(INDEX(_xlfn._xlws.FILTER(CONFIG_ASIGNATURAS!$B$2:$B$61,(CONFIG_ASIGNATURAS!$G$2:$G$61="Sí")*ISNUMBER(SEARCH("2EEM",CONFIG_ASIGNATURAS!$C$2:$C$61))),9),"")</f>
      </c>
      <c r="C139" s="3">
        <f>IF(B139="","",IFERROR(IF(VLOOKUP(B139,CONFIG_ASIGNATURAS!$B$2:$F$61,5,FALSE())="Sí","Especialidad","Asignatura"),"Asignatura"))</f>
      </c>
      <c r="D139">
        <f>IF(V139="Sí",COUNTIFS(DATOS!G:G,CONFIG_METADATA!$B$4,DATOS!D:D,A139,DATOS!I:I,B139),"")</f>
        <v>0</v>
      </c>
      <c r="E139" s="14" t="str">
        <f>IF(V139="Sí",IFERROR(AVERAGEIFS(DATOS!K:K,DATOS!G:G,CONFIG_METADATA!$B$4,DATOS!D:D,A139,DATOS!I:I,B139),"—"),"")</f>
        <v>—</v>
      </c>
      <c r="F139" s="14" t="str" cm="1">
        <f t="array" ref="F139">IF(V139="Sí",IFERROR(_xlfn.STDEV.P(IF((DATOS!$G$2:$G$20000=CONFIG_METADATA!$B$4)*(DATOS!$D$2:$D$20000=A139)*(DATOS!$I$2:$I$20000=B139),DATOS!$K$2:$K$20000)),"—"),"")</f>
        <v>—</v>
      </c>
      <c r="G139" t="str" cm="1">
        <f t="array" ref="G139">IF(V139="Sí",IFERROR(_xlfn.MODE.SNGL(IF((DATOS!$G$2:$G$20000=CONFIG_METADATA!$B$4)*(DATOS!$D$2:$D$20000=A139)*(DATOS!$I$2:$I$20000=B139),DATOS!$K$2:$K$20000)),"—"),"")</f>
        <v>—</v>
      </c>
      <c r="H139" s="15" t="str">
        <f>IF(V139="Sí",IFERROR(COUNTIFS(DATOS!G:G,CONFIG_METADATA!$B$4,DATOS!D:D,A139,DATOS!I:I,B139,DATOS!L:L,"S")/COUNTIFS(DATOS!G:G,CONFIG_METADATA!$B$4,DATOS!D:D,A139,DATOS!I:I,B139),"—"),"")</f>
        <v>—</v>
      </c>
      <c r="I139" s="15" t="str">
        <f>IF(V139="Sí",IFERROR(COUNTIFS(DATOS!G:G,CONFIG_METADATA!$B$4,DATOS!D:D,A139,DATOS!I:I,B139,DATOS!L:L,"N")/COUNTIFS(DATOS!G:G,CONFIG_METADATA!$B$4,DATOS!D:D,A139,DATOS!I:I,B139),"—"),"")</f>
        <v>—</v>
      </c>
      <c r="J139" t="str" cm="1">
        <f t="array" ref="J139">IF(V139="Sí",IFERROR(_xlfn.MODE.SNGL(IF((DATOS!$G$2:$G$20000=CONFIG_METADATA!$B$4)*(DATOS!$D$2:$D$20000=A139)*(DATOS!$I$2:$I$20000=B139)*(DATOS!$L$2:$L$20000="S"),DATOS!$K$2:$K$20000)),"—"),"")</f>
        <v>—</v>
      </c>
      <c r="K139" t="str" cm="1">
        <f t="array" ref="K139">IF(V139="Sí",IFERROR(_xlfn.MODE.SNGL(IF((DATOS!$G$2:$G$20000=CONFIG_METADATA!$B$4)*(DATOS!$D$2:$D$20000=A139)*(DATOS!$I$2:$I$20000=B139)*(DATOS!$L$2:$L$20000="N"),DATOS!$K$2:$K$20000)),"—"),"")</f>
        <v>—</v>
      </c>
      <c r="L139">
        <f>IF(V139="Sí",COUNTIFS(DATOS!G:G,CONFIG_METADATA!$B$4,DATOS!D:D,A139,DATOS!I:I,B139,DATOS!K:K,1),"")</f>
        <v>0</v>
      </c>
      <c r="M139">
        <f>IF(V139="Sí",COUNTIFS(DATOS!G:G,CONFIG_METADATA!$B$4,DATOS!D:D,A139,DATOS!I:I,B139,DATOS!K:K,2),"")</f>
        <v>0</v>
      </c>
      <c r="N139">
        <f>IF(V139="Sí",COUNTIFS(DATOS!G:G,CONFIG_METADATA!$B$4,DATOS!D:D,A139,DATOS!I:I,B139,DATOS!K:K,3),"")</f>
        <v>0</v>
      </c>
      <c r="O139">
        <f>IF(V139="Sí",COUNTIFS(DATOS!G:G,CONFIG_METADATA!$B$4,DATOS!D:D,A139,DATOS!I:I,B139,DATOS!K:K,4),"")</f>
        <v>0</v>
      </c>
      <c r="P139">
        <f>IF(V139="Sí",COUNTIFS(DATOS!G:G,CONFIG_METADATA!$B$4,DATOS!D:D,A139,DATOS!I:I,B139,DATOS!K:K,5),"")</f>
        <v>0</v>
      </c>
      <c r="Q139">
        <f>IF(V139="Sí",COUNTIFS(DATOS!G:G,CONFIG_METADATA!$B$4,DATOS!D:D,A139,DATOS!I:I,B139,DATOS!K:K,6),"")</f>
        <v>0</v>
      </c>
      <c r="R139">
        <f>IF(V139="Sí",COUNTIFS(DATOS!G:G,CONFIG_METADATA!$B$4,DATOS!D:D,A139,DATOS!I:I,B139,DATOS!K:K,7),"")</f>
        <v>0</v>
      </c>
      <c r="S139">
        <f>IF(V139="Sí",COUNTIFS(DATOS!G:G,CONFIG_METADATA!$B$4,DATOS!D:D,A139,DATOS!I:I,B139,DATOS!K:K,8),"")</f>
        <v>0</v>
      </c>
      <c r="T139">
        <f>IF(V139="Sí",COUNTIFS(DATOS!G:G,CONFIG_METADATA!$B$4,DATOS!D:D,A139,DATOS!I:I,B139,DATOS!K:K,9),"")</f>
        <v>0</v>
      </c>
      <c r="U139">
        <f>IF(V139="Sí",COUNTIFS(DATOS!G:G,CONFIG_METADATA!$B$4,DATOS!D:D,A139,DATOS!I:I,B139,DATOS!K:K,10),"")</f>
        <v>0</v>
      </c>
      <c r="V139" t="str">
        <f>IFERROR(IF(ISERROR(FIND(A139,VLOOKUP(B139,CONFIG_ASIGNATURAS!B:C,2,FALSE()))),"No","Sí"),"No")</f>
        <v>Sí</v>
      </c>
    </row>
    <row r="140" spans="1:22">
      <c r="A140" s="3" t="inlineStr">
        <is>
          <t xml:space="preserve">2EEM</t>
        </is>
      </c>
      <c r="B140" s="3" cm="1">
        <f t="array" ref="B140">IFERROR(INDEX(_xlfn._xlws.FILTER(CONFIG_ASIGNATURAS!$B$2:$B$61,(CONFIG_ASIGNATURAS!$G$2:$G$61="Sí")*ISNUMBER(SEARCH("2EEM",CONFIG_ASIGNATURAS!$C$2:$C$61))),10),"")</f>
      </c>
      <c r="C140" s="3">
        <f>IF(B140="","",IFERROR(IF(VLOOKUP(B140,CONFIG_ASIGNATURAS!$B$2:$F$61,5,FALSE())="Sí","Especialidad","Asignatura"),"Asignatura"))</f>
      </c>
      <c r="D140">
        <f>IF(V140="Sí",COUNTIFS(DATOS!G:G,CONFIG_METADATA!$B$4,DATOS!D:D,A140,DATOS!I:I,B140),"")</f>
        <v>0</v>
      </c>
      <c r="E140" s="14" t="str">
        <f>IF(V140="Sí",IFERROR(AVERAGEIFS(DATOS!K:K,DATOS!G:G,CONFIG_METADATA!$B$4,DATOS!D:D,A140,DATOS!I:I,B140),"—"),"")</f>
        <v>—</v>
      </c>
      <c r="F140" s="14" t="str" cm="1">
        <f t="array" ref="F140">IF(V140="Sí",IFERROR(_xlfn.STDEV.P(IF((DATOS!$G$2:$G$20000=CONFIG_METADATA!$B$4)*(DATOS!$D$2:$D$20000=A140)*(DATOS!$I$2:$I$20000=B140),DATOS!$K$2:$K$20000)),"—"),"")</f>
        <v>—</v>
      </c>
      <c r="G140" t="str" cm="1">
        <f t="array" ref="G140">IF(V140="Sí",IFERROR(_xlfn.MODE.SNGL(IF((DATOS!$G$2:$G$20000=CONFIG_METADATA!$B$4)*(DATOS!$D$2:$D$20000=A140)*(DATOS!$I$2:$I$20000=B140),DATOS!$K$2:$K$20000)),"—"),"")</f>
        <v>—</v>
      </c>
      <c r="H140" s="15" t="str">
        <f>IF(V140="Sí",IFERROR(COUNTIFS(DATOS!G:G,CONFIG_METADATA!$B$4,DATOS!D:D,A140,DATOS!I:I,B140,DATOS!L:L,"S")/COUNTIFS(DATOS!G:G,CONFIG_METADATA!$B$4,DATOS!D:D,A140,DATOS!I:I,B140),"—"),"")</f>
        <v>—</v>
      </c>
      <c r="I140" s="15" t="str">
        <f>IF(V140="Sí",IFERROR(COUNTIFS(DATOS!G:G,CONFIG_METADATA!$B$4,DATOS!D:D,A140,DATOS!I:I,B140,DATOS!L:L,"N")/COUNTIFS(DATOS!G:G,CONFIG_METADATA!$B$4,DATOS!D:D,A140,DATOS!I:I,B140),"—"),"")</f>
        <v>—</v>
      </c>
      <c r="J140" t="str" cm="1">
        <f t="array" ref="J140">IF(V140="Sí",IFERROR(_xlfn.MODE.SNGL(IF((DATOS!$G$2:$G$20000=CONFIG_METADATA!$B$4)*(DATOS!$D$2:$D$20000=A140)*(DATOS!$I$2:$I$20000=B140)*(DATOS!$L$2:$L$20000="S"),DATOS!$K$2:$K$20000)),"—"),"")</f>
        <v>—</v>
      </c>
      <c r="K140" t="str" cm="1">
        <f t="array" ref="K140">IF(V140="Sí",IFERROR(_xlfn.MODE.SNGL(IF((DATOS!$G$2:$G$20000=CONFIG_METADATA!$B$4)*(DATOS!$D$2:$D$20000=A140)*(DATOS!$I$2:$I$20000=B140)*(DATOS!$L$2:$L$20000="N"),DATOS!$K$2:$K$20000)),"—"),"")</f>
        <v>—</v>
      </c>
      <c r="L140">
        <f>IF(V140="Sí",COUNTIFS(DATOS!G:G,CONFIG_METADATA!$B$4,DATOS!D:D,A140,DATOS!I:I,B140,DATOS!K:K,1),"")</f>
        <v>0</v>
      </c>
      <c r="M140">
        <f>IF(V140="Sí",COUNTIFS(DATOS!G:G,CONFIG_METADATA!$B$4,DATOS!D:D,A140,DATOS!I:I,B140,DATOS!K:K,2),"")</f>
        <v>0</v>
      </c>
      <c r="N140">
        <f>IF(V140="Sí",COUNTIFS(DATOS!G:G,CONFIG_METADATA!$B$4,DATOS!D:D,A140,DATOS!I:I,B140,DATOS!K:K,3),"")</f>
        <v>0</v>
      </c>
      <c r="O140">
        <f>IF(V140="Sí",COUNTIFS(DATOS!G:G,CONFIG_METADATA!$B$4,DATOS!D:D,A140,DATOS!I:I,B140,DATOS!K:K,4),"")</f>
        <v>0</v>
      </c>
      <c r="P140">
        <f>IF(V140="Sí",COUNTIFS(DATOS!G:G,CONFIG_METADATA!$B$4,DATOS!D:D,A140,DATOS!I:I,B140,DATOS!K:K,5),"")</f>
        <v>0</v>
      </c>
      <c r="Q140">
        <f>IF(V140="Sí",COUNTIFS(DATOS!G:G,CONFIG_METADATA!$B$4,DATOS!D:D,A140,DATOS!I:I,B140,DATOS!K:K,6),"")</f>
        <v>0</v>
      </c>
      <c r="R140">
        <f>IF(V140="Sí",COUNTIFS(DATOS!G:G,CONFIG_METADATA!$B$4,DATOS!D:D,A140,DATOS!I:I,B140,DATOS!K:K,7),"")</f>
        <v>0</v>
      </c>
      <c r="S140">
        <f>IF(V140="Sí",COUNTIFS(DATOS!G:G,CONFIG_METADATA!$B$4,DATOS!D:D,A140,DATOS!I:I,B140,DATOS!K:K,8),"")</f>
        <v>0</v>
      </c>
      <c r="T140">
        <f>IF(V140="Sí",COUNTIFS(DATOS!G:G,CONFIG_METADATA!$B$4,DATOS!D:D,A140,DATOS!I:I,B140,DATOS!K:K,9),"")</f>
        <v>0</v>
      </c>
      <c r="U140">
        <f>IF(V140="Sí",COUNTIFS(DATOS!G:G,CONFIG_METADATA!$B$4,DATOS!D:D,A140,DATOS!I:I,B140,DATOS!K:K,10),"")</f>
        <v>0</v>
      </c>
      <c r="V140" t="str">
        <f>IFERROR(IF(ISERROR(FIND(A140,VLOOKUP(B140,CONFIG_ASIGNATURAS!B:C,2,FALSE()))),"No","Sí"),"No")</f>
        <v>Sí</v>
      </c>
    </row>
    <row r="141" spans="1:22">
      <c r="A141" s="3" t="inlineStr">
        <is>
          <t xml:space="preserve">2EEM</t>
        </is>
      </c>
      <c r="B141" s="3" cm="1">
        <f t="array" ref="B141">IFERROR(INDEX(_xlfn._xlws.FILTER(CONFIG_ASIGNATURAS!$B$2:$B$61,(CONFIG_ASIGNATURAS!$G$2:$G$61="Sí")*ISNUMBER(SEARCH("2EEM",CONFIG_ASIGNATURAS!$C$2:$C$61))),11),"")</f>
      </c>
      <c r="C141" s="3">
        <f>IF(B141="","",IFERROR(IF(VLOOKUP(B141,CONFIG_ASIGNATURAS!$B$2:$F$61,5,FALSE())="Sí","Especialidad","Asignatura"),"Asignatura"))</f>
      </c>
      <c r="D141">
        <f>IF(V141="Sí",COUNTIFS(DATOS!G:G,CONFIG_METADATA!$B$4,DATOS!D:D,A141,DATOS!I:I,B141),"")</f>
        <v>0</v>
      </c>
      <c r="E141" s="14" t="str">
        <f>IF(V141="Sí",IFERROR(AVERAGEIFS(DATOS!K:K,DATOS!G:G,CONFIG_METADATA!$B$4,DATOS!D:D,A141,DATOS!I:I,B141),"—"),"")</f>
        <v>—</v>
      </c>
      <c r="F141" s="14" t="str" cm="1">
        <f t="array" ref="F141">IF(V141="Sí",IFERROR(_xlfn.STDEV.P(IF((DATOS!$G$2:$G$20000=CONFIG_METADATA!$B$4)*(DATOS!$D$2:$D$20000=A141)*(DATOS!$I$2:$I$20000=B141),DATOS!$K$2:$K$20000)),"—"),"")</f>
        <v>—</v>
      </c>
      <c r="G141" t="str" cm="1">
        <f t="array" ref="G141">IF(V141="Sí",IFERROR(_xlfn.MODE.SNGL(IF((DATOS!$G$2:$G$20000=CONFIG_METADATA!$B$4)*(DATOS!$D$2:$D$20000=A141)*(DATOS!$I$2:$I$20000=B141),DATOS!$K$2:$K$20000)),"—"),"")</f>
        <v>—</v>
      </c>
      <c r="H141" s="15" t="str">
        <f>IF(V141="Sí",IFERROR(COUNTIFS(DATOS!G:G,CONFIG_METADATA!$B$4,DATOS!D:D,A141,DATOS!I:I,B141,DATOS!L:L,"S")/COUNTIFS(DATOS!G:G,CONFIG_METADATA!$B$4,DATOS!D:D,A141,DATOS!I:I,B141),"—"),"")</f>
        <v>—</v>
      </c>
      <c r="I141" s="15" t="str">
        <f>IF(V141="Sí",IFERROR(COUNTIFS(DATOS!G:G,CONFIG_METADATA!$B$4,DATOS!D:D,A141,DATOS!I:I,B141,DATOS!L:L,"N")/COUNTIFS(DATOS!G:G,CONFIG_METADATA!$B$4,DATOS!D:D,A141,DATOS!I:I,B141),"—"),"")</f>
        <v>—</v>
      </c>
      <c r="J141" t="str" cm="1">
        <f t="array" ref="J141">IF(V141="Sí",IFERROR(_xlfn.MODE.SNGL(IF((DATOS!$G$2:$G$20000=CONFIG_METADATA!$B$4)*(DATOS!$D$2:$D$20000=A141)*(DATOS!$I$2:$I$20000=B141)*(DATOS!$L$2:$L$20000="S"),DATOS!$K$2:$K$20000)),"—"),"")</f>
        <v>—</v>
      </c>
      <c r="K141" t="str" cm="1">
        <f t="array" ref="K141">IF(V141="Sí",IFERROR(_xlfn.MODE.SNGL(IF((DATOS!$G$2:$G$20000=CONFIG_METADATA!$B$4)*(DATOS!$D$2:$D$20000=A141)*(DATOS!$I$2:$I$20000=B141)*(DATOS!$L$2:$L$20000="N"),DATOS!$K$2:$K$20000)),"—"),"")</f>
        <v>—</v>
      </c>
      <c r="L141">
        <f>IF(V141="Sí",COUNTIFS(DATOS!G:G,CONFIG_METADATA!$B$4,DATOS!D:D,A141,DATOS!I:I,B141,DATOS!K:K,1),"")</f>
        <v>0</v>
      </c>
      <c r="M141">
        <f>IF(V141="Sí",COUNTIFS(DATOS!G:G,CONFIG_METADATA!$B$4,DATOS!D:D,A141,DATOS!I:I,B141,DATOS!K:K,2),"")</f>
        <v>0</v>
      </c>
      <c r="N141">
        <f>IF(V141="Sí",COUNTIFS(DATOS!G:G,CONFIG_METADATA!$B$4,DATOS!D:D,A141,DATOS!I:I,B141,DATOS!K:K,3),"")</f>
        <v>0</v>
      </c>
      <c r="O141">
        <f>IF(V141="Sí",COUNTIFS(DATOS!G:G,CONFIG_METADATA!$B$4,DATOS!D:D,A141,DATOS!I:I,B141,DATOS!K:K,4),"")</f>
        <v>0</v>
      </c>
      <c r="P141">
        <f>IF(V141="Sí",COUNTIFS(DATOS!G:G,CONFIG_METADATA!$B$4,DATOS!D:D,A141,DATOS!I:I,B141,DATOS!K:K,5),"")</f>
        <v>0</v>
      </c>
      <c r="Q141">
        <f>IF(V141="Sí",COUNTIFS(DATOS!G:G,CONFIG_METADATA!$B$4,DATOS!D:D,A141,DATOS!I:I,B141,DATOS!K:K,6),"")</f>
        <v>0</v>
      </c>
      <c r="R141">
        <f>IF(V141="Sí",COUNTIFS(DATOS!G:G,CONFIG_METADATA!$B$4,DATOS!D:D,A141,DATOS!I:I,B141,DATOS!K:K,7),"")</f>
        <v>0</v>
      </c>
      <c r="S141">
        <f>IF(V141="Sí",COUNTIFS(DATOS!G:G,CONFIG_METADATA!$B$4,DATOS!D:D,A141,DATOS!I:I,B141,DATOS!K:K,8),"")</f>
        <v>0</v>
      </c>
      <c r="T141">
        <f>IF(V141="Sí",COUNTIFS(DATOS!G:G,CONFIG_METADATA!$B$4,DATOS!D:D,A141,DATOS!I:I,B141,DATOS!K:K,9),"")</f>
        <v>0</v>
      </c>
      <c r="U141">
        <f>IF(V141="Sí",COUNTIFS(DATOS!G:G,CONFIG_METADATA!$B$4,DATOS!D:D,A141,DATOS!I:I,B141,DATOS!K:K,10),"")</f>
        <v>0</v>
      </c>
      <c r="V141" t="str">
        <f>IFERROR(IF(ISERROR(FIND(A141,VLOOKUP(B141,CONFIG_ASIGNATURAS!B:C,2,FALSE()))),"No","Sí"),"No")</f>
        <v>Sí</v>
      </c>
    </row>
    <row r="142" spans="1:22">
      <c r="A142" s="3" t="inlineStr">
        <is>
          <t xml:space="preserve">2EEM</t>
        </is>
      </c>
      <c r="B142" s="3" cm="1">
        <f t="array" ref="B142">IFERROR(INDEX(_xlfn._xlws.FILTER(CONFIG_ASIGNATURAS!$B$2:$B$61,(CONFIG_ASIGNATURAS!$G$2:$G$61="Sí")*ISNUMBER(SEARCH("2EEM",CONFIG_ASIGNATURAS!$C$2:$C$61))),12),"")</f>
      </c>
      <c r="C142" s="3">
        <f>IF(B142="","",IFERROR(IF(VLOOKUP(B142,CONFIG_ASIGNATURAS!$B$2:$F$61,5,FALSE())="Sí","Especialidad","Asignatura"),"Asignatura"))</f>
      </c>
      <c r="D142">
        <f>IF(V142="Sí",COUNTIFS(DATOS!G:G,CONFIG_METADATA!$B$4,DATOS!D:D,A142,DATOS!I:I,B142),"")</f>
        <v>0</v>
      </c>
      <c r="E142" s="14" t="str">
        <f>IF(V142="Sí",IFERROR(AVERAGEIFS(DATOS!K:K,DATOS!G:G,CONFIG_METADATA!$B$4,DATOS!D:D,A142,DATOS!I:I,B142),"—"),"")</f>
        <v>—</v>
      </c>
      <c r="F142" s="14" t="str" cm="1">
        <f t="array" ref="F142">IF(V142="Sí",IFERROR(_xlfn.STDEV.P(IF((DATOS!$G$2:$G$20000=CONFIG_METADATA!$B$4)*(DATOS!$D$2:$D$20000=A142)*(DATOS!$I$2:$I$20000=B142),DATOS!$K$2:$K$20000)),"—"),"")</f>
        <v>—</v>
      </c>
      <c r="G142" t="str" cm="1">
        <f t="array" ref="G142">IF(V142="Sí",IFERROR(_xlfn.MODE.SNGL(IF((DATOS!$G$2:$G$20000=CONFIG_METADATA!$B$4)*(DATOS!$D$2:$D$20000=A142)*(DATOS!$I$2:$I$20000=B142),DATOS!$K$2:$K$20000)),"—"),"")</f>
        <v>—</v>
      </c>
      <c r="H142" s="15" t="str">
        <f>IF(V142="Sí",IFERROR(COUNTIFS(DATOS!G:G,CONFIG_METADATA!$B$4,DATOS!D:D,A142,DATOS!I:I,B142,DATOS!L:L,"S")/COUNTIFS(DATOS!G:G,CONFIG_METADATA!$B$4,DATOS!D:D,A142,DATOS!I:I,B142),"—"),"")</f>
        <v>—</v>
      </c>
      <c r="I142" s="15" t="str">
        <f>IF(V142="Sí",IFERROR(COUNTIFS(DATOS!G:G,CONFIG_METADATA!$B$4,DATOS!D:D,A142,DATOS!I:I,B142,DATOS!L:L,"N")/COUNTIFS(DATOS!G:G,CONFIG_METADATA!$B$4,DATOS!D:D,A142,DATOS!I:I,B142),"—"),"")</f>
        <v>—</v>
      </c>
      <c r="J142" t="str" cm="1">
        <f t="array" ref="J142">IF(V142="Sí",IFERROR(_xlfn.MODE.SNGL(IF((DATOS!$G$2:$G$20000=CONFIG_METADATA!$B$4)*(DATOS!$D$2:$D$20000=A142)*(DATOS!$I$2:$I$20000=B142)*(DATOS!$L$2:$L$20000="S"),DATOS!$K$2:$K$20000)),"—"),"")</f>
        <v>—</v>
      </c>
      <c r="K142" t="str" cm="1">
        <f t="array" ref="K142">IF(V142="Sí",IFERROR(_xlfn.MODE.SNGL(IF((DATOS!$G$2:$G$20000=CONFIG_METADATA!$B$4)*(DATOS!$D$2:$D$20000=A142)*(DATOS!$I$2:$I$20000=B142)*(DATOS!$L$2:$L$20000="N"),DATOS!$K$2:$K$20000)),"—"),"")</f>
        <v>—</v>
      </c>
      <c r="L142">
        <f>IF(V142="Sí",COUNTIFS(DATOS!G:G,CONFIG_METADATA!$B$4,DATOS!D:D,A142,DATOS!I:I,B142,DATOS!K:K,1),"")</f>
        <v>0</v>
      </c>
      <c r="M142">
        <f>IF(V142="Sí",COUNTIFS(DATOS!G:G,CONFIG_METADATA!$B$4,DATOS!D:D,A142,DATOS!I:I,B142,DATOS!K:K,2),"")</f>
        <v>0</v>
      </c>
      <c r="N142">
        <f>IF(V142="Sí",COUNTIFS(DATOS!G:G,CONFIG_METADATA!$B$4,DATOS!D:D,A142,DATOS!I:I,B142,DATOS!K:K,3),"")</f>
        <v>0</v>
      </c>
      <c r="O142">
        <f>IF(V142="Sí",COUNTIFS(DATOS!G:G,CONFIG_METADATA!$B$4,DATOS!D:D,A142,DATOS!I:I,B142,DATOS!K:K,4),"")</f>
        <v>0</v>
      </c>
      <c r="P142">
        <f>IF(V142="Sí",COUNTIFS(DATOS!G:G,CONFIG_METADATA!$B$4,DATOS!D:D,A142,DATOS!I:I,B142,DATOS!K:K,5),"")</f>
        <v>0</v>
      </c>
      <c r="Q142">
        <f>IF(V142="Sí",COUNTIFS(DATOS!G:G,CONFIG_METADATA!$B$4,DATOS!D:D,A142,DATOS!I:I,B142,DATOS!K:K,6),"")</f>
        <v>0</v>
      </c>
      <c r="R142">
        <f>IF(V142="Sí",COUNTIFS(DATOS!G:G,CONFIG_METADATA!$B$4,DATOS!D:D,A142,DATOS!I:I,B142,DATOS!K:K,7),"")</f>
        <v>0</v>
      </c>
      <c r="S142">
        <f>IF(V142="Sí",COUNTIFS(DATOS!G:G,CONFIG_METADATA!$B$4,DATOS!D:D,A142,DATOS!I:I,B142,DATOS!K:K,8),"")</f>
        <v>0</v>
      </c>
      <c r="T142">
        <f>IF(V142="Sí",COUNTIFS(DATOS!G:G,CONFIG_METADATA!$B$4,DATOS!D:D,A142,DATOS!I:I,B142,DATOS!K:K,9),"")</f>
        <v>0</v>
      </c>
      <c r="U142">
        <f>IF(V142="Sí",COUNTIFS(DATOS!G:G,CONFIG_METADATA!$B$4,DATOS!D:D,A142,DATOS!I:I,B142,DATOS!K:K,10),"")</f>
        <v>0</v>
      </c>
      <c r="V142" t="str">
        <f>IFERROR(IF(ISERROR(FIND(A142,VLOOKUP(B142,CONFIG_ASIGNATURAS!B:C,2,FALSE()))),"No","Sí"),"No")</f>
        <v>Sí</v>
      </c>
    </row>
    <row r="143" spans="1:22">
      <c r="A143" s="3" t="inlineStr">
        <is>
          <t xml:space="preserve">2EEM</t>
        </is>
      </c>
      <c r="B143" s="3" cm="1">
        <f t="array" ref="B143">IFERROR(INDEX(_xlfn._xlws.FILTER(CONFIG_ASIGNATURAS!$B$2:$B$61,(CONFIG_ASIGNATURAS!$G$2:$G$61="Sí")*ISNUMBER(SEARCH("2EEM",CONFIG_ASIGNATURAS!$C$2:$C$61))),13),"")</f>
      </c>
      <c r="C143" s="3">
        <f>IF(B143="","",IFERROR(IF(VLOOKUP(B143,CONFIG_ASIGNATURAS!$B$2:$F$61,5,FALSE())="Sí","Especialidad","Asignatura"),"Asignatura"))</f>
      </c>
      <c r="D143">
        <f>IF(V143="Sí",COUNTIFS(DATOS!G:G,CONFIG_METADATA!$B$4,DATOS!D:D,A143,DATOS!I:I,B143),"")</f>
        <v>0</v>
      </c>
      <c r="E143" s="14" t="str">
        <f>IF(V143="Sí",IFERROR(AVERAGEIFS(DATOS!K:K,DATOS!G:G,CONFIG_METADATA!$B$4,DATOS!D:D,A143,DATOS!I:I,B143),"—"),"")</f>
        <v>—</v>
      </c>
      <c r="F143" s="14" t="str" cm="1">
        <f t="array" ref="F143">IF(V143="Sí",IFERROR(_xlfn.STDEV.P(IF((DATOS!$G$2:$G$20000=CONFIG_METADATA!$B$4)*(DATOS!$D$2:$D$20000=A143)*(DATOS!$I$2:$I$20000=B143),DATOS!$K$2:$K$20000)),"—"),"")</f>
        <v>—</v>
      </c>
      <c r="G143" t="str" cm="1">
        <f t="array" ref="G143">IF(V143="Sí",IFERROR(_xlfn.MODE.SNGL(IF((DATOS!$G$2:$G$20000=CONFIG_METADATA!$B$4)*(DATOS!$D$2:$D$20000=A143)*(DATOS!$I$2:$I$20000=B143),DATOS!$K$2:$K$20000)),"—"),"")</f>
        <v>—</v>
      </c>
      <c r="H143" s="15" t="str">
        <f>IF(V143="Sí",IFERROR(COUNTIFS(DATOS!G:G,CONFIG_METADATA!$B$4,DATOS!D:D,A143,DATOS!I:I,B143,DATOS!L:L,"S")/COUNTIFS(DATOS!G:G,CONFIG_METADATA!$B$4,DATOS!D:D,A143,DATOS!I:I,B143),"—"),"")</f>
        <v>—</v>
      </c>
      <c r="I143" s="15" t="str">
        <f>IF(V143="Sí",IFERROR(COUNTIFS(DATOS!G:G,CONFIG_METADATA!$B$4,DATOS!D:D,A143,DATOS!I:I,B143,DATOS!L:L,"N")/COUNTIFS(DATOS!G:G,CONFIG_METADATA!$B$4,DATOS!D:D,A143,DATOS!I:I,B143),"—"),"")</f>
        <v>—</v>
      </c>
      <c r="J143" t="str" cm="1">
        <f t="array" ref="J143">IF(V143="Sí",IFERROR(_xlfn.MODE.SNGL(IF((DATOS!$G$2:$G$20000=CONFIG_METADATA!$B$4)*(DATOS!$D$2:$D$20000=A143)*(DATOS!$I$2:$I$20000=B143)*(DATOS!$L$2:$L$20000="S"),DATOS!$K$2:$K$20000)),"—"),"")</f>
        <v>—</v>
      </c>
      <c r="K143" t="str" cm="1">
        <f t="array" ref="K143">IF(V143="Sí",IFERROR(_xlfn.MODE.SNGL(IF((DATOS!$G$2:$G$20000=CONFIG_METADATA!$B$4)*(DATOS!$D$2:$D$20000=A143)*(DATOS!$I$2:$I$20000=B143)*(DATOS!$L$2:$L$20000="N"),DATOS!$K$2:$K$20000)),"—"),"")</f>
        <v>—</v>
      </c>
      <c r="L143">
        <f>IF(V143="Sí",COUNTIFS(DATOS!G:G,CONFIG_METADATA!$B$4,DATOS!D:D,A143,DATOS!I:I,B143,DATOS!K:K,1),"")</f>
        <v>0</v>
      </c>
      <c r="M143">
        <f>IF(V143="Sí",COUNTIFS(DATOS!G:G,CONFIG_METADATA!$B$4,DATOS!D:D,A143,DATOS!I:I,B143,DATOS!K:K,2),"")</f>
        <v>0</v>
      </c>
      <c r="N143">
        <f>IF(V143="Sí",COUNTIFS(DATOS!G:G,CONFIG_METADATA!$B$4,DATOS!D:D,A143,DATOS!I:I,B143,DATOS!K:K,3),"")</f>
        <v>0</v>
      </c>
      <c r="O143">
        <f>IF(V143="Sí",COUNTIFS(DATOS!G:G,CONFIG_METADATA!$B$4,DATOS!D:D,A143,DATOS!I:I,B143,DATOS!K:K,4),"")</f>
        <v>0</v>
      </c>
      <c r="P143">
        <f>IF(V143="Sí",COUNTIFS(DATOS!G:G,CONFIG_METADATA!$B$4,DATOS!D:D,A143,DATOS!I:I,B143,DATOS!K:K,5),"")</f>
        <v>0</v>
      </c>
      <c r="Q143">
        <f>IF(V143="Sí",COUNTIFS(DATOS!G:G,CONFIG_METADATA!$B$4,DATOS!D:D,A143,DATOS!I:I,B143,DATOS!K:K,6),"")</f>
        <v>0</v>
      </c>
      <c r="R143">
        <f>IF(V143="Sí",COUNTIFS(DATOS!G:G,CONFIG_METADATA!$B$4,DATOS!D:D,A143,DATOS!I:I,B143,DATOS!K:K,7),"")</f>
        <v>0</v>
      </c>
      <c r="S143">
        <f>IF(V143="Sí",COUNTIFS(DATOS!G:G,CONFIG_METADATA!$B$4,DATOS!D:D,A143,DATOS!I:I,B143,DATOS!K:K,8),"")</f>
        <v>0</v>
      </c>
      <c r="T143">
        <f>IF(V143="Sí",COUNTIFS(DATOS!G:G,CONFIG_METADATA!$B$4,DATOS!D:D,A143,DATOS!I:I,B143,DATOS!K:K,9),"")</f>
        <v>0</v>
      </c>
      <c r="U143">
        <f>IF(V143="Sí",COUNTIFS(DATOS!G:G,CONFIG_METADATA!$B$4,DATOS!D:D,A143,DATOS!I:I,B143,DATOS!K:K,10),"")</f>
        <v>0</v>
      </c>
      <c r="V143" t="str">
        <f>IFERROR(IF(ISERROR(FIND(A143,VLOOKUP(B143,CONFIG_ASIGNATURAS!B:C,2,FALSE()))),"No","Sí"),"No")</f>
        <v>Sí</v>
      </c>
    </row>
    <row r="144" spans="1:22">
      <c r="A144" s="3" t="inlineStr">
        <is>
          <t xml:space="preserve">2EEM</t>
        </is>
      </c>
      <c r="B144" s="3" cm="1">
        <f t="array" ref="B144">IFERROR(INDEX(_xlfn._xlws.FILTER(CONFIG_ASIGNATURAS!$B$2:$B$61,(CONFIG_ASIGNATURAS!$G$2:$G$61="Sí")*ISNUMBER(SEARCH("2EEM",CONFIG_ASIGNATURAS!$C$2:$C$61))),14),"")</f>
      </c>
      <c r="C144" s="3">
        <f>IF(B144="","",IFERROR(IF(VLOOKUP(B144,CONFIG_ASIGNATURAS!$B$2:$F$61,5,FALSE())="Sí","Especialidad","Asignatura"),"Asignatura"))</f>
      </c>
      <c r="D144">
        <f>IF(V144="Sí",COUNTIFS(DATOS!G:G,CONFIG_METADATA!$B$4,DATOS!D:D,A144,DATOS!I:I,B144),"")</f>
        <v>0</v>
      </c>
      <c r="E144" s="14" t="str">
        <f>IF(V144="Sí",IFERROR(AVERAGEIFS(DATOS!K:K,DATOS!G:G,CONFIG_METADATA!$B$4,DATOS!D:D,A144,DATOS!I:I,B144),"—"),"")</f>
        <v>—</v>
      </c>
      <c r="F144" s="14" t="str" cm="1">
        <f t="array" ref="F144">IF(V144="Sí",IFERROR(_xlfn.STDEV.P(IF((DATOS!$G$2:$G$20000=CONFIG_METADATA!$B$4)*(DATOS!$D$2:$D$20000=A144)*(DATOS!$I$2:$I$20000=B144),DATOS!$K$2:$K$20000)),"—"),"")</f>
        <v>—</v>
      </c>
      <c r="G144" t="str" cm="1">
        <f t="array" ref="G144">IF(V144="Sí",IFERROR(_xlfn.MODE.SNGL(IF((DATOS!$G$2:$G$20000=CONFIG_METADATA!$B$4)*(DATOS!$D$2:$D$20000=A144)*(DATOS!$I$2:$I$20000=B144),DATOS!$K$2:$K$20000)),"—"),"")</f>
        <v>—</v>
      </c>
      <c r="H144" s="15" t="str">
        <f>IF(V144="Sí",IFERROR(COUNTIFS(DATOS!G:G,CONFIG_METADATA!$B$4,DATOS!D:D,A144,DATOS!I:I,B144,DATOS!L:L,"S")/COUNTIFS(DATOS!G:G,CONFIG_METADATA!$B$4,DATOS!D:D,A144,DATOS!I:I,B144),"—"),"")</f>
        <v>—</v>
      </c>
      <c r="I144" s="15" t="str">
        <f>IF(V144="Sí",IFERROR(COUNTIFS(DATOS!G:G,CONFIG_METADATA!$B$4,DATOS!D:D,A144,DATOS!I:I,B144,DATOS!L:L,"N")/COUNTIFS(DATOS!G:G,CONFIG_METADATA!$B$4,DATOS!D:D,A144,DATOS!I:I,B144),"—"),"")</f>
        <v>—</v>
      </c>
      <c r="J144" t="str" cm="1">
        <f t="array" ref="J144">IF(V144="Sí",IFERROR(_xlfn.MODE.SNGL(IF((DATOS!$G$2:$G$20000=CONFIG_METADATA!$B$4)*(DATOS!$D$2:$D$20000=A144)*(DATOS!$I$2:$I$20000=B144)*(DATOS!$L$2:$L$20000="S"),DATOS!$K$2:$K$20000)),"—"),"")</f>
        <v>—</v>
      </c>
      <c r="K144" t="str" cm="1">
        <f t="array" ref="K144">IF(V144="Sí",IFERROR(_xlfn.MODE.SNGL(IF((DATOS!$G$2:$G$20000=CONFIG_METADATA!$B$4)*(DATOS!$D$2:$D$20000=A144)*(DATOS!$I$2:$I$20000=B144)*(DATOS!$L$2:$L$20000="N"),DATOS!$K$2:$K$20000)),"—"),"")</f>
        <v>—</v>
      </c>
      <c r="L144">
        <f>IF(V144="Sí",COUNTIFS(DATOS!G:G,CONFIG_METADATA!$B$4,DATOS!D:D,A144,DATOS!I:I,B144,DATOS!K:K,1),"")</f>
        <v>0</v>
      </c>
      <c r="M144">
        <f>IF(V144="Sí",COUNTIFS(DATOS!G:G,CONFIG_METADATA!$B$4,DATOS!D:D,A144,DATOS!I:I,B144,DATOS!K:K,2),"")</f>
        <v>0</v>
      </c>
      <c r="N144">
        <f>IF(V144="Sí",COUNTIFS(DATOS!G:G,CONFIG_METADATA!$B$4,DATOS!D:D,A144,DATOS!I:I,B144,DATOS!K:K,3),"")</f>
        <v>0</v>
      </c>
      <c r="O144">
        <f>IF(V144="Sí",COUNTIFS(DATOS!G:G,CONFIG_METADATA!$B$4,DATOS!D:D,A144,DATOS!I:I,B144,DATOS!K:K,4),"")</f>
        <v>0</v>
      </c>
      <c r="P144">
        <f>IF(V144="Sí",COUNTIFS(DATOS!G:G,CONFIG_METADATA!$B$4,DATOS!D:D,A144,DATOS!I:I,B144,DATOS!K:K,5),"")</f>
        <v>0</v>
      </c>
      <c r="Q144">
        <f>IF(V144="Sí",COUNTIFS(DATOS!G:G,CONFIG_METADATA!$B$4,DATOS!D:D,A144,DATOS!I:I,B144,DATOS!K:K,6),"")</f>
        <v>0</v>
      </c>
      <c r="R144">
        <f>IF(V144="Sí",COUNTIFS(DATOS!G:G,CONFIG_METADATA!$B$4,DATOS!D:D,A144,DATOS!I:I,B144,DATOS!K:K,7),"")</f>
        <v>0</v>
      </c>
      <c r="S144">
        <f>IF(V144="Sí",COUNTIFS(DATOS!G:G,CONFIG_METADATA!$B$4,DATOS!D:D,A144,DATOS!I:I,B144,DATOS!K:K,8),"")</f>
        <v>0</v>
      </c>
      <c r="T144">
        <f>IF(V144="Sí",COUNTIFS(DATOS!G:G,CONFIG_METADATA!$B$4,DATOS!D:D,A144,DATOS!I:I,B144,DATOS!K:K,9),"")</f>
        <v>0</v>
      </c>
      <c r="U144">
        <f>IF(V144="Sí",COUNTIFS(DATOS!G:G,CONFIG_METADATA!$B$4,DATOS!D:D,A144,DATOS!I:I,B144,DATOS!K:K,10),"")</f>
        <v>0</v>
      </c>
      <c r="V144" t="str">
        <f>IFERROR(IF(ISERROR(FIND(A144,VLOOKUP(B144,CONFIG_ASIGNATURAS!B:C,2,FALSE()))),"No","Sí"),"No")</f>
        <v>Sí</v>
      </c>
    </row>
    <row r="145" spans="1:22">
      <c r="A145" s="3" t="inlineStr">
        <is>
          <t xml:space="preserve">2EEM</t>
        </is>
      </c>
      <c r="B145" s="3" cm="1">
        <f t="array" ref="B145">IFERROR(INDEX(_xlfn._xlws.FILTER(CONFIG_ASIGNATURAS!$B$2:$B$61,(CONFIG_ASIGNATURAS!$G$2:$G$61="Sí")*ISNUMBER(SEARCH("2EEM",CONFIG_ASIGNATURAS!$C$2:$C$61))),15),"")</f>
      </c>
      <c r="C145" s="3">
        <f>IF(B145="","",IFERROR(IF(VLOOKUP(B145,CONFIG_ASIGNATURAS!$B$2:$F$61,5,FALSE())="Sí","Especialidad","Asignatura"),"Asignatura"))</f>
      </c>
      <c r="D145">
        <f>IF(V145="Sí",COUNTIFS(DATOS!G:G,CONFIG_METADATA!$B$4,DATOS!D:D,A145,DATOS!I:I,B145),"")</f>
        <v>0</v>
      </c>
      <c r="E145" s="14" t="str">
        <f>IF(V145="Sí",IFERROR(AVERAGEIFS(DATOS!K:K,DATOS!G:G,CONFIG_METADATA!$B$4,DATOS!D:D,A145,DATOS!I:I,B145),"—"),"")</f>
        <v>—</v>
      </c>
      <c r="F145" s="14" t="str" cm="1">
        <f t="array" ref="F145">IF(V145="Sí",IFERROR(_xlfn.STDEV.P(IF((DATOS!$G$2:$G$20000=CONFIG_METADATA!$B$4)*(DATOS!$D$2:$D$20000=A145)*(DATOS!$I$2:$I$20000=B145),DATOS!$K$2:$K$20000)),"—"),"")</f>
        <v>—</v>
      </c>
      <c r="G145" t="str" cm="1">
        <f t="array" ref="G145">IF(V145="Sí",IFERROR(_xlfn.MODE.SNGL(IF((DATOS!$G$2:$G$20000=CONFIG_METADATA!$B$4)*(DATOS!$D$2:$D$20000=A145)*(DATOS!$I$2:$I$20000=B145),DATOS!$K$2:$K$20000)),"—"),"")</f>
        <v>—</v>
      </c>
      <c r="H145" s="15" t="str">
        <f>IF(V145="Sí",IFERROR(COUNTIFS(DATOS!G:G,CONFIG_METADATA!$B$4,DATOS!D:D,A145,DATOS!I:I,B145,DATOS!L:L,"S")/COUNTIFS(DATOS!G:G,CONFIG_METADATA!$B$4,DATOS!D:D,A145,DATOS!I:I,B145),"—"),"")</f>
        <v>—</v>
      </c>
      <c r="I145" s="15" t="str">
        <f>IF(V145="Sí",IFERROR(COUNTIFS(DATOS!G:G,CONFIG_METADATA!$B$4,DATOS!D:D,A145,DATOS!I:I,B145,DATOS!L:L,"N")/COUNTIFS(DATOS!G:G,CONFIG_METADATA!$B$4,DATOS!D:D,A145,DATOS!I:I,B145),"—"),"")</f>
        <v>—</v>
      </c>
      <c r="J145" t="str" cm="1">
        <f t="array" ref="J145">IF(V145="Sí",IFERROR(_xlfn.MODE.SNGL(IF((DATOS!$G$2:$G$20000=CONFIG_METADATA!$B$4)*(DATOS!$D$2:$D$20000=A145)*(DATOS!$I$2:$I$20000=B145)*(DATOS!$L$2:$L$20000="S"),DATOS!$K$2:$K$20000)),"—"),"")</f>
        <v>—</v>
      </c>
      <c r="K145" t="str" cm="1">
        <f t="array" ref="K145">IF(V145="Sí",IFERROR(_xlfn.MODE.SNGL(IF((DATOS!$G$2:$G$20000=CONFIG_METADATA!$B$4)*(DATOS!$D$2:$D$20000=A145)*(DATOS!$I$2:$I$20000=B145)*(DATOS!$L$2:$L$20000="N"),DATOS!$K$2:$K$20000)),"—"),"")</f>
        <v>—</v>
      </c>
      <c r="L145">
        <f>IF(V145="Sí",COUNTIFS(DATOS!G:G,CONFIG_METADATA!$B$4,DATOS!D:D,A145,DATOS!I:I,B145,DATOS!K:K,1),"")</f>
        <v>0</v>
      </c>
      <c r="M145">
        <f>IF(V145="Sí",COUNTIFS(DATOS!G:G,CONFIG_METADATA!$B$4,DATOS!D:D,A145,DATOS!I:I,B145,DATOS!K:K,2),"")</f>
        <v>0</v>
      </c>
      <c r="N145">
        <f>IF(V145="Sí",COUNTIFS(DATOS!G:G,CONFIG_METADATA!$B$4,DATOS!D:D,A145,DATOS!I:I,B145,DATOS!K:K,3),"")</f>
        <v>0</v>
      </c>
      <c r="O145">
        <f>IF(V145="Sí",COUNTIFS(DATOS!G:G,CONFIG_METADATA!$B$4,DATOS!D:D,A145,DATOS!I:I,B145,DATOS!K:K,4),"")</f>
        <v>0</v>
      </c>
      <c r="P145">
        <f>IF(V145="Sí",COUNTIFS(DATOS!G:G,CONFIG_METADATA!$B$4,DATOS!D:D,A145,DATOS!I:I,B145,DATOS!K:K,5),"")</f>
        <v>0</v>
      </c>
      <c r="Q145">
        <f>IF(V145="Sí",COUNTIFS(DATOS!G:G,CONFIG_METADATA!$B$4,DATOS!D:D,A145,DATOS!I:I,B145,DATOS!K:K,6),"")</f>
        <v>0</v>
      </c>
      <c r="R145">
        <f>IF(V145="Sí",COUNTIFS(DATOS!G:G,CONFIG_METADATA!$B$4,DATOS!D:D,A145,DATOS!I:I,B145,DATOS!K:K,7),"")</f>
        <v>0</v>
      </c>
      <c r="S145">
        <f>IF(V145="Sí",COUNTIFS(DATOS!G:G,CONFIG_METADATA!$B$4,DATOS!D:D,A145,DATOS!I:I,B145,DATOS!K:K,8),"")</f>
        <v>0</v>
      </c>
      <c r="T145">
        <f>IF(V145="Sí",COUNTIFS(DATOS!G:G,CONFIG_METADATA!$B$4,DATOS!D:D,A145,DATOS!I:I,B145,DATOS!K:K,9),"")</f>
        <v>0</v>
      </c>
      <c r="U145">
        <f>IF(V145="Sí",COUNTIFS(DATOS!G:G,CONFIG_METADATA!$B$4,DATOS!D:D,A145,DATOS!I:I,B145,DATOS!K:K,10),"")</f>
        <v>0</v>
      </c>
      <c r="V145" t="str">
        <f>IFERROR(IF(ISERROR(FIND(A145,VLOOKUP(B145,CONFIG_ASIGNATURAS!B:C,2,FALSE()))),"No","Sí"),"No")</f>
        <v>Sí</v>
      </c>
    </row>
    <row r="146" spans="1:22">
      <c r="A146" s="3" t="inlineStr">
        <is>
          <t xml:space="preserve">2EEM</t>
        </is>
      </c>
      <c r="B146" s="3" cm="1">
        <f t="array" ref="B146">IFERROR(INDEX(_xlfn._xlws.FILTER(CONFIG_ASIGNATURAS!$B$2:$B$61,(CONFIG_ASIGNATURAS!$G$2:$G$61="Sí")*ISNUMBER(SEARCH("2EEM",CONFIG_ASIGNATURAS!$C$2:$C$61))),16),"")</f>
      </c>
      <c r="C146" s="3">
        <f>IF(B146="","",IFERROR(IF(VLOOKUP(B146,CONFIG_ASIGNATURAS!$B$2:$F$61,5,FALSE())="Sí","Especialidad","Asignatura"),"Asignatura"))</f>
      </c>
      <c r="D146">
        <f>IF(V146="Sí",COUNTIFS(DATOS!G:G,CONFIG_METADATA!$B$4,DATOS!D:D,A146,DATOS!I:I,B146),"")</f>
        <v>0</v>
      </c>
      <c r="E146" s="14" t="str">
        <f>IF(V146="Sí",IFERROR(AVERAGEIFS(DATOS!K:K,DATOS!G:G,CONFIG_METADATA!$B$4,DATOS!D:D,A146,DATOS!I:I,B146),"—"),"")</f>
        <v>—</v>
      </c>
      <c r="F146" s="14" t="str" cm="1">
        <f t="array" ref="F146">IF(V146="Sí",IFERROR(_xlfn.STDEV.P(IF((DATOS!$G$2:$G$20000=CONFIG_METADATA!$B$4)*(DATOS!$D$2:$D$20000=A146)*(DATOS!$I$2:$I$20000=B146),DATOS!$K$2:$K$20000)),"—"),"")</f>
        <v>—</v>
      </c>
      <c r="G146" t="str" cm="1">
        <f t="array" ref="G146">IF(V146="Sí",IFERROR(_xlfn.MODE.SNGL(IF((DATOS!$G$2:$G$20000=CONFIG_METADATA!$B$4)*(DATOS!$D$2:$D$20000=A146)*(DATOS!$I$2:$I$20000=B146),DATOS!$K$2:$K$20000)),"—"),"")</f>
        <v>—</v>
      </c>
      <c r="H146" s="15" t="str">
        <f>IF(V146="Sí",IFERROR(COUNTIFS(DATOS!G:G,CONFIG_METADATA!$B$4,DATOS!D:D,A146,DATOS!I:I,B146,DATOS!L:L,"S")/COUNTIFS(DATOS!G:G,CONFIG_METADATA!$B$4,DATOS!D:D,A146,DATOS!I:I,B146),"—"),"")</f>
        <v>—</v>
      </c>
      <c r="I146" s="15" t="str">
        <f>IF(V146="Sí",IFERROR(COUNTIFS(DATOS!G:G,CONFIG_METADATA!$B$4,DATOS!D:D,A146,DATOS!I:I,B146,DATOS!L:L,"N")/COUNTIFS(DATOS!G:G,CONFIG_METADATA!$B$4,DATOS!D:D,A146,DATOS!I:I,B146),"—"),"")</f>
        <v>—</v>
      </c>
      <c r="J146" t="str" cm="1">
        <f t="array" ref="J146">IF(V146="Sí",IFERROR(_xlfn.MODE.SNGL(IF((DATOS!$G$2:$G$20000=CONFIG_METADATA!$B$4)*(DATOS!$D$2:$D$20000=A146)*(DATOS!$I$2:$I$20000=B146)*(DATOS!$L$2:$L$20000="S"),DATOS!$K$2:$K$20000)),"—"),"")</f>
        <v>—</v>
      </c>
      <c r="K146" t="str" cm="1">
        <f t="array" ref="K146">IF(V146="Sí",IFERROR(_xlfn.MODE.SNGL(IF((DATOS!$G$2:$G$20000=CONFIG_METADATA!$B$4)*(DATOS!$D$2:$D$20000=A146)*(DATOS!$I$2:$I$20000=B146)*(DATOS!$L$2:$L$20000="N"),DATOS!$K$2:$K$20000)),"—"),"")</f>
        <v>—</v>
      </c>
      <c r="L146">
        <f>IF(V146="Sí",COUNTIFS(DATOS!G:G,CONFIG_METADATA!$B$4,DATOS!D:D,A146,DATOS!I:I,B146,DATOS!K:K,1),"")</f>
        <v>0</v>
      </c>
      <c r="M146">
        <f>IF(V146="Sí",COUNTIFS(DATOS!G:G,CONFIG_METADATA!$B$4,DATOS!D:D,A146,DATOS!I:I,B146,DATOS!K:K,2),"")</f>
        <v>0</v>
      </c>
      <c r="N146">
        <f>IF(V146="Sí",COUNTIFS(DATOS!G:G,CONFIG_METADATA!$B$4,DATOS!D:D,A146,DATOS!I:I,B146,DATOS!K:K,3),"")</f>
        <v>0</v>
      </c>
      <c r="O146">
        <f>IF(V146="Sí",COUNTIFS(DATOS!G:G,CONFIG_METADATA!$B$4,DATOS!D:D,A146,DATOS!I:I,B146,DATOS!K:K,4),"")</f>
        <v>0</v>
      </c>
      <c r="P146">
        <f>IF(V146="Sí",COUNTIFS(DATOS!G:G,CONFIG_METADATA!$B$4,DATOS!D:D,A146,DATOS!I:I,B146,DATOS!K:K,5),"")</f>
        <v>0</v>
      </c>
      <c r="Q146">
        <f>IF(V146="Sí",COUNTIFS(DATOS!G:G,CONFIG_METADATA!$B$4,DATOS!D:D,A146,DATOS!I:I,B146,DATOS!K:K,6),"")</f>
        <v>0</v>
      </c>
      <c r="R146">
        <f>IF(V146="Sí",COUNTIFS(DATOS!G:G,CONFIG_METADATA!$B$4,DATOS!D:D,A146,DATOS!I:I,B146,DATOS!K:K,7),"")</f>
        <v>0</v>
      </c>
      <c r="S146">
        <f>IF(V146="Sí",COUNTIFS(DATOS!G:G,CONFIG_METADATA!$B$4,DATOS!D:D,A146,DATOS!I:I,B146,DATOS!K:K,8),"")</f>
        <v>0</v>
      </c>
      <c r="T146">
        <f>IF(V146="Sí",COUNTIFS(DATOS!G:G,CONFIG_METADATA!$B$4,DATOS!D:D,A146,DATOS!I:I,B146,DATOS!K:K,9),"")</f>
        <v>0</v>
      </c>
      <c r="U146">
        <f>IF(V146="Sí",COUNTIFS(DATOS!G:G,CONFIG_METADATA!$B$4,DATOS!D:D,A146,DATOS!I:I,B146,DATOS!K:K,10),"")</f>
        <v>0</v>
      </c>
      <c r="V146" t="str">
        <f>IFERROR(IF(ISERROR(FIND(A146,VLOOKUP(B146,CONFIG_ASIGNATURAS!B:C,2,FALSE()))),"No","Sí"),"No")</f>
        <v>Sí</v>
      </c>
    </row>
    <row r="147" spans="1:22">
      <c r="A147" s="3" t="inlineStr">
        <is>
          <t xml:space="preserve">2EEM</t>
        </is>
      </c>
      <c r="B147" s="3" cm="1">
        <f t="array" ref="B147">IFERROR(INDEX(_xlfn._xlws.FILTER(CONFIG_ASIGNATURAS!$B$2:$B$61,(CONFIG_ASIGNATURAS!$G$2:$G$61="Sí")*ISNUMBER(SEARCH("2EEM",CONFIG_ASIGNATURAS!$C$2:$C$61))),17),"")</f>
      </c>
      <c r="C147" s="3">
        <f>IF(B147="","",IFERROR(IF(VLOOKUP(B147,CONFIG_ASIGNATURAS!$B$2:$F$61,5,FALSE())="Sí","Especialidad","Asignatura"),"Asignatura"))</f>
      </c>
      <c r="D147">
        <f>IF(V147="Sí",COUNTIFS(DATOS!G:G,CONFIG_METADATA!$B$4,DATOS!D:D,A147,DATOS!I:I,B147),"")</f>
        <v>0</v>
      </c>
      <c r="E147" s="14" t="str">
        <f>IF(V147="Sí",IFERROR(AVERAGEIFS(DATOS!K:K,DATOS!G:G,CONFIG_METADATA!$B$4,DATOS!D:D,A147,DATOS!I:I,B147),"—"),"")</f>
        <v>—</v>
      </c>
      <c r="F147" s="14" t="str" cm="1">
        <f t="array" ref="F147">IF(V147="Sí",IFERROR(_xlfn.STDEV.P(IF((DATOS!$G$2:$G$20000=CONFIG_METADATA!$B$4)*(DATOS!$D$2:$D$20000=A147)*(DATOS!$I$2:$I$20000=B147),DATOS!$K$2:$K$20000)),"—"),"")</f>
        <v>—</v>
      </c>
      <c r="G147" t="str" cm="1">
        <f t="array" ref="G147">IF(V147="Sí",IFERROR(_xlfn.MODE.SNGL(IF((DATOS!$G$2:$G$20000=CONFIG_METADATA!$B$4)*(DATOS!$D$2:$D$20000=A147)*(DATOS!$I$2:$I$20000=B147),DATOS!$K$2:$K$20000)),"—"),"")</f>
        <v>—</v>
      </c>
      <c r="H147" s="15" t="str">
        <f>IF(V147="Sí",IFERROR(COUNTIFS(DATOS!G:G,CONFIG_METADATA!$B$4,DATOS!D:D,A147,DATOS!I:I,B147,DATOS!L:L,"S")/COUNTIFS(DATOS!G:G,CONFIG_METADATA!$B$4,DATOS!D:D,A147,DATOS!I:I,B147),"—"),"")</f>
        <v>—</v>
      </c>
      <c r="I147" s="15" t="str">
        <f>IF(V147="Sí",IFERROR(COUNTIFS(DATOS!G:G,CONFIG_METADATA!$B$4,DATOS!D:D,A147,DATOS!I:I,B147,DATOS!L:L,"N")/COUNTIFS(DATOS!G:G,CONFIG_METADATA!$B$4,DATOS!D:D,A147,DATOS!I:I,B147),"—"),"")</f>
        <v>—</v>
      </c>
      <c r="J147" t="str" cm="1">
        <f t="array" ref="J147">IF(V147="Sí",IFERROR(_xlfn.MODE.SNGL(IF((DATOS!$G$2:$G$20000=CONFIG_METADATA!$B$4)*(DATOS!$D$2:$D$20000=A147)*(DATOS!$I$2:$I$20000=B147)*(DATOS!$L$2:$L$20000="S"),DATOS!$K$2:$K$20000)),"—"),"")</f>
        <v>—</v>
      </c>
      <c r="K147" t="str" cm="1">
        <f t="array" ref="K147">IF(V147="Sí",IFERROR(_xlfn.MODE.SNGL(IF((DATOS!$G$2:$G$20000=CONFIG_METADATA!$B$4)*(DATOS!$D$2:$D$20000=A147)*(DATOS!$I$2:$I$20000=B147)*(DATOS!$L$2:$L$20000="N"),DATOS!$K$2:$K$20000)),"—"),"")</f>
        <v>—</v>
      </c>
      <c r="L147">
        <f>IF(V147="Sí",COUNTIFS(DATOS!G:G,CONFIG_METADATA!$B$4,DATOS!D:D,A147,DATOS!I:I,B147,DATOS!K:K,1),"")</f>
        <v>0</v>
      </c>
      <c r="M147">
        <f>IF(V147="Sí",COUNTIFS(DATOS!G:G,CONFIG_METADATA!$B$4,DATOS!D:D,A147,DATOS!I:I,B147,DATOS!K:K,2),"")</f>
        <v>0</v>
      </c>
      <c r="N147">
        <f>IF(V147="Sí",COUNTIFS(DATOS!G:G,CONFIG_METADATA!$B$4,DATOS!D:D,A147,DATOS!I:I,B147,DATOS!K:K,3),"")</f>
        <v>0</v>
      </c>
      <c r="O147">
        <f>IF(V147="Sí",COUNTIFS(DATOS!G:G,CONFIG_METADATA!$B$4,DATOS!D:D,A147,DATOS!I:I,B147,DATOS!K:K,4),"")</f>
        <v>0</v>
      </c>
      <c r="P147">
        <f>IF(V147="Sí",COUNTIFS(DATOS!G:G,CONFIG_METADATA!$B$4,DATOS!D:D,A147,DATOS!I:I,B147,DATOS!K:K,5),"")</f>
        <v>0</v>
      </c>
      <c r="Q147">
        <f>IF(V147="Sí",COUNTIFS(DATOS!G:G,CONFIG_METADATA!$B$4,DATOS!D:D,A147,DATOS!I:I,B147,DATOS!K:K,6),"")</f>
        <v>0</v>
      </c>
      <c r="R147">
        <f>IF(V147="Sí",COUNTIFS(DATOS!G:G,CONFIG_METADATA!$B$4,DATOS!D:D,A147,DATOS!I:I,B147,DATOS!K:K,7),"")</f>
        <v>0</v>
      </c>
      <c r="S147">
        <f>IF(V147="Sí",COUNTIFS(DATOS!G:G,CONFIG_METADATA!$B$4,DATOS!D:D,A147,DATOS!I:I,B147,DATOS!K:K,8),"")</f>
        <v>0</v>
      </c>
      <c r="T147">
        <f>IF(V147="Sí",COUNTIFS(DATOS!G:G,CONFIG_METADATA!$B$4,DATOS!D:D,A147,DATOS!I:I,B147,DATOS!K:K,9),"")</f>
        <v>0</v>
      </c>
      <c r="U147">
        <f>IF(V147="Sí",COUNTIFS(DATOS!G:G,CONFIG_METADATA!$B$4,DATOS!D:D,A147,DATOS!I:I,B147,DATOS!K:K,10),"")</f>
        <v>0</v>
      </c>
      <c r="V147" t="str">
        <f>IFERROR(IF(ISERROR(FIND(A147,VLOOKUP(B147,CONFIG_ASIGNATURAS!B:C,2,FALSE()))),"No","Sí"),"No")</f>
        <v>Sí</v>
      </c>
    </row>
    <row r="148" spans="1:22">
      <c r="A148" s="3" t="inlineStr">
        <is>
          <t xml:space="preserve">2EEM</t>
        </is>
      </c>
      <c r="B148" s="3" cm="1">
        <f t="array" ref="B148">IFERROR(INDEX(_xlfn._xlws.FILTER(CONFIG_ASIGNATURAS!$B$2:$B$61,(CONFIG_ASIGNATURAS!$G$2:$G$61="Sí")*ISNUMBER(SEARCH("2EEM",CONFIG_ASIGNATURAS!$C$2:$C$61))),18),"")</f>
      </c>
      <c r="C148" s="3">
        <f>IF(B148="","",IFERROR(IF(VLOOKUP(B148,CONFIG_ASIGNATURAS!$B$2:$F$61,5,FALSE())="Sí","Especialidad","Asignatura"),"Asignatura"))</f>
      </c>
      <c r="D148">
        <f>IF(V148="Sí",COUNTIFS(DATOS!G:G,CONFIG_METADATA!$B$4,DATOS!D:D,A148,DATOS!I:I,B148),"")</f>
        <v>0</v>
      </c>
      <c r="E148" s="14" t="str">
        <f>IF(V148="Sí",IFERROR(AVERAGEIFS(DATOS!K:K,DATOS!G:G,CONFIG_METADATA!$B$4,DATOS!D:D,A148,DATOS!I:I,B148),"—"),"")</f>
        <v>—</v>
      </c>
      <c r="F148" s="14" t="str" cm="1">
        <f t="array" ref="F148">IF(V148="Sí",IFERROR(_xlfn.STDEV.P(IF((DATOS!$G$2:$G$20000=CONFIG_METADATA!$B$4)*(DATOS!$D$2:$D$20000=A148)*(DATOS!$I$2:$I$20000=B148),DATOS!$K$2:$K$20000)),"—"),"")</f>
        <v>—</v>
      </c>
      <c r="G148" t="str" cm="1">
        <f t="array" ref="G148">IF(V148="Sí",IFERROR(_xlfn.MODE.SNGL(IF((DATOS!$G$2:$G$20000=CONFIG_METADATA!$B$4)*(DATOS!$D$2:$D$20000=A148)*(DATOS!$I$2:$I$20000=B148),DATOS!$K$2:$K$20000)),"—"),"")</f>
        <v>—</v>
      </c>
      <c r="H148" s="15" t="str">
        <f>IF(V148="Sí",IFERROR(COUNTIFS(DATOS!G:G,CONFIG_METADATA!$B$4,DATOS!D:D,A148,DATOS!I:I,B148,DATOS!L:L,"S")/COUNTIFS(DATOS!G:G,CONFIG_METADATA!$B$4,DATOS!D:D,A148,DATOS!I:I,B148),"—"),"")</f>
        <v>—</v>
      </c>
      <c r="I148" s="15" t="str">
        <f>IF(V148="Sí",IFERROR(COUNTIFS(DATOS!G:G,CONFIG_METADATA!$B$4,DATOS!D:D,A148,DATOS!I:I,B148,DATOS!L:L,"N")/COUNTIFS(DATOS!G:G,CONFIG_METADATA!$B$4,DATOS!D:D,A148,DATOS!I:I,B148),"—"),"")</f>
        <v>—</v>
      </c>
      <c r="J148" t="str" cm="1">
        <f t="array" ref="J148">IF(V148="Sí",IFERROR(_xlfn.MODE.SNGL(IF((DATOS!$G$2:$G$20000=CONFIG_METADATA!$B$4)*(DATOS!$D$2:$D$20000=A148)*(DATOS!$I$2:$I$20000=B148)*(DATOS!$L$2:$L$20000="S"),DATOS!$K$2:$K$20000)),"—"),"")</f>
        <v>—</v>
      </c>
      <c r="K148" t="str" cm="1">
        <f t="array" ref="K148">IF(V148="Sí",IFERROR(_xlfn.MODE.SNGL(IF((DATOS!$G$2:$G$20000=CONFIG_METADATA!$B$4)*(DATOS!$D$2:$D$20000=A148)*(DATOS!$I$2:$I$20000=B148)*(DATOS!$L$2:$L$20000="N"),DATOS!$K$2:$K$20000)),"—"),"")</f>
        <v>—</v>
      </c>
      <c r="L148">
        <f>IF(V148="Sí",COUNTIFS(DATOS!G:G,CONFIG_METADATA!$B$4,DATOS!D:D,A148,DATOS!I:I,B148,DATOS!K:K,1),"")</f>
        <v>0</v>
      </c>
      <c r="M148">
        <f>IF(V148="Sí",COUNTIFS(DATOS!G:G,CONFIG_METADATA!$B$4,DATOS!D:D,A148,DATOS!I:I,B148,DATOS!K:K,2),"")</f>
        <v>0</v>
      </c>
      <c r="N148">
        <f>IF(V148="Sí",COUNTIFS(DATOS!G:G,CONFIG_METADATA!$B$4,DATOS!D:D,A148,DATOS!I:I,B148,DATOS!K:K,3),"")</f>
        <v>0</v>
      </c>
      <c r="O148">
        <f>IF(V148="Sí",COUNTIFS(DATOS!G:G,CONFIG_METADATA!$B$4,DATOS!D:D,A148,DATOS!I:I,B148,DATOS!K:K,4),"")</f>
        <v>0</v>
      </c>
      <c r="P148">
        <f>IF(V148="Sí",COUNTIFS(DATOS!G:G,CONFIG_METADATA!$B$4,DATOS!D:D,A148,DATOS!I:I,B148,DATOS!K:K,5),"")</f>
        <v>0</v>
      </c>
      <c r="Q148">
        <f>IF(V148="Sí",COUNTIFS(DATOS!G:G,CONFIG_METADATA!$B$4,DATOS!D:D,A148,DATOS!I:I,B148,DATOS!K:K,6),"")</f>
        <v>0</v>
      </c>
      <c r="R148">
        <f>IF(V148="Sí",COUNTIFS(DATOS!G:G,CONFIG_METADATA!$B$4,DATOS!D:D,A148,DATOS!I:I,B148,DATOS!K:K,7),"")</f>
        <v>0</v>
      </c>
      <c r="S148">
        <f>IF(V148="Sí",COUNTIFS(DATOS!G:G,CONFIG_METADATA!$B$4,DATOS!D:D,A148,DATOS!I:I,B148,DATOS!K:K,8),"")</f>
        <v>0</v>
      </c>
      <c r="T148">
        <f>IF(V148="Sí",COUNTIFS(DATOS!G:G,CONFIG_METADATA!$B$4,DATOS!D:D,A148,DATOS!I:I,B148,DATOS!K:K,9),"")</f>
        <v>0</v>
      </c>
      <c r="U148">
        <f>IF(V148="Sí",COUNTIFS(DATOS!G:G,CONFIG_METADATA!$B$4,DATOS!D:D,A148,DATOS!I:I,B148,DATOS!K:K,10),"")</f>
        <v>0</v>
      </c>
      <c r="V148" t="str">
        <f>IFERROR(IF(ISERROR(FIND(A148,VLOOKUP(B148,CONFIG_ASIGNATURAS!B:C,2,FALSE()))),"No","Sí"),"No")</f>
        <v>Sí</v>
      </c>
    </row>
    <row r="149" spans="1:22">
      <c r="A149" s="3" t="inlineStr">
        <is>
          <t xml:space="preserve">2EEM</t>
        </is>
      </c>
      <c r="B149" s="3" cm="1">
        <f t="array" ref="B149">IFERROR(INDEX(_xlfn._xlws.FILTER(CONFIG_ASIGNATURAS!$B$2:$B$61,(CONFIG_ASIGNATURAS!$G$2:$G$61="Sí")*ISNUMBER(SEARCH("2EEM",CONFIG_ASIGNATURAS!$C$2:$C$61))),19),"")</f>
      </c>
      <c r="C149" s="3">
        <f>IF(B149="","",IFERROR(IF(VLOOKUP(B149,CONFIG_ASIGNATURAS!$B$2:$F$61,5,FALSE())="Sí","Especialidad","Asignatura"),"Asignatura"))</f>
      </c>
      <c r="D149">
        <f>IF(V149="Sí",COUNTIFS(DATOS!G:G,CONFIG_METADATA!$B$4,DATOS!D:D,A149,DATOS!I:I,B149),"")</f>
        <v>0</v>
      </c>
      <c r="E149" s="14" t="str">
        <f>IF(V149="Sí",IFERROR(AVERAGEIFS(DATOS!K:K,DATOS!G:G,CONFIG_METADATA!$B$4,DATOS!D:D,A149,DATOS!I:I,B149),"—"),"")</f>
        <v>—</v>
      </c>
      <c r="F149" s="14" t="str" cm="1">
        <f t="array" ref="F149">IF(V149="Sí",IFERROR(_xlfn.STDEV.P(IF((DATOS!$G$2:$G$20000=CONFIG_METADATA!$B$4)*(DATOS!$D$2:$D$20000=A149)*(DATOS!$I$2:$I$20000=B149),DATOS!$K$2:$K$20000)),"—"),"")</f>
        <v>—</v>
      </c>
      <c r="G149" t="str" cm="1">
        <f t="array" ref="G149">IF(V149="Sí",IFERROR(_xlfn.MODE.SNGL(IF((DATOS!$G$2:$G$20000=CONFIG_METADATA!$B$4)*(DATOS!$D$2:$D$20000=A149)*(DATOS!$I$2:$I$20000=B149),DATOS!$K$2:$K$20000)),"—"),"")</f>
        <v>—</v>
      </c>
      <c r="H149" s="15" t="str">
        <f>IF(V149="Sí",IFERROR(COUNTIFS(DATOS!G:G,CONFIG_METADATA!$B$4,DATOS!D:D,A149,DATOS!I:I,B149,DATOS!L:L,"S")/COUNTIFS(DATOS!G:G,CONFIG_METADATA!$B$4,DATOS!D:D,A149,DATOS!I:I,B149),"—"),"")</f>
        <v>—</v>
      </c>
      <c r="I149" s="15" t="str">
        <f>IF(V149="Sí",IFERROR(COUNTIFS(DATOS!G:G,CONFIG_METADATA!$B$4,DATOS!D:D,A149,DATOS!I:I,B149,DATOS!L:L,"N")/COUNTIFS(DATOS!G:G,CONFIG_METADATA!$B$4,DATOS!D:D,A149,DATOS!I:I,B149),"—"),"")</f>
        <v>—</v>
      </c>
      <c r="J149" t="str" cm="1">
        <f t="array" ref="J149">IF(V149="Sí",IFERROR(_xlfn.MODE.SNGL(IF((DATOS!$G$2:$G$20000=CONFIG_METADATA!$B$4)*(DATOS!$D$2:$D$20000=A149)*(DATOS!$I$2:$I$20000=B149)*(DATOS!$L$2:$L$20000="S"),DATOS!$K$2:$K$20000)),"—"),"")</f>
        <v>—</v>
      </c>
      <c r="K149" t="str" cm="1">
        <f t="array" ref="K149">IF(V149="Sí",IFERROR(_xlfn.MODE.SNGL(IF((DATOS!$G$2:$G$20000=CONFIG_METADATA!$B$4)*(DATOS!$D$2:$D$20000=A149)*(DATOS!$I$2:$I$20000=B149)*(DATOS!$L$2:$L$20000="N"),DATOS!$K$2:$K$20000)),"—"),"")</f>
        <v>—</v>
      </c>
      <c r="L149">
        <f>IF(V149="Sí",COUNTIFS(DATOS!G:G,CONFIG_METADATA!$B$4,DATOS!D:D,A149,DATOS!I:I,B149,DATOS!K:K,1),"")</f>
        <v>0</v>
      </c>
      <c r="M149">
        <f>IF(V149="Sí",COUNTIFS(DATOS!G:G,CONFIG_METADATA!$B$4,DATOS!D:D,A149,DATOS!I:I,B149,DATOS!K:K,2),"")</f>
        <v>0</v>
      </c>
      <c r="N149">
        <f>IF(V149="Sí",COUNTIFS(DATOS!G:G,CONFIG_METADATA!$B$4,DATOS!D:D,A149,DATOS!I:I,B149,DATOS!K:K,3),"")</f>
        <v>0</v>
      </c>
      <c r="O149">
        <f>IF(V149="Sí",COUNTIFS(DATOS!G:G,CONFIG_METADATA!$B$4,DATOS!D:D,A149,DATOS!I:I,B149,DATOS!K:K,4),"")</f>
        <v>0</v>
      </c>
      <c r="P149">
        <f>IF(V149="Sí",COUNTIFS(DATOS!G:G,CONFIG_METADATA!$B$4,DATOS!D:D,A149,DATOS!I:I,B149,DATOS!K:K,5),"")</f>
        <v>0</v>
      </c>
      <c r="Q149">
        <f>IF(V149="Sí",COUNTIFS(DATOS!G:G,CONFIG_METADATA!$B$4,DATOS!D:D,A149,DATOS!I:I,B149,DATOS!K:K,6),"")</f>
        <v>0</v>
      </c>
      <c r="R149">
        <f>IF(V149="Sí",COUNTIFS(DATOS!G:G,CONFIG_METADATA!$B$4,DATOS!D:D,A149,DATOS!I:I,B149,DATOS!K:K,7),"")</f>
        <v>0</v>
      </c>
      <c r="S149">
        <f>IF(V149="Sí",COUNTIFS(DATOS!G:G,CONFIG_METADATA!$B$4,DATOS!D:D,A149,DATOS!I:I,B149,DATOS!K:K,8),"")</f>
        <v>0</v>
      </c>
      <c r="T149">
        <f>IF(V149="Sí",COUNTIFS(DATOS!G:G,CONFIG_METADATA!$B$4,DATOS!D:D,A149,DATOS!I:I,B149,DATOS!K:K,9),"")</f>
        <v>0</v>
      </c>
      <c r="U149">
        <f>IF(V149="Sí",COUNTIFS(DATOS!G:G,CONFIG_METADATA!$B$4,DATOS!D:D,A149,DATOS!I:I,B149,DATOS!K:K,10),"")</f>
        <v>0</v>
      </c>
      <c r="V149" t="str">
        <f>IFERROR(IF(ISERROR(FIND(A149,VLOOKUP(B149,CONFIG_ASIGNATURAS!B:C,2,FALSE()))),"No","Sí"),"No")</f>
        <v>Sí</v>
      </c>
    </row>
    <row r="150" spans="1:22">
      <c r="A150" s="3" t="inlineStr">
        <is>
          <t xml:space="preserve">2EEM</t>
        </is>
      </c>
      <c r="B150" s="3" cm="1">
        <f t="array" ref="B150">IFERROR(INDEX(_xlfn._xlws.FILTER(CONFIG_ASIGNATURAS!$B$2:$B$61,(CONFIG_ASIGNATURAS!$G$2:$G$61="Sí")*ISNUMBER(SEARCH("2EEM",CONFIG_ASIGNATURAS!$C$2:$C$61))),20),"")</f>
      </c>
      <c r="C150" s="3">
        <f>IF(B150="","",IFERROR(IF(VLOOKUP(B150,CONFIG_ASIGNATURAS!$B$2:$F$61,5,FALSE())="Sí","Especialidad","Asignatura"),"Asignatura"))</f>
      </c>
      <c r="D150">
        <f>IF(V150="Sí",COUNTIFS(DATOS!G:G,CONFIG_METADATA!$B$4,DATOS!D:D,A150,DATOS!I:I,B150),"")</f>
        <v>0</v>
      </c>
      <c r="E150" s="14" t="str">
        <f>IF(V150="Sí",IFERROR(AVERAGEIFS(DATOS!K:K,DATOS!G:G,CONFIG_METADATA!$B$4,DATOS!D:D,A150,DATOS!I:I,B150),"—"),"")</f>
        <v>—</v>
      </c>
      <c r="F150" s="14" t="str" cm="1">
        <f t="array" ref="F150">IF(V150="Sí",IFERROR(_xlfn.STDEV.P(IF((DATOS!$G$2:$G$20000=CONFIG_METADATA!$B$4)*(DATOS!$D$2:$D$20000=A150)*(DATOS!$I$2:$I$20000=B150),DATOS!$K$2:$K$20000)),"—"),"")</f>
        <v>—</v>
      </c>
      <c r="G150" t="str" cm="1">
        <f t="array" ref="G150">IF(V150="Sí",IFERROR(_xlfn.MODE.SNGL(IF((DATOS!$G$2:$G$20000=CONFIG_METADATA!$B$4)*(DATOS!$D$2:$D$20000=A150)*(DATOS!$I$2:$I$20000=B150),DATOS!$K$2:$K$20000)),"—"),"")</f>
        <v>—</v>
      </c>
      <c r="H150" s="15" t="str">
        <f>IF(V150="Sí",IFERROR(COUNTIFS(DATOS!G:G,CONFIG_METADATA!$B$4,DATOS!D:D,A150,DATOS!I:I,B150,DATOS!L:L,"S")/COUNTIFS(DATOS!G:G,CONFIG_METADATA!$B$4,DATOS!D:D,A150,DATOS!I:I,B150),"—"),"")</f>
        <v>—</v>
      </c>
      <c r="I150" s="15" t="str">
        <f>IF(V150="Sí",IFERROR(COUNTIFS(DATOS!G:G,CONFIG_METADATA!$B$4,DATOS!D:D,A150,DATOS!I:I,B150,DATOS!L:L,"N")/COUNTIFS(DATOS!G:G,CONFIG_METADATA!$B$4,DATOS!D:D,A150,DATOS!I:I,B150),"—"),"")</f>
        <v>—</v>
      </c>
      <c r="J150" t="str" cm="1">
        <f t="array" ref="J150">IF(V150="Sí",IFERROR(_xlfn.MODE.SNGL(IF((DATOS!$G$2:$G$20000=CONFIG_METADATA!$B$4)*(DATOS!$D$2:$D$20000=A150)*(DATOS!$I$2:$I$20000=B150)*(DATOS!$L$2:$L$20000="S"),DATOS!$K$2:$K$20000)),"—"),"")</f>
        <v>—</v>
      </c>
      <c r="K150" t="str" cm="1">
        <f t="array" ref="K150">IF(V150="Sí",IFERROR(_xlfn.MODE.SNGL(IF((DATOS!$G$2:$G$20000=CONFIG_METADATA!$B$4)*(DATOS!$D$2:$D$20000=A150)*(DATOS!$I$2:$I$20000=B150)*(DATOS!$L$2:$L$20000="N"),DATOS!$K$2:$K$20000)),"—"),"")</f>
        <v>—</v>
      </c>
      <c r="L150">
        <f>IF(V150="Sí",COUNTIFS(DATOS!G:G,CONFIG_METADATA!$B$4,DATOS!D:D,A150,DATOS!I:I,B150,DATOS!K:K,1),"")</f>
        <v>0</v>
      </c>
      <c r="M150">
        <f>IF(V150="Sí",COUNTIFS(DATOS!G:G,CONFIG_METADATA!$B$4,DATOS!D:D,A150,DATOS!I:I,B150,DATOS!K:K,2),"")</f>
        <v>0</v>
      </c>
      <c r="N150">
        <f>IF(V150="Sí",COUNTIFS(DATOS!G:G,CONFIG_METADATA!$B$4,DATOS!D:D,A150,DATOS!I:I,B150,DATOS!K:K,3),"")</f>
        <v>0</v>
      </c>
      <c r="O150">
        <f>IF(V150="Sí",COUNTIFS(DATOS!G:G,CONFIG_METADATA!$B$4,DATOS!D:D,A150,DATOS!I:I,B150,DATOS!K:K,4),"")</f>
        <v>0</v>
      </c>
      <c r="P150">
        <f>IF(V150="Sí",COUNTIFS(DATOS!G:G,CONFIG_METADATA!$B$4,DATOS!D:D,A150,DATOS!I:I,B150,DATOS!K:K,5),"")</f>
        <v>0</v>
      </c>
      <c r="Q150">
        <f>IF(V150="Sí",COUNTIFS(DATOS!G:G,CONFIG_METADATA!$B$4,DATOS!D:D,A150,DATOS!I:I,B150,DATOS!K:K,6),"")</f>
        <v>0</v>
      </c>
      <c r="R150">
        <f>IF(V150="Sí",COUNTIFS(DATOS!G:G,CONFIG_METADATA!$B$4,DATOS!D:D,A150,DATOS!I:I,B150,DATOS!K:K,7),"")</f>
        <v>0</v>
      </c>
      <c r="S150">
        <f>IF(V150="Sí",COUNTIFS(DATOS!G:G,CONFIG_METADATA!$B$4,DATOS!D:D,A150,DATOS!I:I,B150,DATOS!K:K,8),"")</f>
        <v>0</v>
      </c>
      <c r="T150">
        <f>IF(V150="Sí",COUNTIFS(DATOS!G:G,CONFIG_METADATA!$B$4,DATOS!D:D,A150,DATOS!I:I,B150,DATOS!K:K,9),"")</f>
        <v>0</v>
      </c>
      <c r="U150">
        <f>IF(V150="Sí",COUNTIFS(DATOS!G:G,CONFIG_METADATA!$B$4,DATOS!D:D,A150,DATOS!I:I,B150,DATOS!K:K,10),"")</f>
        <v>0</v>
      </c>
      <c r="V150" t="str">
        <f>IFERROR(IF(ISERROR(FIND(A150,VLOOKUP(B150,CONFIG_ASIGNATURAS!B:C,2,FALSE()))),"No","Sí"),"No")</f>
        <v>Sí</v>
      </c>
    </row>
    <row r="151" spans="1:22">
      <c r="A151" s="3" t="inlineStr">
        <is>
          <t xml:space="preserve">2EEM</t>
        </is>
      </c>
      <c r="B151" s="3" cm="1">
        <f t="array" ref="B151">IFERROR(INDEX(_xlfn._xlws.FILTER(CONFIG_ASIGNATURAS!$B$2:$B$61,(CONFIG_ASIGNATURAS!$G$2:$G$61="Sí")*ISNUMBER(SEARCH("2EEM",CONFIG_ASIGNATURAS!$C$2:$C$61))),21),"")</f>
      </c>
      <c r="C151" s="3">
        <f>IF(B151="","",IFERROR(IF(VLOOKUP(B151,CONFIG_ASIGNATURAS!$B$2:$F$61,5,FALSE())="Sí","Especialidad","Asignatura"),"Asignatura"))</f>
      </c>
      <c r="D151">
        <f>IF(V151="Sí",COUNTIFS(DATOS!G:G,CONFIG_METADATA!$B$4,DATOS!D:D,A151,DATOS!I:I,B151),"")</f>
        <v>0</v>
      </c>
      <c r="E151" s="14" t="str">
        <f>IF(V151="Sí",IFERROR(AVERAGEIFS(DATOS!K:K,DATOS!G:G,CONFIG_METADATA!$B$4,DATOS!D:D,A151,DATOS!I:I,B151),"—"),"")</f>
        <v>—</v>
      </c>
      <c r="F151" s="14" t="str" cm="1">
        <f t="array" ref="F151">IF(V151="Sí",IFERROR(_xlfn.STDEV.P(IF((DATOS!$G$2:$G$20000=CONFIG_METADATA!$B$4)*(DATOS!$D$2:$D$20000=A151)*(DATOS!$I$2:$I$20000=B151),DATOS!$K$2:$K$20000)),"—"),"")</f>
        <v>—</v>
      </c>
      <c r="G151" t="str" cm="1">
        <f t="array" ref="G151">IF(V151="Sí",IFERROR(_xlfn.MODE.SNGL(IF((DATOS!$G$2:$G$20000=CONFIG_METADATA!$B$4)*(DATOS!$D$2:$D$20000=A151)*(DATOS!$I$2:$I$20000=B151),DATOS!$K$2:$K$20000)),"—"),"")</f>
        <v>—</v>
      </c>
      <c r="H151" s="15" t="str">
        <f>IF(V151="Sí",IFERROR(COUNTIFS(DATOS!G:G,CONFIG_METADATA!$B$4,DATOS!D:D,A151,DATOS!I:I,B151,DATOS!L:L,"S")/COUNTIFS(DATOS!G:G,CONFIG_METADATA!$B$4,DATOS!D:D,A151,DATOS!I:I,B151),"—"),"")</f>
        <v>—</v>
      </c>
      <c r="I151" s="15" t="str">
        <f>IF(V151="Sí",IFERROR(COUNTIFS(DATOS!G:G,CONFIG_METADATA!$B$4,DATOS!D:D,A151,DATOS!I:I,B151,DATOS!L:L,"N")/COUNTIFS(DATOS!G:G,CONFIG_METADATA!$B$4,DATOS!D:D,A151,DATOS!I:I,B151),"—"),"")</f>
        <v>—</v>
      </c>
      <c r="J151" t="str" cm="1">
        <f t="array" ref="J151">IF(V151="Sí",IFERROR(_xlfn.MODE.SNGL(IF((DATOS!$G$2:$G$20000=CONFIG_METADATA!$B$4)*(DATOS!$D$2:$D$20000=A151)*(DATOS!$I$2:$I$20000=B151)*(DATOS!$L$2:$L$20000="S"),DATOS!$K$2:$K$20000)),"—"),"")</f>
        <v>—</v>
      </c>
      <c r="K151" t="str" cm="1">
        <f t="array" ref="K151">IF(V151="Sí",IFERROR(_xlfn.MODE.SNGL(IF((DATOS!$G$2:$G$20000=CONFIG_METADATA!$B$4)*(DATOS!$D$2:$D$20000=A151)*(DATOS!$I$2:$I$20000=B151)*(DATOS!$L$2:$L$20000="N"),DATOS!$K$2:$K$20000)),"—"),"")</f>
        <v>—</v>
      </c>
      <c r="L151">
        <f>IF(V151="Sí",COUNTIFS(DATOS!G:G,CONFIG_METADATA!$B$4,DATOS!D:D,A151,DATOS!I:I,B151,DATOS!K:K,1),"")</f>
        <v>0</v>
      </c>
      <c r="M151">
        <f>IF(V151="Sí",COUNTIFS(DATOS!G:G,CONFIG_METADATA!$B$4,DATOS!D:D,A151,DATOS!I:I,B151,DATOS!K:K,2),"")</f>
        <v>0</v>
      </c>
      <c r="N151">
        <f>IF(V151="Sí",COUNTIFS(DATOS!G:G,CONFIG_METADATA!$B$4,DATOS!D:D,A151,DATOS!I:I,B151,DATOS!K:K,3),"")</f>
        <v>0</v>
      </c>
      <c r="O151">
        <f>IF(V151="Sí",COUNTIFS(DATOS!G:G,CONFIG_METADATA!$B$4,DATOS!D:D,A151,DATOS!I:I,B151,DATOS!K:K,4),"")</f>
        <v>0</v>
      </c>
      <c r="P151">
        <f>IF(V151="Sí",COUNTIFS(DATOS!G:G,CONFIG_METADATA!$B$4,DATOS!D:D,A151,DATOS!I:I,B151,DATOS!K:K,5),"")</f>
        <v>0</v>
      </c>
      <c r="Q151">
        <f>IF(V151="Sí",COUNTIFS(DATOS!G:G,CONFIG_METADATA!$B$4,DATOS!D:D,A151,DATOS!I:I,B151,DATOS!K:K,6),"")</f>
        <v>0</v>
      </c>
      <c r="R151">
        <f>IF(V151="Sí",COUNTIFS(DATOS!G:G,CONFIG_METADATA!$B$4,DATOS!D:D,A151,DATOS!I:I,B151,DATOS!K:K,7),"")</f>
        <v>0</v>
      </c>
      <c r="S151">
        <f>IF(V151="Sí",COUNTIFS(DATOS!G:G,CONFIG_METADATA!$B$4,DATOS!D:D,A151,DATOS!I:I,B151,DATOS!K:K,8),"")</f>
        <v>0</v>
      </c>
      <c r="T151">
        <f>IF(V151="Sí",COUNTIFS(DATOS!G:G,CONFIG_METADATA!$B$4,DATOS!D:D,A151,DATOS!I:I,B151,DATOS!K:K,9),"")</f>
        <v>0</v>
      </c>
      <c r="U151">
        <f>IF(V151="Sí",COUNTIFS(DATOS!G:G,CONFIG_METADATA!$B$4,DATOS!D:D,A151,DATOS!I:I,B151,DATOS!K:K,10),"")</f>
        <v>0</v>
      </c>
      <c r="V151" t="str">
        <f>IFERROR(IF(ISERROR(FIND(A151,VLOOKUP(B151,CONFIG_ASIGNATURAS!B:C,2,FALSE()))),"No","Sí"),"No")</f>
        <v>Sí</v>
      </c>
    </row>
    <row r="152" spans="1:22">
      <c r="A152" s="3" t="inlineStr">
        <is>
          <t xml:space="preserve">2EEM</t>
        </is>
      </c>
      <c r="B152" s="3" cm="1">
        <f t="array" ref="B152">IFERROR(INDEX(_xlfn._xlws.FILTER(CONFIG_ASIGNATURAS!$B$2:$B$61,(CONFIG_ASIGNATURAS!$G$2:$G$61="Sí")*ISNUMBER(SEARCH("2EEM",CONFIG_ASIGNATURAS!$C$2:$C$61))),22),"")</f>
      </c>
      <c r="C152" s="3">
        <f>IF(B152="","",IFERROR(IF(VLOOKUP(B152,CONFIG_ASIGNATURAS!$B$2:$F$61,5,FALSE())="Sí","Especialidad","Asignatura"),"Asignatura"))</f>
      </c>
      <c r="D152">
        <f>IF(V152="Sí",COUNTIFS(DATOS!G:G,CONFIG_METADATA!$B$4,DATOS!D:D,A152,DATOS!I:I,B152),"")</f>
        <v>0</v>
      </c>
      <c r="E152" s="14" t="str">
        <f>IF(V152="Sí",IFERROR(AVERAGEIFS(DATOS!K:K,DATOS!G:G,CONFIG_METADATA!$B$4,DATOS!D:D,A152,DATOS!I:I,B152),"—"),"")</f>
        <v>—</v>
      </c>
      <c r="F152" s="14" t="str" cm="1">
        <f t="array" ref="F152">IF(V152="Sí",IFERROR(_xlfn.STDEV.P(IF((DATOS!$G$2:$G$20000=CONFIG_METADATA!$B$4)*(DATOS!$D$2:$D$20000=A152)*(DATOS!$I$2:$I$20000=B152),DATOS!$K$2:$K$20000)),"—"),"")</f>
        <v>—</v>
      </c>
      <c r="G152" t="str" cm="1">
        <f t="array" ref="G152">IF(V152="Sí",IFERROR(_xlfn.MODE.SNGL(IF((DATOS!$G$2:$G$20000=CONFIG_METADATA!$B$4)*(DATOS!$D$2:$D$20000=A152)*(DATOS!$I$2:$I$20000=B152),DATOS!$K$2:$K$20000)),"—"),"")</f>
        <v>—</v>
      </c>
      <c r="H152" s="15" t="str">
        <f>IF(V152="Sí",IFERROR(COUNTIFS(DATOS!G:G,CONFIG_METADATA!$B$4,DATOS!D:D,A152,DATOS!I:I,B152,DATOS!L:L,"S")/COUNTIFS(DATOS!G:G,CONFIG_METADATA!$B$4,DATOS!D:D,A152,DATOS!I:I,B152),"—"),"")</f>
        <v>—</v>
      </c>
      <c r="I152" s="15" t="str">
        <f>IF(V152="Sí",IFERROR(COUNTIFS(DATOS!G:G,CONFIG_METADATA!$B$4,DATOS!D:D,A152,DATOS!I:I,B152,DATOS!L:L,"N")/COUNTIFS(DATOS!G:G,CONFIG_METADATA!$B$4,DATOS!D:D,A152,DATOS!I:I,B152),"—"),"")</f>
        <v>—</v>
      </c>
      <c r="J152" t="str" cm="1">
        <f t="array" ref="J152">IF(V152="Sí",IFERROR(_xlfn.MODE.SNGL(IF((DATOS!$G$2:$G$20000=CONFIG_METADATA!$B$4)*(DATOS!$D$2:$D$20000=A152)*(DATOS!$I$2:$I$20000=B152)*(DATOS!$L$2:$L$20000="S"),DATOS!$K$2:$K$20000)),"—"),"")</f>
        <v>—</v>
      </c>
      <c r="K152" t="str" cm="1">
        <f t="array" ref="K152">IF(V152="Sí",IFERROR(_xlfn.MODE.SNGL(IF((DATOS!$G$2:$G$20000=CONFIG_METADATA!$B$4)*(DATOS!$D$2:$D$20000=A152)*(DATOS!$I$2:$I$20000=B152)*(DATOS!$L$2:$L$20000="N"),DATOS!$K$2:$K$20000)),"—"),"")</f>
        <v>—</v>
      </c>
      <c r="L152">
        <f>IF(V152="Sí",COUNTIFS(DATOS!G:G,CONFIG_METADATA!$B$4,DATOS!D:D,A152,DATOS!I:I,B152,DATOS!K:K,1),"")</f>
        <v>0</v>
      </c>
      <c r="M152">
        <f>IF(V152="Sí",COUNTIFS(DATOS!G:G,CONFIG_METADATA!$B$4,DATOS!D:D,A152,DATOS!I:I,B152,DATOS!K:K,2),"")</f>
        <v>0</v>
      </c>
      <c r="N152">
        <f>IF(V152="Sí",COUNTIFS(DATOS!G:G,CONFIG_METADATA!$B$4,DATOS!D:D,A152,DATOS!I:I,B152,DATOS!K:K,3),"")</f>
        <v>0</v>
      </c>
      <c r="O152">
        <f>IF(V152="Sí",COUNTIFS(DATOS!G:G,CONFIG_METADATA!$B$4,DATOS!D:D,A152,DATOS!I:I,B152,DATOS!K:K,4),"")</f>
        <v>0</v>
      </c>
      <c r="P152">
        <f>IF(V152="Sí",COUNTIFS(DATOS!G:G,CONFIG_METADATA!$B$4,DATOS!D:D,A152,DATOS!I:I,B152,DATOS!K:K,5),"")</f>
        <v>0</v>
      </c>
      <c r="Q152">
        <f>IF(V152="Sí",COUNTIFS(DATOS!G:G,CONFIG_METADATA!$B$4,DATOS!D:D,A152,DATOS!I:I,B152,DATOS!K:K,6),"")</f>
        <v>0</v>
      </c>
      <c r="R152">
        <f>IF(V152="Sí",COUNTIFS(DATOS!G:G,CONFIG_METADATA!$B$4,DATOS!D:D,A152,DATOS!I:I,B152,DATOS!K:K,7),"")</f>
        <v>0</v>
      </c>
      <c r="S152">
        <f>IF(V152="Sí",COUNTIFS(DATOS!G:G,CONFIG_METADATA!$B$4,DATOS!D:D,A152,DATOS!I:I,B152,DATOS!K:K,8),"")</f>
        <v>0</v>
      </c>
      <c r="T152">
        <f>IF(V152="Sí",COUNTIFS(DATOS!G:G,CONFIG_METADATA!$B$4,DATOS!D:D,A152,DATOS!I:I,B152,DATOS!K:K,9),"")</f>
        <v>0</v>
      </c>
      <c r="U152">
        <f>IF(V152="Sí",COUNTIFS(DATOS!G:G,CONFIG_METADATA!$B$4,DATOS!D:D,A152,DATOS!I:I,B152,DATOS!K:K,10),"")</f>
        <v>0</v>
      </c>
      <c r="V152" t="str">
        <f>IFERROR(IF(ISERROR(FIND(A152,VLOOKUP(B152,CONFIG_ASIGNATURAS!B:C,2,FALSE()))),"No","Sí"),"No")</f>
        <v>Sí</v>
      </c>
    </row>
    <row r="153" spans="1:22">
      <c r="A153" s="3" t="inlineStr">
        <is>
          <t xml:space="preserve">2EEM</t>
        </is>
      </c>
      <c r="B153" s="3" cm="1">
        <f t="array" ref="B153">IFERROR(INDEX(_xlfn._xlws.FILTER(CONFIG_ASIGNATURAS!$B$2:$B$61,(CONFIG_ASIGNATURAS!$G$2:$G$61="Sí")*ISNUMBER(SEARCH("2EEM",CONFIG_ASIGNATURAS!$C$2:$C$61))),23),"")</f>
      </c>
      <c r="C153" s="3">
        <f>IF(B153="","",IFERROR(IF(VLOOKUP(B153,CONFIG_ASIGNATURAS!$B$2:$F$61,5,FALSE())="Sí","Especialidad","Asignatura"),"Asignatura"))</f>
      </c>
      <c r="D153">
        <f>IF(V153="Sí",COUNTIFS(DATOS!G:G,CONFIG_METADATA!$B$4,DATOS!D:D,A153,DATOS!I:I,B153),"")</f>
        <v>0</v>
      </c>
      <c r="E153" s="14" t="str">
        <f>IF(V153="Sí",IFERROR(AVERAGEIFS(DATOS!K:K,DATOS!G:G,CONFIG_METADATA!$B$4,DATOS!D:D,A153,DATOS!I:I,B153),"—"),"")</f>
        <v>—</v>
      </c>
      <c r="F153" s="14" t="str" cm="1">
        <f t="array" ref="F153">IF(V153="Sí",IFERROR(_xlfn.STDEV.P(IF((DATOS!$G$2:$G$20000=CONFIG_METADATA!$B$4)*(DATOS!$D$2:$D$20000=A153)*(DATOS!$I$2:$I$20000=B153),DATOS!$K$2:$K$20000)),"—"),"")</f>
        <v>—</v>
      </c>
      <c r="G153" t="str" cm="1">
        <f t="array" ref="G153">IF(V153="Sí",IFERROR(_xlfn.MODE.SNGL(IF((DATOS!$G$2:$G$20000=CONFIG_METADATA!$B$4)*(DATOS!$D$2:$D$20000=A153)*(DATOS!$I$2:$I$20000=B153),DATOS!$K$2:$K$20000)),"—"),"")</f>
        <v>—</v>
      </c>
      <c r="H153" s="15" t="str">
        <f>IF(V153="Sí",IFERROR(COUNTIFS(DATOS!G:G,CONFIG_METADATA!$B$4,DATOS!D:D,A153,DATOS!I:I,B153,DATOS!L:L,"S")/COUNTIFS(DATOS!G:G,CONFIG_METADATA!$B$4,DATOS!D:D,A153,DATOS!I:I,B153),"—"),"")</f>
        <v>—</v>
      </c>
      <c r="I153" s="15" t="str">
        <f>IF(V153="Sí",IFERROR(COUNTIFS(DATOS!G:G,CONFIG_METADATA!$B$4,DATOS!D:D,A153,DATOS!I:I,B153,DATOS!L:L,"N")/COUNTIFS(DATOS!G:G,CONFIG_METADATA!$B$4,DATOS!D:D,A153,DATOS!I:I,B153),"—"),"")</f>
        <v>—</v>
      </c>
      <c r="J153" t="str" cm="1">
        <f t="array" ref="J153">IF(V153="Sí",IFERROR(_xlfn.MODE.SNGL(IF((DATOS!$G$2:$G$20000=CONFIG_METADATA!$B$4)*(DATOS!$D$2:$D$20000=A153)*(DATOS!$I$2:$I$20000=B153)*(DATOS!$L$2:$L$20000="S"),DATOS!$K$2:$K$20000)),"—"),"")</f>
        <v>—</v>
      </c>
      <c r="K153" t="str" cm="1">
        <f t="array" ref="K153">IF(V153="Sí",IFERROR(_xlfn.MODE.SNGL(IF((DATOS!$G$2:$G$20000=CONFIG_METADATA!$B$4)*(DATOS!$D$2:$D$20000=A153)*(DATOS!$I$2:$I$20000=B153)*(DATOS!$L$2:$L$20000="N"),DATOS!$K$2:$K$20000)),"—"),"")</f>
        <v>—</v>
      </c>
      <c r="L153">
        <f>IF(V153="Sí",COUNTIFS(DATOS!G:G,CONFIG_METADATA!$B$4,DATOS!D:D,A153,DATOS!I:I,B153,DATOS!K:K,1),"")</f>
        <v>0</v>
      </c>
      <c r="M153">
        <f>IF(V153="Sí",COUNTIFS(DATOS!G:G,CONFIG_METADATA!$B$4,DATOS!D:D,A153,DATOS!I:I,B153,DATOS!K:K,2),"")</f>
        <v>0</v>
      </c>
      <c r="N153">
        <f>IF(V153="Sí",COUNTIFS(DATOS!G:G,CONFIG_METADATA!$B$4,DATOS!D:D,A153,DATOS!I:I,B153,DATOS!K:K,3),"")</f>
        <v>0</v>
      </c>
      <c r="O153">
        <f>IF(V153="Sí",COUNTIFS(DATOS!G:G,CONFIG_METADATA!$B$4,DATOS!D:D,A153,DATOS!I:I,B153,DATOS!K:K,4),"")</f>
        <v>0</v>
      </c>
      <c r="P153">
        <f>IF(V153="Sí",COUNTIFS(DATOS!G:G,CONFIG_METADATA!$B$4,DATOS!D:D,A153,DATOS!I:I,B153,DATOS!K:K,5),"")</f>
        <v>0</v>
      </c>
      <c r="Q153">
        <f>IF(V153="Sí",COUNTIFS(DATOS!G:G,CONFIG_METADATA!$B$4,DATOS!D:D,A153,DATOS!I:I,B153,DATOS!K:K,6),"")</f>
        <v>0</v>
      </c>
      <c r="R153">
        <f>IF(V153="Sí",COUNTIFS(DATOS!G:G,CONFIG_METADATA!$B$4,DATOS!D:D,A153,DATOS!I:I,B153,DATOS!K:K,7),"")</f>
        <v>0</v>
      </c>
      <c r="S153">
        <f>IF(V153="Sí",COUNTIFS(DATOS!G:G,CONFIG_METADATA!$B$4,DATOS!D:D,A153,DATOS!I:I,B153,DATOS!K:K,8),"")</f>
        <v>0</v>
      </c>
      <c r="T153">
        <f>IF(V153="Sí",COUNTIFS(DATOS!G:G,CONFIG_METADATA!$B$4,DATOS!D:D,A153,DATOS!I:I,B153,DATOS!K:K,9),"")</f>
        <v>0</v>
      </c>
      <c r="U153">
        <f>IF(V153="Sí",COUNTIFS(DATOS!G:G,CONFIG_METADATA!$B$4,DATOS!D:D,A153,DATOS!I:I,B153,DATOS!K:K,10),"")</f>
        <v>0</v>
      </c>
      <c r="V153" t="str">
        <f>IFERROR(IF(ISERROR(FIND(A153,VLOOKUP(B153,CONFIG_ASIGNATURAS!B:C,2,FALSE()))),"No","Sí"),"No")</f>
        <v>Sí</v>
      </c>
    </row>
    <row r="154" spans="1:22">
      <c r="A154" s="3" t="inlineStr">
        <is>
          <t xml:space="preserve">2EEM</t>
        </is>
      </c>
      <c r="B154" s="3" cm="1">
        <f t="array" ref="B154">IFERROR(INDEX(_xlfn._xlws.FILTER(CONFIG_ASIGNATURAS!$B$2:$B$61,(CONFIG_ASIGNATURAS!$G$2:$G$61="Sí")*ISNUMBER(SEARCH("2EEM",CONFIG_ASIGNATURAS!$C$2:$C$61))),24),"")</f>
      </c>
      <c r="C154" s="3">
        <f>IF(B154="","",IFERROR(IF(VLOOKUP(B154,CONFIG_ASIGNATURAS!$B$2:$F$61,5,FALSE())="Sí","Especialidad","Asignatura"),"Asignatura"))</f>
      </c>
      <c r="D154">
        <f>IF(V154="Sí",COUNTIFS(DATOS!G:G,CONFIG_METADATA!$B$4,DATOS!D:D,A154,DATOS!I:I,B154),"")</f>
        <v>0</v>
      </c>
      <c r="E154" s="14" t="str">
        <f>IF(V154="Sí",IFERROR(AVERAGEIFS(DATOS!K:K,DATOS!G:G,CONFIG_METADATA!$B$4,DATOS!D:D,A154,DATOS!I:I,B154),"—"),"")</f>
        <v>—</v>
      </c>
      <c r="F154" s="14" t="str" cm="1">
        <f t="array" ref="F154">IF(V154="Sí",IFERROR(_xlfn.STDEV.P(IF((DATOS!$G$2:$G$20000=CONFIG_METADATA!$B$4)*(DATOS!$D$2:$D$20000=A154)*(DATOS!$I$2:$I$20000=B154),DATOS!$K$2:$K$20000)),"—"),"")</f>
        <v>—</v>
      </c>
      <c r="G154" t="str" cm="1">
        <f t="array" ref="G154">IF(V154="Sí",IFERROR(_xlfn.MODE.SNGL(IF((DATOS!$G$2:$G$20000=CONFIG_METADATA!$B$4)*(DATOS!$D$2:$D$20000=A154)*(DATOS!$I$2:$I$20000=B154),DATOS!$K$2:$K$20000)),"—"),"")</f>
        <v>—</v>
      </c>
      <c r="H154" s="15" t="str">
        <f>IF(V154="Sí",IFERROR(COUNTIFS(DATOS!G:G,CONFIG_METADATA!$B$4,DATOS!D:D,A154,DATOS!I:I,B154,DATOS!L:L,"S")/COUNTIFS(DATOS!G:G,CONFIG_METADATA!$B$4,DATOS!D:D,A154,DATOS!I:I,B154),"—"),"")</f>
        <v>—</v>
      </c>
      <c r="I154" s="15" t="str">
        <f>IF(V154="Sí",IFERROR(COUNTIFS(DATOS!G:G,CONFIG_METADATA!$B$4,DATOS!D:D,A154,DATOS!I:I,B154,DATOS!L:L,"N")/COUNTIFS(DATOS!G:G,CONFIG_METADATA!$B$4,DATOS!D:D,A154,DATOS!I:I,B154),"—"),"")</f>
        <v>—</v>
      </c>
      <c r="J154" t="str" cm="1">
        <f t="array" ref="J154">IF(V154="Sí",IFERROR(_xlfn.MODE.SNGL(IF((DATOS!$G$2:$G$20000=CONFIG_METADATA!$B$4)*(DATOS!$D$2:$D$20000=A154)*(DATOS!$I$2:$I$20000=B154)*(DATOS!$L$2:$L$20000="S"),DATOS!$K$2:$K$20000)),"—"),"")</f>
        <v>—</v>
      </c>
      <c r="K154" t="str" cm="1">
        <f t="array" ref="K154">IF(V154="Sí",IFERROR(_xlfn.MODE.SNGL(IF((DATOS!$G$2:$G$20000=CONFIG_METADATA!$B$4)*(DATOS!$D$2:$D$20000=A154)*(DATOS!$I$2:$I$20000=B154)*(DATOS!$L$2:$L$20000="N"),DATOS!$K$2:$K$20000)),"—"),"")</f>
        <v>—</v>
      </c>
      <c r="L154">
        <f>IF(V154="Sí",COUNTIFS(DATOS!G:G,CONFIG_METADATA!$B$4,DATOS!D:D,A154,DATOS!I:I,B154,DATOS!K:K,1),"")</f>
        <v>0</v>
      </c>
      <c r="M154">
        <f>IF(V154="Sí",COUNTIFS(DATOS!G:G,CONFIG_METADATA!$B$4,DATOS!D:D,A154,DATOS!I:I,B154,DATOS!K:K,2),"")</f>
        <v>0</v>
      </c>
      <c r="N154">
        <f>IF(V154="Sí",COUNTIFS(DATOS!G:G,CONFIG_METADATA!$B$4,DATOS!D:D,A154,DATOS!I:I,B154,DATOS!K:K,3),"")</f>
        <v>0</v>
      </c>
      <c r="O154">
        <f>IF(V154="Sí",COUNTIFS(DATOS!G:G,CONFIG_METADATA!$B$4,DATOS!D:D,A154,DATOS!I:I,B154,DATOS!K:K,4),"")</f>
        <v>0</v>
      </c>
      <c r="P154">
        <f>IF(V154="Sí",COUNTIFS(DATOS!G:G,CONFIG_METADATA!$B$4,DATOS!D:D,A154,DATOS!I:I,B154,DATOS!K:K,5),"")</f>
        <v>0</v>
      </c>
      <c r="Q154">
        <f>IF(V154="Sí",COUNTIFS(DATOS!G:G,CONFIG_METADATA!$B$4,DATOS!D:D,A154,DATOS!I:I,B154,DATOS!K:K,6),"")</f>
        <v>0</v>
      </c>
      <c r="R154">
        <f>IF(V154="Sí",COUNTIFS(DATOS!G:G,CONFIG_METADATA!$B$4,DATOS!D:D,A154,DATOS!I:I,B154,DATOS!K:K,7),"")</f>
        <v>0</v>
      </c>
      <c r="S154">
        <f>IF(V154="Sí",COUNTIFS(DATOS!G:G,CONFIG_METADATA!$B$4,DATOS!D:D,A154,DATOS!I:I,B154,DATOS!K:K,8),"")</f>
        <v>0</v>
      </c>
      <c r="T154">
        <f>IF(V154="Sí",COUNTIFS(DATOS!G:G,CONFIG_METADATA!$B$4,DATOS!D:D,A154,DATOS!I:I,B154,DATOS!K:K,9),"")</f>
        <v>0</v>
      </c>
      <c r="U154">
        <f>IF(V154="Sí",COUNTIFS(DATOS!G:G,CONFIG_METADATA!$B$4,DATOS!D:D,A154,DATOS!I:I,B154,DATOS!K:K,10),"")</f>
        <v>0</v>
      </c>
      <c r="V154" t="str">
        <f>IFERROR(IF(ISERROR(FIND(A154,VLOOKUP(B154,CONFIG_ASIGNATURAS!B:C,2,FALSE()))),"No","Sí"),"No")</f>
        <v>Sí</v>
      </c>
    </row>
    <row r="155" spans="1:22">
      <c r="A155" s="3" t="inlineStr">
        <is>
          <t xml:space="preserve">2EEM</t>
        </is>
      </c>
      <c r="B155" s="3" cm="1">
        <f t="array" ref="B155">IFERROR(INDEX(_xlfn._xlws.FILTER(CONFIG_ASIGNATURAS!$B$2:$B$61,(CONFIG_ASIGNATURAS!$G$2:$G$61="Sí")*ISNUMBER(SEARCH("2EEM",CONFIG_ASIGNATURAS!$C$2:$C$61))),25),"")</f>
      </c>
      <c r="C155" s="3">
        <f>IF(B155="","",IFERROR(IF(VLOOKUP(B155,CONFIG_ASIGNATURAS!$B$2:$F$61,5,FALSE())="Sí","Especialidad","Asignatura"),"Asignatura"))</f>
      </c>
      <c r="D155">
        <f>IF(V155="Sí",COUNTIFS(DATOS!G:G,CONFIG_METADATA!$B$4,DATOS!D:D,A155,DATOS!I:I,B155),"")</f>
        <v>0</v>
      </c>
      <c r="E155" s="14" t="str">
        <f>IF(V155="Sí",IFERROR(AVERAGEIFS(DATOS!K:K,DATOS!G:G,CONFIG_METADATA!$B$4,DATOS!D:D,A155,DATOS!I:I,B155),"—"),"")</f>
        <v>—</v>
      </c>
      <c r="F155" s="14" t="str" cm="1">
        <f t="array" ref="F155">IF(V155="Sí",IFERROR(_xlfn.STDEV.P(IF((DATOS!$G$2:$G$20000=CONFIG_METADATA!$B$4)*(DATOS!$D$2:$D$20000=A155)*(DATOS!$I$2:$I$20000=B155),DATOS!$K$2:$K$20000)),"—"),"")</f>
        <v>—</v>
      </c>
      <c r="G155" t="str" cm="1">
        <f t="array" ref="G155">IF(V155="Sí",IFERROR(_xlfn.MODE.SNGL(IF((DATOS!$G$2:$G$20000=CONFIG_METADATA!$B$4)*(DATOS!$D$2:$D$20000=A155)*(DATOS!$I$2:$I$20000=B155),DATOS!$K$2:$K$20000)),"—"),"")</f>
        <v>—</v>
      </c>
      <c r="H155" s="15" t="str">
        <f>IF(V155="Sí",IFERROR(COUNTIFS(DATOS!G:G,CONFIG_METADATA!$B$4,DATOS!D:D,A155,DATOS!I:I,B155,DATOS!L:L,"S")/COUNTIFS(DATOS!G:G,CONFIG_METADATA!$B$4,DATOS!D:D,A155,DATOS!I:I,B155),"—"),"")</f>
        <v>—</v>
      </c>
      <c r="I155" s="15" t="str">
        <f>IF(V155="Sí",IFERROR(COUNTIFS(DATOS!G:G,CONFIG_METADATA!$B$4,DATOS!D:D,A155,DATOS!I:I,B155,DATOS!L:L,"N")/COUNTIFS(DATOS!G:G,CONFIG_METADATA!$B$4,DATOS!D:D,A155,DATOS!I:I,B155),"—"),"")</f>
        <v>—</v>
      </c>
      <c r="J155" t="str" cm="1">
        <f t="array" ref="J155">IF(V155="Sí",IFERROR(_xlfn.MODE.SNGL(IF((DATOS!$G$2:$G$20000=CONFIG_METADATA!$B$4)*(DATOS!$D$2:$D$20000=A155)*(DATOS!$I$2:$I$20000=B155)*(DATOS!$L$2:$L$20000="S"),DATOS!$K$2:$K$20000)),"—"),"")</f>
        <v>—</v>
      </c>
      <c r="K155" t="str" cm="1">
        <f t="array" ref="K155">IF(V155="Sí",IFERROR(_xlfn.MODE.SNGL(IF((DATOS!$G$2:$G$20000=CONFIG_METADATA!$B$4)*(DATOS!$D$2:$D$20000=A155)*(DATOS!$I$2:$I$20000=B155)*(DATOS!$L$2:$L$20000="N"),DATOS!$K$2:$K$20000)),"—"),"")</f>
        <v>—</v>
      </c>
      <c r="L155">
        <f>IF(V155="Sí",COUNTIFS(DATOS!G:G,CONFIG_METADATA!$B$4,DATOS!D:D,A155,DATOS!I:I,B155,DATOS!K:K,1),"")</f>
        <v>0</v>
      </c>
      <c r="M155">
        <f>IF(V155="Sí",COUNTIFS(DATOS!G:G,CONFIG_METADATA!$B$4,DATOS!D:D,A155,DATOS!I:I,B155,DATOS!K:K,2),"")</f>
        <v>0</v>
      </c>
      <c r="N155">
        <f>IF(V155="Sí",COUNTIFS(DATOS!G:G,CONFIG_METADATA!$B$4,DATOS!D:D,A155,DATOS!I:I,B155,DATOS!K:K,3),"")</f>
        <v>0</v>
      </c>
      <c r="O155">
        <f>IF(V155="Sí",COUNTIFS(DATOS!G:G,CONFIG_METADATA!$B$4,DATOS!D:D,A155,DATOS!I:I,B155,DATOS!K:K,4),"")</f>
        <v>0</v>
      </c>
      <c r="P155">
        <f>IF(V155="Sí",COUNTIFS(DATOS!G:G,CONFIG_METADATA!$B$4,DATOS!D:D,A155,DATOS!I:I,B155,DATOS!K:K,5),"")</f>
        <v>0</v>
      </c>
      <c r="Q155">
        <f>IF(V155="Sí",COUNTIFS(DATOS!G:G,CONFIG_METADATA!$B$4,DATOS!D:D,A155,DATOS!I:I,B155,DATOS!K:K,6),"")</f>
        <v>0</v>
      </c>
      <c r="R155">
        <f>IF(V155="Sí",COUNTIFS(DATOS!G:G,CONFIG_METADATA!$B$4,DATOS!D:D,A155,DATOS!I:I,B155,DATOS!K:K,7),"")</f>
        <v>0</v>
      </c>
      <c r="S155">
        <f>IF(V155="Sí",COUNTIFS(DATOS!G:G,CONFIG_METADATA!$B$4,DATOS!D:D,A155,DATOS!I:I,B155,DATOS!K:K,8),"")</f>
        <v>0</v>
      </c>
      <c r="T155">
        <f>IF(V155="Sí",COUNTIFS(DATOS!G:G,CONFIG_METADATA!$B$4,DATOS!D:D,A155,DATOS!I:I,B155,DATOS!K:K,9),"")</f>
        <v>0</v>
      </c>
      <c r="U155">
        <f>IF(V155="Sí",COUNTIFS(DATOS!G:G,CONFIG_METADATA!$B$4,DATOS!D:D,A155,DATOS!I:I,B155,DATOS!K:K,10),"")</f>
        <v>0</v>
      </c>
      <c r="V155" t="str">
        <f>IFERROR(IF(ISERROR(FIND(A155,VLOOKUP(B155,CONFIG_ASIGNATURAS!B:C,2,FALSE()))),"No","Sí"),"No")</f>
        <v>Sí</v>
      </c>
    </row>
    <row r="156" spans="1:22">
      <c r="A156" s="3" t="inlineStr">
        <is>
          <t xml:space="preserve">2EEM</t>
        </is>
      </c>
      <c r="B156" s="3" cm="1">
        <f t="array" ref="B156">IFERROR(INDEX(_xlfn._xlws.FILTER(CONFIG_ASIGNATURAS!$B$2:$B$61,(CONFIG_ASIGNATURAS!$G$2:$G$61="Sí")*ISNUMBER(SEARCH("2EEM",CONFIG_ASIGNATURAS!$C$2:$C$61))),26),"")</f>
      </c>
      <c r="C156" s="3">
        <f>IF(B156="","",IFERROR(IF(VLOOKUP(B156,CONFIG_ASIGNATURAS!$B$2:$F$61,5,FALSE())="Sí","Especialidad","Asignatura"),"Asignatura"))</f>
      </c>
      <c r="D156">
        <f>IF(V156="Sí",COUNTIFS(DATOS!G:G,CONFIG_METADATA!$B$4,DATOS!D:D,A156,DATOS!I:I,B156),"")</f>
        <v>0</v>
      </c>
      <c r="E156" s="14" t="str">
        <f>IF(V156="Sí",IFERROR(AVERAGEIFS(DATOS!K:K,DATOS!G:G,CONFIG_METADATA!$B$4,DATOS!D:D,A156,DATOS!I:I,B156),"—"),"")</f>
        <v>—</v>
      </c>
      <c r="F156" s="14" t="str" cm="1">
        <f t="array" ref="F156">IF(V156="Sí",IFERROR(_xlfn.STDEV.P(IF((DATOS!$G$2:$G$20000=CONFIG_METADATA!$B$4)*(DATOS!$D$2:$D$20000=A156)*(DATOS!$I$2:$I$20000=B156),DATOS!$K$2:$K$20000)),"—"),"")</f>
        <v>—</v>
      </c>
      <c r="G156" t="str" cm="1">
        <f t="array" ref="G156">IF(V156="Sí",IFERROR(_xlfn.MODE.SNGL(IF((DATOS!$G$2:$G$20000=CONFIG_METADATA!$B$4)*(DATOS!$D$2:$D$20000=A156)*(DATOS!$I$2:$I$20000=B156),DATOS!$K$2:$K$20000)),"—"),"")</f>
        <v>—</v>
      </c>
      <c r="H156" s="15" t="str">
        <f>IF(V156="Sí",IFERROR(COUNTIFS(DATOS!G:G,CONFIG_METADATA!$B$4,DATOS!D:D,A156,DATOS!I:I,B156,DATOS!L:L,"S")/COUNTIFS(DATOS!G:G,CONFIG_METADATA!$B$4,DATOS!D:D,A156,DATOS!I:I,B156),"—"),"")</f>
        <v>—</v>
      </c>
      <c r="I156" s="15" t="str">
        <f>IF(V156="Sí",IFERROR(COUNTIFS(DATOS!G:G,CONFIG_METADATA!$B$4,DATOS!D:D,A156,DATOS!I:I,B156,DATOS!L:L,"N")/COUNTIFS(DATOS!G:G,CONFIG_METADATA!$B$4,DATOS!D:D,A156,DATOS!I:I,B156),"—"),"")</f>
        <v>—</v>
      </c>
      <c r="J156" t="str" cm="1">
        <f t="array" ref="J156">IF(V156="Sí",IFERROR(_xlfn.MODE.SNGL(IF((DATOS!$G$2:$G$20000=CONFIG_METADATA!$B$4)*(DATOS!$D$2:$D$20000=A156)*(DATOS!$I$2:$I$20000=B156)*(DATOS!$L$2:$L$20000="S"),DATOS!$K$2:$K$20000)),"—"),"")</f>
        <v>—</v>
      </c>
      <c r="K156" t="str" cm="1">
        <f t="array" ref="K156">IF(V156="Sí",IFERROR(_xlfn.MODE.SNGL(IF((DATOS!$G$2:$G$20000=CONFIG_METADATA!$B$4)*(DATOS!$D$2:$D$20000=A156)*(DATOS!$I$2:$I$20000=B156)*(DATOS!$L$2:$L$20000="N"),DATOS!$K$2:$K$20000)),"—"),"")</f>
        <v>—</v>
      </c>
      <c r="L156">
        <f>IF(V156="Sí",COUNTIFS(DATOS!G:G,CONFIG_METADATA!$B$4,DATOS!D:D,A156,DATOS!I:I,B156,DATOS!K:K,1),"")</f>
        <v>0</v>
      </c>
      <c r="M156">
        <f>IF(V156="Sí",COUNTIFS(DATOS!G:G,CONFIG_METADATA!$B$4,DATOS!D:D,A156,DATOS!I:I,B156,DATOS!K:K,2),"")</f>
        <v>0</v>
      </c>
      <c r="N156">
        <f>IF(V156="Sí",COUNTIFS(DATOS!G:G,CONFIG_METADATA!$B$4,DATOS!D:D,A156,DATOS!I:I,B156,DATOS!K:K,3),"")</f>
        <v>0</v>
      </c>
      <c r="O156">
        <f>IF(V156="Sí",COUNTIFS(DATOS!G:G,CONFIG_METADATA!$B$4,DATOS!D:D,A156,DATOS!I:I,B156,DATOS!K:K,4),"")</f>
        <v>0</v>
      </c>
      <c r="P156">
        <f>IF(V156="Sí",COUNTIFS(DATOS!G:G,CONFIG_METADATA!$B$4,DATOS!D:D,A156,DATOS!I:I,B156,DATOS!K:K,5),"")</f>
        <v>0</v>
      </c>
      <c r="Q156">
        <f>IF(V156="Sí",COUNTIFS(DATOS!G:G,CONFIG_METADATA!$B$4,DATOS!D:D,A156,DATOS!I:I,B156,DATOS!K:K,6),"")</f>
        <v>0</v>
      </c>
      <c r="R156">
        <f>IF(V156="Sí",COUNTIFS(DATOS!G:G,CONFIG_METADATA!$B$4,DATOS!D:D,A156,DATOS!I:I,B156,DATOS!K:K,7),"")</f>
        <v>0</v>
      </c>
      <c r="S156">
        <f>IF(V156="Sí",COUNTIFS(DATOS!G:G,CONFIG_METADATA!$B$4,DATOS!D:D,A156,DATOS!I:I,B156,DATOS!K:K,8),"")</f>
        <v>0</v>
      </c>
      <c r="T156">
        <f>IF(V156="Sí",COUNTIFS(DATOS!G:G,CONFIG_METADATA!$B$4,DATOS!D:D,A156,DATOS!I:I,B156,DATOS!K:K,9),"")</f>
        <v>0</v>
      </c>
      <c r="U156">
        <f>IF(V156="Sí",COUNTIFS(DATOS!G:G,CONFIG_METADATA!$B$4,DATOS!D:D,A156,DATOS!I:I,B156,DATOS!K:K,10),"")</f>
        <v>0</v>
      </c>
      <c r="V156" t="str">
        <f>IFERROR(IF(ISERROR(FIND(A156,VLOOKUP(B156,CONFIG_ASIGNATURAS!B:C,2,FALSE()))),"No","Sí"),"No")</f>
        <v>Sí</v>
      </c>
    </row>
    <row r="157" spans="1:22">
      <c r="A157" s="3" t="inlineStr">
        <is>
          <t xml:space="preserve">2EEM</t>
        </is>
      </c>
      <c r="B157" s="3" cm="1">
        <f t="array" ref="B157">IFERROR(INDEX(_xlfn._xlws.FILTER(CONFIG_ASIGNATURAS!$B$2:$B$61,(CONFIG_ASIGNATURAS!$G$2:$G$61="Sí")*ISNUMBER(SEARCH("2EEM",CONFIG_ASIGNATURAS!$C$2:$C$61))),27),"")</f>
      </c>
      <c r="C157" s="3">
        <f>IF(B157="","",IFERROR(IF(VLOOKUP(B157,CONFIG_ASIGNATURAS!$B$2:$F$61,5,FALSE())="Sí","Especialidad","Asignatura"),"Asignatura"))</f>
      </c>
      <c r="D157">
        <f>IF(V157="Sí",COUNTIFS(DATOS!G:G,CONFIG_METADATA!$B$4,DATOS!D:D,A157,DATOS!I:I,B157),"")</f>
        <v>0</v>
      </c>
      <c r="E157" s="14" t="str">
        <f>IF(V157="Sí",IFERROR(AVERAGEIFS(DATOS!K:K,DATOS!G:G,CONFIG_METADATA!$B$4,DATOS!D:D,A157,DATOS!I:I,B157),"—"),"")</f>
        <v>—</v>
      </c>
      <c r="F157" s="14" t="str" cm="1">
        <f t="array" ref="F157">IF(V157="Sí",IFERROR(_xlfn.STDEV.P(IF((DATOS!$G$2:$G$20000=CONFIG_METADATA!$B$4)*(DATOS!$D$2:$D$20000=A157)*(DATOS!$I$2:$I$20000=B157),DATOS!$K$2:$K$20000)),"—"),"")</f>
        <v>—</v>
      </c>
      <c r="G157" t="str" cm="1">
        <f t="array" ref="G157">IF(V157="Sí",IFERROR(_xlfn.MODE.SNGL(IF((DATOS!$G$2:$G$20000=CONFIG_METADATA!$B$4)*(DATOS!$D$2:$D$20000=A157)*(DATOS!$I$2:$I$20000=B157),DATOS!$K$2:$K$20000)),"—"),"")</f>
        <v>—</v>
      </c>
      <c r="H157" s="15" t="str">
        <f>IF(V157="Sí",IFERROR(COUNTIFS(DATOS!G:G,CONFIG_METADATA!$B$4,DATOS!D:D,A157,DATOS!I:I,B157,DATOS!L:L,"S")/COUNTIFS(DATOS!G:G,CONFIG_METADATA!$B$4,DATOS!D:D,A157,DATOS!I:I,B157),"—"),"")</f>
        <v>—</v>
      </c>
      <c r="I157" s="15" t="str">
        <f>IF(V157="Sí",IFERROR(COUNTIFS(DATOS!G:G,CONFIG_METADATA!$B$4,DATOS!D:D,A157,DATOS!I:I,B157,DATOS!L:L,"N")/COUNTIFS(DATOS!G:G,CONFIG_METADATA!$B$4,DATOS!D:D,A157,DATOS!I:I,B157),"—"),"")</f>
        <v>—</v>
      </c>
      <c r="J157" t="str" cm="1">
        <f t="array" ref="J157">IF(V157="Sí",IFERROR(_xlfn.MODE.SNGL(IF((DATOS!$G$2:$G$20000=CONFIG_METADATA!$B$4)*(DATOS!$D$2:$D$20000=A157)*(DATOS!$I$2:$I$20000=B157)*(DATOS!$L$2:$L$20000="S"),DATOS!$K$2:$K$20000)),"—"),"")</f>
        <v>—</v>
      </c>
      <c r="K157" t="str" cm="1">
        <f t="array" ref="K157">IF(V157="Sí",IFERROR(_xlfn.MODE.SNGL(IF((DATOS!$G$2:$G$20000=CONFIG_METADATA!$B$4)*(DATOS!$D$2:$D$20000=A157)*(DATOS!$I$2:$I$20000=B157)*(DATOS!$L$2:$L$20000="N"),DATOS!$K$2:$K$20000)),"—"),"")</f>
        <v>—</v>
      </c>
      <c r="L157">
        <f>IF(V157="Sí",COUNTIFS(DATOS!G:G,CONFIG_METADATA!$B$4,DATOS!D:D,A157,DATOS!I:I,B157,DATOS!K:K,1),"")</f>
        <v>0</v>
      </c>
      <c r="M157">
        <f>IF(V157="Sí",COUNTIFS(DATOS!G:G,CONFIG_METADATA!$B$4,DATOS!D:D,A157,DATOS!I:I,B157,DATOS!K:K,2),"")</f>
        <v>0</v>
      </c>
      <c r="N157">
        <f>IF(V157="Sí",COUNTIFS(DATOS!G:G,CONFIG_METADATA!$B$4,DATOS!D:D,A157,DATOS!I:I,B157,DATOS!K:K,3),"")</f>
        <v>0</v>
      </c>
      <c r="O157">
        <f>IF(V157="Sí",COUNTIFS(DATOS!G:G,CONFIG_METADATA!$B$4,DATOS!D:D,A157,DATOS!I:I,B157,DATOS!K:K,4),"")</f>
        <v>0</v>
      </c>
      <c r="P157">
        <f>IF(V157="Sí",COUNTIFS(DATOS!G:G,CONFIG_METADATA!$B$4,DATOS!D:D,A157,DATOS!I:I,B157,DATOS!K:K,5),"")</f>
        <v>0</v>
      </c>
      <c r="Q157">
        <f>IF(V157="Sí",COUNTIFS(DATOS!G:G,CONFIG_METADATA!$B$4,DATOS!D:D,A157,DATOS!I:I,B157,DATOS!K:K,6),"")</f>
        <v>0</v>
      </c>
      <c r="R157">
        <f>IF(V157="Sí",COUNTIFS(DATOS!G:G,CONFIG_METADATA!$B$4,DATOS!D:D,A157,DATOS!I:I,B157,DATOS!K:K,7),"")</f>
        <v>0</v>
      </c>
      <c r="S157">
        <f>IF(V157="Sí",COUNTIFS(DATOS!G:G,CONFIG_METADATA!$B$4,DATOS!D:D,A157,DATOS!I:I,B157,DATOS!K:K,8),"")</f>
        <v>0</v>
      </c>
      <c r="T157">
        <f>IF(V157="Sí",COUNTIFS(DATOS!G:G,CONFIG_METADATA!$B$4,DATOS!D:D,A157,DATOS!I:I,B157,DATOS!K:K,9),"")</f>
        <v>0</v>
      </c>
      <c r="U157">
        <f>IF(V157="Sí",COUNTIFS(DATOS!G:G,CONFIG_METADATA!$B$4,DATOS!D:D,A157,DATOS!I:I,B157,DATOS!K:K,10),"")</f>
        <v>0</v>
      </c>
      <c r="V157" t="str">
        <f>IFERROR(IF(ISERROR(FIND(A157,VLOOKUP(B157,CONFIG_ASIGNATURAS!B:C,2,FALSE()))),"No","Sí"),"No")</f>
        <v>Sí</v>
      </c>
    </row>
    <row r="158" spans="1:22">
      <c r="A158" s="3" t="inlineStr">
        <is>
          <t xml:space="preserve">2EEM</t>
        </is>
      </c>
      <c r="B158" s="3" cm="1">
        <f t="array" ref="B158">IFERROR(INDEX(_xlfn._xlws.FILTER(CONFIG_ASIGNATURAS!$B$2:$B$61,(CONFIG_ASIGNATURAS!$G$2:$G$61="Sí")*ISNUMBER(SEARCH("2EEM",CONFIG_ASIGNATURAS!$C$2:$C$61))),28),"")</f>
      </c>
      <c r="C158" s="3">
        <f>IF(B158="","",IFERROR(IF(VLOOKUP(B158,CONFIG_ASIGNATURAS!$B$2:$F$61,5,FALSE())="Sí","Especialidad","Asignatura"),"Asignatura"))</f>
      </c>
      <c r="D158">
        <f>IF(V158="Sí",COUNTIFS(DATOS!G:G,CONFIG_METADATA!$B$4,DATOS!D:D,A158,DATOS!I:I,B158),"")</f>
        <v>0</v>
      </c>
      <c r="E158" s="14" t="str">
        <f>IF(V158="Sí",IFERROR(AVERAGEIFS(DATOS!K:K,DATOS!G:G,CONFIG_METADATA!$B$4,DATOS!D:D,A158,DATOS!I:I,B158),"—"),"")</f>
        <v>—</v>
      </c>
      <c r="F158" s="14" t="str" cm="1">
        <f t="array" ref="F158">IF(V158="Sí",IFERROR(_xlfn.STDEV.P(IF((DATOS!$G$2:$G$20000=CONFIG_METADATA!$B$4)*(DATOS!$D$2:$D$20000=A158)*(DATOS!$I$2:$I$20000=B158),DATOS!$K$2:$K$20000)),"—"),"")</f>
        <v>—</v>
      </c>
      <c r="G158" t="str" cm="1">
        <f t="array" ref="G158">IF(V158="Sí",IFERROR(_xlfn.MODE.SNGL(IF((DATOS!$G$2:$G$20000=CONFIG_METADATA!$B$4)*(DATOS!$D$2:$D$20000=A158)*(DATOS!$I$2:$I$20000=B158),DATOS!$K$2:$K$20000)),"—"),"")</f>
        <v>—</v>
      </c>
      <c r="H158" s="15" t="str">
        <f>IF(V158="Sí",IFERROR(COUNTIFS(DATOS!G:G,CONFIG_METADATA!$B$4,DATOS!D:D,A158,DATOS!I:I,B158,DATOS!L:L,"S")/COUNTIFS(DATOS!G:G,CONFIG_METADATA!$B$4,DATOS!D:D,A158,DATOS!I:I,B158),"—"),"")</f>
        <v>—</v>
      </c>
      <c r="I158" s="15" t="str">
        <f>IF(V158="Sí",IFERROR(COUNTIFS(DATOS!G:G,CONFIG_METADATA!$B$4,DATOS!D:D,A158,DATOS!I:I,B158,DATOS!L:L,"N")/COUNTIFS(DATOS!G:G,CONFIG_METADATA!$B$4,DATOS!D:D,A158,DATOS!I:I,B158),"—"),"")</f>
        <v>—</v>
      </c>
      <c r="J158" t="str" cm="1">
        <f t="array" ref="J158">IF(V158="Sí",IFERROR(_xlfn.MODE.SNGL(IF((DATOS!$G$2:$G$20000=CONFIG_METADATA!$B$4)*(DATOS!$D$2:$D$20000=A158)*(DATOS!$I$2:$I$20000=B158)*(DATOS!$L$2:$L$20000="S"),DATOS!$K$2:$K$20000)),"—"),"")</f>
        <v>—</v>
      </c>
      <c r="K158" t="str" cm="1">
        <f t="array" ref="K158">IF(V158="Sí",IFERROR(_xlfn.MODE.SNGL(IF((DATOS!$G$2:$G$20000=CONFIG_METADATA!$B$4)*(DATOS!$D$2:$D$20000=A158)*(DATOS!$I$2:$I$20000=B158)*(DATOS!$L$2:$L$20000="N"),DATOS!$K$2:$K$20000)),"—"),"")</f>
        <v>—</v>
      </c>
      <c r="L158">
        <f>IF(V158="Sí",COUNTIFS(DATOS!G:G,CONFIG_METADATA!$B$4,DATOS!D:D,A158,DATOS!I:I,B158,DATOS!K:K,1),"")</f>
        <v>0</v>
      </c>
      <c r="M158">
        <f>IF(V158="Sí",COUNTIFS(DATOS!G:G,CONFIG_METADATA!$B$4,DATOS!D:D,A158,DATOS!I:I,B158,DATOS!K:K,2),"")</f>
        <v>0</v>
      </c>
      <c r="N158">
        <f>IF(V158="Sí",COUNTIFS(DATOS!G:G,CONFIG_METADATA!$B$4,DATOS!D:D,A158,DATOS!I:I,B158,DATOS!K:K,3),"")</f>
        <v>0</v>
      </c>
      <c r="O158">
        <f>IF(V158="Sí",COUNTIFS(DATOS!G:G,CONFIG_METADATA!$B$4,DATOS!D:D,A158,DATOS!I:I,B158,DATOS!K:K,4),"")</f>
        <v>0</v>
      </c>
      <c r="P158">
        <f>IF(V158="Sí",COUNTIFS(DATOS!G:G,CONFIG_METADATA!$B$4,DATOS!D:D,A158,DATOS!I:I,B158,DATOS!K:K,5),"")</f>
        <v>0</v>
      </c>
      <c r="Q158">
        <f>IF(V158="Sí",COUNTIFS(DATOS!G:G,CONFIG_METADATA!$B$4,DATOS!D:D,A158,DATOS!I:I,B158,DATOS!K:K,6),"")</f>
        <v>0</v>
      </c>
      <c r="R158">
        <f>IF(V158="Sí",COUNTIFS(DATOS!G:G,CONFIG_METADATA!$B$4,DATOS!D:D,A158,DATOS!I:I,B158,DATOS!K:K,7),"")</f>
        <v>0</v>
      </c>
      <c r="S158">
        <f>IF(V158="Sí",COUNTIFS(DATOS!G:G,CONFIG_METADATA!$B$4,DATOS!D:D,A158,DATOS!I:I,B158,DATOS!K:K,8),"")</f>
        <v>0</v>
      </c>
      <c r="T158">
        <f>IF(V158="Sí",COUNTIFS(DATOS!G:G,CONFIG_METADATA!$B$4,DATOS!D:D,A158,DATOS!I:I,B158,DATOS!K:K,9),"")</f>
        <v>0</v>
      </c>
      <c r="U158">
        <f>IF(V158="Sí",COUNTIFS(DATOS!G:G,CONFIG_METADATA!$B$4,DATOS!D:D,A158,DATOS!I:I,B158,DATOS!K:K,10),"")</f>
        <v>0</v>
      </c>
      <c r="V158" t="str">
        <f>IFERROR(IF(ISERROR(FIND(A158,VLOOKUP(B158,CONFIG_ASIGNATURAS!B:C,2,FALSE()))),"No","Sí"),"No")</f>
        <v>Sí</v>
      </c>
    </row>
    <row r="159" spans="1:22">
      <c r="A159" s="3" t="inlineStr">
        <is>
          <t xml:space="preserve">2EEM</t>
        </is>
      </c>
      <c r="B159" s="3" cm="1">
        <f t="array" ref="B159">IFERROR(INDEX(_xlfn._xlws.FILTER(CONFIG_ASIGNATURAS!$B$2:$B$61,(CONFIG_ASIGNATURAS!$G$2:$G$61="Sí")*ISNUMBER(SEARCH("2EEM",CONFIG_ASIGNATURAS!$C$2:$C$61))),29),"")</f>
      </c>
      <c r="C159" s="3">
        <f>IF(B159="","",IFERROR(IF(VLOOKUP(B159,CONFIG_ASIGNATURAS!$B$2:$F$61,5,FALSE())="Sí","Especialidad","Asignatura"),"Asignatura"))</f>
      </c>
      <c r="D159">
        <f>IF(V159="Sí",COUNTIFS(DATOS!G:G,CONFIG_METADATA!$B$4,DATOS!D:D,A159,DATOS!I:I,B159),"")</f>
        <v>0</v>
      </c>
      <c r="E159" s="14" t="str">
        <f>IF(V159="Sí",IFERROR(AVERAGEIFS(DATOS!K:K,DATOS!G:G,CONFIG_METADATA!$B$4,DATOS!D:D,A159,DATOS!I:I,B159),"—"),"")</f>
        <v>—</v>
      </c>
      <c r="F159" s="14" t="str" cm="1">
        <f t="array" ref="F159">IF(V159="Sí",IFERROR(_xlfn.STDEV.P(IF((DATOS!$G$2:$G$20000=CONFIG_METADATA!$B$4)*(DATOS!$D$2:$D$20000=A159)*(DATOS!$I$2:$I$20000=B159),DATOS!$K$2:$K$20000)),"—"),"")</f>
        <v>—</v>
      </c>
      <c r="G159" t="str" cm="1">
        <f t="array" ref="G159">IF(V159="Sí",IFERROR(_xlfn.MODE.SNGL(IF((DATOS!$G$2:$G$20000=CONFIG_METADATA!$B$4)*(DATOS!$D$2:$D$20000=A159)*(DATOS!$I$2:$I$20000=B159),DATOS!$K$2:$K$20000)),"—"),"")</f>
        <v>—</v>
      </c>
      <c r="H159" s="15" t="str">
        <f>IF(V159="Sí",IFERROR(COUNTIFS(DATOS!G:G,CONFIG_METADATA!$B$4,DATOS!D:D,A159,DATOS!I:I,B159,DATOS!L:L,"S")/COUNTIFS(DATOS!G:G,CONFIG_METADATA!$B$4,DATOS!D:D,A159,DATOS!I:I,B159),"—"),"")</f>
        <v>—</v>
      </c>
      <c r="I159" s="15" t="str">
        <f>IF(V159="Sí",IFERROR(COUNTIFS(DATOS!G:G,CONFIG_METADATA!$B$4,DATOS!D:D,A159,DATOS!I:I,B159,DATOS!L:L,"N")/COUNTIFS(DATOS!G:G,CONFIG_METADATA!$B$4,DATOS!D:D,A159,DATOS!I:I,B159),"—"),"")</f>
        <v>—</v>
      </c>
      <c r="J159" t="str" cm="1">
        <f t="array" ref="J159">IF(V159="Sí",IFERROR(_xlfn.MODE.SNGL(IF((DATOS!$G$2:$G$20000=CONFIG_METADATA!$B$4)*(DATOS!$D$2:$D$20000=A159)*(DATOS!$I$2:$I$20000=B159)*(DATOS!$L$2:$L$20000="S"),DATOS!$K$2:$K$20000)),"—"),"")</f>
        <v>—</v>
      </c>
      <c r="K159" t="str" cm="1">
        <f t="array" ref="K159">IF(V159="Sí",IFERROR(_xlfn.MODE.SNGL(IF((DATOS!$G$2:$G$20000=CONFIG_METADATA!$B$4)*(DATOS!$D$2:$D$20000=A159)*(DATOS!$I$2:$I$20000=B159)*(DATOS!$L$2:$L$20000="N"),DATOS!$K$2:$K$20000)),"—"),"")</f>
        <v>—</v>
      </c>
      <c r="L159">
        <f>IF(V159="Sí",COUNTIFS(DATOS!G:G,CONFIG_METADATA!$B$4,DATOS!D:D,A159,DATOS!I:I,B159,DATOS!K:K,1),"")</f>
        <v>0</v>
      </c>
      <c r="M159">
        <f>IF(V159="Sí",COUNTIFS(DATOS!G:G,CONFIG_METADATA!$B$4,DATOS!D:D,A159,DATOS!I:I,B159,DATOS!K:K,2),"")</f>
        <v>0</v>
      </c>
      <c r="N159">
        <f>IF(V159="Sí",COUNTIFS(DATOS!G:G,CONFIG_METADATA!$B$4,DATOS!D:D,A159,DATOS!I:I,B159,DATOS!K:K,3),"")</f>
        <v>0</v>
      </c>
      <c r="O159">
        <f>IF(V159="Sí",COUNTIFS(DATOS!G:G,CONFIG_METADATA!$B$4,DATOS!D:D,A159,DATOS!I:I,B159,DATOS!K:K,4),"")</f>
        <v>0</v>
      </c>
      <c r="P159">
        <f>IF(V159="Sí",COUNTIFS(DATOS!G:G,CONFIG_METADATA!$B$4,DATOS!D:D,A159,DATOS!I:I,B159,DATOS!K:K,5),"")</f>
        <v>0</v>
      </c>
      <c r="Q159">
        <f>IF(V159="Sí",COUNTIFS(DATOS!G:G,CONFIG_METADATA!$B$4,DATOS!D:D,A159,DATOS!I:I,B159,DATOS!K:K,6),"")</f>
        <v>0</v>
      </c>
      <c r="R159">
        <f>IF(V159="Sí",COUNTIFS(DATOS!G:G,CONFIG_METADATA!$B$4,DATOS!D:D,A159,DATOS!I:I,B159,DATOS!K:K,7),"")</f>
        <v>0</v>
      </c>
      <c r="S159">
        <f>IF(V159="Sí",COUNTIFS(DATOS!G:G,CONFIG_METADATA!$B$4,DATOS!D:D,A159,DATOS!I:I,B159,DATOS!K:K,8),"")</f>
        <v>0</v>
      </c>
      <c r="T159">
        <f>IF(V159="Sí",COUNTIFS(DATOS!G:G,CONFIG_METADATA!$B$4,DATOS!D:D,A159,DATOS!I:I,B159,DATOS!K:K,9),"")</f>
        <v>0</v>
      </c>
      <c r="U159">
        <f>IF(V159="Sí",COUNTIFS(DATOS!G:G,CONFIG_METADATA!$B$4,DATOS!D:D,A159,DATOS!I:I,B159,DATOS!K:K,10),"")</f>
        <v>0</v>
      </c>
      <c r="V159" t="str">
        <f>IFERROR(IF(ISERROR(FIND(A159,VLOOKUP(B159,CONFIG_ASIGNATURAS!B:C,2,FALSE()))),"No","Sí"),"No")</f>
        <v>Sí</v>
      </c>
    </row>
    <row r="160" spans="1:22">
      <c r="A160" s="3" t="inlineStr">
        <is>
          <t xml:space="preserve">2EEM</t>
        </is>
      </c>
      <c r="B160" s="3" cm="1">
        <f t="array" ref="B160">IFERROR(INDEX(_xlfn._xlws.FILTER(CONFIG_ASIGNATURAS!$B$2:$B$61,(CONFIG_ASIGNATURAS!$G$2:$G$61="Sí")*ISNUMBER(SEARCH("2EEM",CONFIG_ASIGNATURAS!$C$2:$C$61))),30),"")</f>
      </c>
      <c r="C160" s="3">
        <f>IF(B160="","",IFERROR(IF(VLOOKUP(B160,CONFIG_ASIGNATURAS!$B$2:$F$61,5,FALSE())="Sí","Especialidad","Asignatura"),"Asignatura"))</f>
      </c>
      <c r="D160">
        <f>IF(V160="Sí",COUNTIFS(DATOS!G:G,CONFIG_METADATA!$B$4,DATOS!D:D,A160,DATOS!I:I,B160),"")</f>
        <v>0</v>
      </c>
      <c r="E160" s="14" t="str">
        <f>IF(V160="Sí",IFERROR(AVERAGEIFS(DATOS!K:K,DATOS!G:G,CONFIG_METADATA!$B$4,DATOS!D:D,A160,DATOS!I:I,B160),"—"),"")</f>
        <v>—</v>
      </c>
      <c r="F160" s="14" t="str" cm="1">
        <f t="array" ref="F160">IF(V160="Sí",IFERROR(_xlfn.STDEV.P(IF((DATOS!$G$2:$G$20000=CONFIG_METADATA!$B$4)*(DATOS!$D$2:$D$20000=A160)*(DATOS!$I$2:$I$20000=B160),DATOS!$K$2:$K$20000)),"—"),"")</f>
        <v>—</v>
      </c>
      <c r="G160" t="str" cm="1">
        <f t="array" ref="G160">IF(V160="Sí",IFERROR(_xlfn.MODE.SNGL(IF((DATOS!$G$2:$G$20000=CONFIG_METADATA!$B$4)*(DATOS!$D$2:$D$20000=A160)*(DATOS!$I$2:$I$20000=B160),DATOS!$K$2:$K$20000)),"—"),"")</f>
        <v>—</v>
      </c>
      <c r="H160" s="15" t="str">
        <f>IF(V160="Sí",IFERROR(COUNTIFS(DATOS!G:G,CONFIG_METADATA!$B$4,DATOS!D:D,A160,DATOS!I:I,B160,DATOS!L:L,"S")/COUNTIFS(DATOS!G:G,CONFIG_METADATA!$B$4,DATOS!D:D,A160,DATOS!I:I,B160),"—"),"")</f>
        <v>—</v>
      </c>
      <c r="I160" s="15" t="str">
        <f>IF(V160="Sí",IFERROR(COUNTIFS(DATOS!G:G,CONFIG_METADATA!$B$4,DATOS!D:D,A160,DATOS!I:I,B160,DATOS!L:L,"N")/COUNTIFS(DATOS!G:G,CONFIG_METADATA!$B$4,DATOS!D:D,A160,DATOS!I:I,B160),"—"),"")</f>
        <v>—</v>
      </c>
      <c r="J160" t="str" cm="1">
        <f t="array" ref="J160">IF(V160="Sí",IFERROR(_xlfn.MODE.SNGL(IF((DATOS!$G$2:$G$20000=CONFIG_METADATA!$B$4)*(DATOS!$D$2:$D$20000=A160)*(DATOS!$I$2:$I$20000=B160)*(DATOS!$L$2:$L$20000="S"),DATOS!$K$2:$K$20000)),"—"),"")</f>
        <v>—</v>
      </c>
      <c r="K160" t="str" cm="1">
        <f t="array" ref="K160">IF(V160="Sí",IFERROR(_xlfn.MODE.SNGL(IF((DATOS!$G$2:$G$20000=CONFIG_METADATA!$B$4)*(DATOS!$D$2:$D$20000=A160)*(DATOS!$I$2:$I$20000=B160)*(DATOS!$L$2:$L$20000="N"),DATOS!$K$2:$K$20000)),"—"),"")</f>
        <v>—</v>
      </c>
      <c r="L160">
        <f>IF(V160="Sí",COUNTIFS(DATOS!G:G,CONFIG_METADATA!$B$4,DATOS!D:D,A160,DATOS!I:I,B160,DATOS!K:K,1),"")</f>
        <v>0</v>
      </c>
      <c r="M160">
        <f>IF(V160="Sí",COUNTIFS(DATOS!G:G,CONFIG_METADATA!$B$4,DATOS!D:D,A160,DATOS!I:I,B160,DATOS!K:K,2),"")</f>
        <v>0</v>
      </c>
      <c r="N160">
        <f>IF(V160="Sí",COUNTIFS(DATOS!G:G,CONFIG_METADATA!$B$4,DATOS!D:D,A160,DATOS!I:I,B160,DATOS!K:K,3),"")</f>
        <v>0</v>
      </c>
      <c r="O160">
        <f>IF(V160="Sí",COUNTIFS(DATOS!G:G,CONFIG_METADATA!$B$4,DATOS!D:D,A160,DATOS!I:I,B160,DATOS!K:K,4),"")</f>
        <v>0</v>
      </c>
      <c r="P160">
        <f>IF(V160="Sí",COUNTIFS(DATOS!G:G,CONFIG_METADATA!$B$4,DATOS!D:D,A160,DATOS!I:I,B160,DATOS!K:K,5),"")</f>
        <v>0</v>
      </c>
      <c r="Q160">
        <f>IF(V160="Sí",COUNTIFS(DATOS!G:G,CONFIG_METADATA!$B$4,DATOS!D:D,A160,DATOS!I:I,B160,DATOS!K:K,6),"")</f>
        <v>0</v>
      </c>
      <c r="R160">
        <f>IF(V160="Sí",COUNTIFS(DATOS!G:G,CONFIG_METADATA!$B$4,DATOS!D:D,A160,DATOS!I:I,B160,DATOS!K:K,7),"")</f>
        <v>0</v>
      </c>
      <c r="S160">
        <f>IF(V160="Sí",COUNTIFS(DATOS!G:G,CONFIG_METADATA!$B$4,DATOS!D:D,A160,DATOS!I:I,B160,DATOS!K:K,8),"")</f>
        <v>0</v>
      </c>
      <c r="T160">
        <f>IF(V160="Sí",COUNTIFS(DATOS!G:G,CONFIG_METADATA!$B$4,DATOS!D:D,A160,DATOS!I:I,B160,DATOS!K:K,9),"")</f>
        <v>0</v>
      </c>
      <c r="U160">
        <f>IF(V160="Sí",COUNTIFS(DATOS!G:G,CONFIG_METADATA!$B$4,DATOS!D:D,A160,DATOS!I:I,B160,DATOS!K:K,10),"")</f>
        <v>0</v>
      </c>
      <c r="V160" t="str">
        <f>IFERROR(IF(ISERROR(FIND(A160,VLOOKUP(B160,CONFIG_ASIGNATURAS!B:C,2,FALSE()))),"No","Sí"),"No")</f>
        <v>Sí</v>
      </c>
    </row>
    <row r="161" spans="1:22">
      <c r="A161" s="3" t="inlineStr">
        <is>
          <t xml:space="preserve">2EEM</t>
        </is>
      </c>
      <c r="B161" s="3" cm="1">
        <f t="array" ref="B161">IFERROR(INDEX(_xlfn._xlws.FILTER(CONFIG_ASIGNATURAS!$B$2:$B$61,(CONFIG_ASIGNATURAS!$G$2:$G$61="Sí")*ISNUMBER(SEARCH("2EEM",CONFIG_ASIGNATURAS!$C$2:$C$61))),31),"")</f>
      </c>
      <c r="C161" s="3">
        <f>IF(B161="","",IFERROR(IF(VLOOKUP(B161,CONFIG_ASIGNATURAS!$B$2:$F$61,5,FALSE())="Sí","Especialidad","Asignatura"),"Asignatura"))</f>
      </c>
      <c r="D161">
        <f>IF(V161="Sí",COUNTIFS(DATOS!G:G,CONFIG_METADATA!$B$4,DATOS!D:D,A161,DATOS!I:I,B161),"")</f>
        <v>0</v>
      </c>
      <c r="E161" s="14" t="str">
        <f>IF(V161="Sí",IFERROR(AVERAGEIFS(DATOS!K:K,DATOS!G:G,CONFIG_METADATA!$B$4,DATOS!D:D,A161,DATOS!I:I,B161),"—"),"")</f>
        <v>—</v>
      </c>
      <c r="F161" s="14" t="str" cm="1">
        <f t="array" ref="F161">IF(V161="Sí",IFERROR(_xlfn.STDEV.P(IF((DATOS!$G$2:$G$20000=CONFIG_METADATA!$B$4)*(DATOS!$D$2:$D$20000=A161)*(DATOS!$I$2:$I$20000=B161),DATOS!$K$2:$K$20000)),"—"),"")</f>
        <v>—</v>
      </c>
      <c r="G161" t="str" cm="1">
        <f t="array" ref="G161">IF(V161="Sí",IFERROR(_xlfn.MODE.SNGL(IF((DATOS!$G$2:$G$20000=CONFIG_METADATA!$B$4)*(DATOS!$D$2:$D$20000=A161)*(DATOS!$I$2:$I$20000=B161),DATOS!$K$2:$K$20000)),"—"),"")</f>
        <v>—</v>
      </c>
      <c r="H161" s="15" t="str">
        <f>IF(V161="Sí",IFERROR(COUNTIFS(DATOS!G:G,CONFIG_METADATA!$B$4,DATOS!D:D,A161,DATOS!I:I,B161,DATOS!L:L,"S")/COUNTIFS(DATOS!G:G,CONFIG_METADATA!$B$4,DATOS!D:D,A161,DATOS!I:I,B161),"—"),"")</f>
        <v>—</v>
      </c>
      <c r="I161" s="15" t="str">
        <f>IF(V161="Sí",IFERROR(COUNTIFS(DATOS!G:G,CONFIG_METADATA!$B$4,DATOS!D:D,A161,DATOS!I:I,B161,DATOS!L:L,"N")/COUNTIFS(DATOS!G:G,CONFIG_METADATA!$B$4,DATOS!D:D,A161,DATOS!I:I,B161),"—"),"")</f>
        <v>—</v>
      </c>
      <c r="J161" t="str" cm="1">
        <f t="array" ref="J161">IF(V161="Sí",IFERROR(_xlfn.MODE.SNGL(IF((DATOS!$G$2:$G$20000=CONFIG_METADATA!$B$4)*(DATOS!$D$2:$D$20000=A161)*(DATOS!$I$2:$I$20000=B161)*(DATOS!$L$2:$L$20000="S"),DATOS!$K$2:$K$20000)),"—"),"")</f>
        <v>—</v>
      </c>
      <c r="K161" t="str" cm="1">
        <f t="array" ref="K161">IF(V161="Sí",IFERROR(_xlfn.MODE.SNGL(IF((DATOS!$G$2:$G$20000=CONFIG_METADATA!$B$4)*(DATOS!$D$2:$D$20000=A161)*(DATOS!$I$2:$I$20000=B161)*(DATOS!$L$2:$L$20000="N"),DATOS!$K$2:$K$20000)),"—"),"")</f>
        <v>—</v>
      </c>
      <c r="L161">
        <f>IF(V161="Sí",COUNTIFS(DATOS!G:G,CONFIG_METADATA!$B$4,DATOS!D:D,A161,DATOS!I:I,B161,DATOS!K:K,1),"")</f>
        <v>0</v>
      </c>
      <c r="M161">
        <f>IF(V161="Sí",COUNTIFS(DATOS!G:G,CONFIG_METADATA!$B$4,DATOS!D:D,A161,DATOS!I:I,B161,DATOS!K:K,2),"")</f>
        <v>0</v>
      </c>
      <c r="N161">
        <f>IF(V161="Sí",COUNTIFS(DATOS!G:G,CONFIG_METADATA!$B$4,DATOS!D:D,A161,DATOS!I:I,B161,DATOS!K:K,3),"")</f>
        <v>0</v>
      </c>
      <c r="O161">
        <f>IF(V161="Sí",COUNTIFS(DATOS!G:G,CONFIG_METADATA!$B$4,DATOS!D:D,A161,DATOS!I:I,B161,DATOS!K:K,4),"")</f>
        <v>0</v>
      </c>
      <c r="P161">
        <f>IF(V161="Sí",COUNTIFS(DATOS!G:G,CONFIG_METADATA!$B$4,DATOS!D:D,A161,DATOS!I:I,B161,DATOS!K:K,5),"")</f>
        <v>0</v>
      </c>
      <c r="Q161">
        <f>IF(V161="Sí",COUNTIFS(DATOS!G:G,CONFIG_METADATA!$B$4,DATOS!D:D,A161,DATOS!I:I,B161,DATOS!K:K,6),"")</f>
        <v>0</v>
      </c>
      <c r="R161">
        <f>IF(V161="Sí",COUNTIFS(DATOS!G:G,CONFIG_METADATA!$B$4,DATOS!D:D,A161,DATOS!I:I,B161,DATOS!K:K,7),"")</f>
        <v>0</v>
      </c>
      <c r="S161">
        <f>IF(V161="Sí",COUNTIFS(DATOS!G:G,CONFIG_METADATA!$B$4,DATOS!D:D,A161,DATOS!I:I,B161,DATOS!K:K,8),"")</f>
        <v>0</v>
      </c>
      <c r="T161">
        <f>IF(V161="Sí",COUNTIFS(DATOS!G:G,CONFIG_METADATA!$B$4,DATOS!D:D,A161,DATOS!I:I,B161,DATOS!K:K,9),"")</f>
        <v>0</v>
      </c>
      <c r="U161">
        <f>IF(V161="Sí",COUNTIFS(DATOS!G:G,CONFIG_METADATA!$B$4,DATOS!D:D,A161,DATOS!I:I,B161,DATOS!K:K,10),"")</f>
        <v>0</v>
      </c>
      <c r="V161" t="str">
        <f>IFERROR(IF(ISERROR(FIND(A161,VLOOKUP(B161,CONFIG_ASIGNATURAS!B:C,2,FALSE()))),"No","Sí"),"No")</f>
        <v>Sí</v>
      </c>
    </row>
    <row r="162" spans="1:22">
      <c r="A162" s="3" t="inlineStr">
        <is>
          <t xml:space="preserve">2EEM</t>
        </is>
      </c>
      <c r="B162" s="3" cm="1">
        <f t="array" ref="B162">IFERROR(INDEX(_xlfn._xlws.FILTER(CONFIG_ASIGNATURAS!$B$2:$B$61,(CONFIG_ASIGNATURAS!$G$2:$G$61="Sí")*ISNUMBER(SEARCH("2EEM",CONFIG_ASIGNATURAS!$C$2:$C$61))),32),"")</f>
      </c>
      <c r="C162" s="3">
        <f>IF(B162="","",IFERROR(IF(VLOOKUP(B162,CONFIG_ASIGNATURAS!$B$2:$F$61,5,FALSE())="Sí","Especialidad","Asignatura"),"Asignatura"))</f>
      </c>
      <c r="D162">
        <f>IF(V162="Sí",COUNTIFS(DATOS!G:G,CONFIG_METADATA!$B$4,DATOS!D:D,A162,DATOS!I:I,B162),"")</f>
        <v>0</v>
      </c>
      <c r="E162" s="14" t="str">
        <f>IF(V162="Sí",IFERROR(AVERAGEIFS(DATOS!K:K,DATOS!G:G,CONFIG_METADATA!$B$4,DATOS!D:D,A162,DATOS!I:I,B162),"—"),"")</f>
        <v>—</v>
      </c>
      <c r="F162" s="14" t="str" cm="1">
        <f t="array" ref="F162">IF(V162="Sí",IFERROR(_xlfn.STDEV.P(IF((DATOS!$G$2:$G$20000=CONFIG_METADATA!$B$4)*(DATOS!$D$2:$D$20000=A162)*(DATOS!$I$2:$I$20000=B162),DATOS!$K$2:$K$20000)),"—"),"")</f>
        <v>—</v>
      </c>
      <c r="G162" t="str" cm="1">
        <f t="array" ref="G162">IF(V162="Sí",IFERROR(_xlfn.MODE.SNGL(IF((DATOS!$G$2:$G$20000=CONFIG_METADATA!$B$4)*(DATOS!$D$2:$D$20000=A162)*(DATOS!$I$2:$I$20000=B162),DATOS!$K$2:$K$20000)),"—"),"")</f>
        <v>—</v>
      </c>
      <c r="H162" s="15" t="str">
        <f>IF(V162="Sí",IFERROR(COUNTIFS(DATOS!G:G,CONFIG_METADATA!$B$4,DATOS!D:D,A162,DATOS!I:I,B162,DATOS!L:L,"S")/COUNTIFS(DATOS!G:G,CONFIG_METADATA!$B$4,DATOS!D:D,A162,DATOS!I:I,B162),"—"),"")</f>
        <v>—</v>
      </c>
      <c r="I162" s="15" t="str">
        <f>IF(V162="Sí",IFERROR(COUNTIFS(DATOS!G:G,CONFIG_METADATA!$B$4,DATOS!D:D,A162,DATOS!I:I,B162,DATOS!L:L,"N")/COUNTIFS(DATOS!G:G,CONFIG_METADATA!$B$4,DATOS!D:D,A162,DATOS!I:I,B162),"—"),"")</f>
        <v>—</v>
      </c>
      <c r="J162" t="str" cm="1">
        <f t="array" ref="J162">IF(V162="Sí",IFERROR(_xlfn.MODE.SNGL(IF((DATOS!$G$2:$G$20000=CONFIG_METADATA!$B$4)*(DATOS!$D$2:$D$20000=A162)*(DATOS!$I$2:$I$20000=B162)*(DATOS!$L$2:$L$20000="S"),DATOS!$K$2:$K$20000)),"—"),"")</f>
        <v>—</v>
      </c>
      <c r="K162" t="str" cm="1">
        <f t="array" ref="K162">IF(V162="Sí",IFERROR(_xlfn.MODE.SNGL(IF((DATOS!$G$2:$G$20000=CONFIG_METADATA!$B$4)*(DATOS!$D$2:$D$20000=A162)*(DATOS!$I$2:$I$20000=B162)*(DATOS!$L$2:$L$20000="N"),DATOS!$K$2:$K$20000)),"—"),"")</f>
        <v>—</v>
      </c>
      <c r="L162">
        <f>IF(V162="Sí",COUNTIFS(DATOS!G:G,CONFIG_METADATA!$B$4,DATOS!D:D,A162,DATOS!I:I,B162,DATOS!K:K,1),"")</f>
        <v>0</v>
      </c>
      <c r="M162">
        <f>IF(V162="Sí",COUNTIFS(DATOS!G:G,CONFIG_METADATA!$B$4,DATOS!D:D,A162,DATOS!I:I,B162,DATOS!K:K,2),"")</f>
        <v>0</v>
      </c>
      <c r="N162">
        <f>IF(V162="Sí",COUNTIFS(DATOS!G:G,CONFIG_METADATA!$B$4,DATOS!D:D,A162,DATOS!I:I,B162,DATOS!K:K,3),"")</f>
        <v>0</v>
      </c>
      <c r="O162">
        <f>IF(V162="Sí",COUNTIFS(DATOS!G:G,CONFIG_METADATA!$B$4,DATOS!D:D,A162,DATOS!I:I,B162,DATOS!K:K,4),"")</f>
        <v>0</v>
      </c>
      <c r="P162">
        <f>IF(V162="Sí",COUNTIFS(DATOS!G:G,CONFIG_METADATA!$B$4,DATOS!D:D,A162,DATOS!I:I,B162,DATOS!K:K,5),"")</f>
        <v>0</v>
      </c>
      <c r="Q162">
        <f>IF(V162="Sí",COUNTIFS(DATOS!G:G,CONFIG_METADATA!$B$4,DATOS!D:D,A162,DATOS!I:I,B162,DATOS!K:K,6),"")</f>
        <v>0</v>
      </c>
      <c r="R162">
        <f>IF(V162="Sí",COUNTIFS(DATOS!G:G,CONFIG_METADATA!$B$4,DATOS!D:D,A162,DATOS!I:I,B162,DATOS!K:K,7),"")</f>
        <v>0</v>
      </c>
      <c r="S162">
        <f>IF(V162="Sí",COUNTIFS(DATOS!G:G,CONFIG_METADATA!$B$4,DATOS!D:D,A162,DATOS!I:I,B162,DATOS!K:K,8),"")</f>
        <v>0</v>
      </c>
      <c r="T162">
        <f>IF(V162="Sí",COUNTIFS(DATOS!G:G,CONFIG_METADATA!$B$4,DATOS!D:D,A162,DATOS!I:I,B162,DATOS!K:K,9),"")</f>
        <v>0</v>
      </c>
      <c r="U162">
        <f>IF(V162="Sí",COUNTIFS(DATOS!G:G,CONFIG_METADATA!$B$4,DATOS!D:D,A162,DATOS!I:I,B162,DATOS!K:K,10),"")</f>
        <v>0</v>
      </c>
      <c r="V162" t="str">
        <f>IFERROR(IF(ISERROR(FIND(A162,VLOOKUP(B162,CONFIG_ASIGNATURAS!B:C,2,FALSE()))),"No","Sí"),"No")</f>
        <v>Sí</v>
      </c>
    </row>
    <row r="163" spans="1:22">
      <c r="A163" s="3" t="inlineStr">
        <is>
          <t xml:space="preserve">2EEM</t>
        </is>
      </c>
      <c r="B163" s="3" cm="1">
        <f t="array" ref="B163">IFERROR(INDEX(_xlfn._xlws.FILTER(CONFIG_ASIGNATURAS!$B$2:$B$61,(CONFIG_ASIGNATURAS!$G$2:$G$61="Sí")*ISNUMBER(SEARCH("2EEM",CONFIG_ASIGNATURAS!$C$2:$C$61))),33),"")</f>
      </c>
      <c r="C163" s="3">
        <f>IF(B163="","",IFERROR(IF(VLOOKUP(B163,CONFIG_ASIGNATURAS!$B$2:$F$61,5,FALSE())="Sí","Especialidad","Asignatura"),"Asignatura"))</f>
      </c>
      <c r="D163">
        <f>IF(V163="Sí",COUNTIFS(DATOS!G:G,CONFIG_METADATA!$B$4,DATOS!D:D,A163,DATOS!I:I,B163),"")</f>
        <v>0</v>
      </c>
      <c r="E163" s="14" t="str">
        <f>IF(V163="Sí",IFERROR(AVERAGEIFS(DATOS!K:K,DATOS!G:G,CONFIG_METADATA!$B$4,DATOS!D:D,A163,DATOS!I:I,B163),"—"),"")</f>
        <v>—</v>
      </c>
      <c r="F163" s="14" t="str" cm="1">
        <f t="array" ref="F163">IF(V163="Sí",IFERROR(_xlfn.STDEV.P(IF((DATOS!$G$2:$G$20000=CONFIG_METADATA!$B$4)*(DATOS!$D$2:$D$20000=A163)*(DATOS!$I$2:$I$20000=B163),DATOS!$K$2:$K$20000)),"—"),"")</f>
        <v>—</v>
      </c>
      <c r="G163" t="str" cm="1">
        <f t="array" ref="G163">IF(V163="Sí",IFERROR(_xlfn.MODE.SNGL(IF((DATOS!$G$2:$G$20000=CONFIG_METADATA!$B$4)*(DATOS!$D$2:$D$20000=A163)*(DATOS!$I$2:$I$20000=B163),DATOS!$K$2:$K$20000)),"—"),"")</f>
        <v>—</v>
      </c>
      <c r="H163" s="15" t="str">
        <f>IF(V163="Sí",IFERROR(COUNTIFS(DATOS!G:G,CONFIG_METADATA!$B$4,DATOS!D:D,A163,DATOS!I:I,B163,DATOS!L:L,"S")/COUNTIFS(DATOS!G:G,CONFIG_METADATA!$B$4,DATOS!D:D,A163,DATOS!I:I,B163),"—"),"")</f>
        <v>—</v>
      </c>
      <c r="I163" s="15" t="str">
        <f>IF(V163="Sí",IFERROR(COUNTIFS(DATOS!G:G,CONFIG_METADATA!$B$4,DATOS!D:D,A163,DATOS!I:I,B163,DATOS!L:L,"N")/COUNTIFS(DATOS!G:G,CONFIG_METADATA!$B$4,DATOS!D:D,A163,DATOS!I:I,B163),"—"),"")</f>
        <v>—</v>
      </c>
      <c r="J163" t="str" cm="1">
        <f t="array" ref="J163">IF(V163="Sí",IFERROR(_xlfn.MODE.SNGL(IF((DATOS!$G$2:$G$20000=CONFIG_METADATA!$B$4)*(DATOS!$D$2:$D$20000=A163)*(DATOS!$I$2:$I$20000=B163)*(DATOS!$L$2:$L$20000="S"),DATOS!$K$2:$K$20000)),"—"),"")</f>
        <v>—</v>
      </c>
      <c r="K163" t="str" cm="1">
        <f t="array" ref="K163">IF(V163="Sí",IFERROR(_xlfn.MODE.SNGL(IF((DATOS!$G$2:$G$20000=CONFIG_METADATA!$B$4)*(DATOS!$D$2:$D$20000=A163)*(DATOS!$I$2:$I$20000=B163)*(DATOS!$L$2:$L$20000="N"),DATOS!$K$2:$K$20000)),"—"),"")</f>
        <v>—</v>
      </c>
      <c r="L163">
        <f>IF(V163="Sí",COUNTIFS(DATOS!G:G,CONFIG_METADATA!$B$4,DATOS!D:D,A163,DATOS!I:I,B163,DATOS!K:K,1),"")</f>
        <v>0</v>
      </c>
      <c r="M163">
        <f>IF(V163="Sí",COUNTIFS(DATOS!G:G,CONFIG_METADATA!$B$4,DATOS!D:D,A163,DATOS!I:I,B163,DATOS!K:K,2),"")</f>
        <v>0</v>
      </c>
      <c r="N163">
        <f>IF(V163="Sí",COUNTIFS(DATOS!G:G,CONFIG_METADATA!$B$4,DATOS!D:D,A163,DATOS!I:I,B163,DATOS!K:K,3),"")</f>
        <v>0</v>
      </c>
      <c r="O163">
        <f>IF(V163="Sí",COUNTIFS(DATOS!G:G,CONFIG_METADATA!$B$4,DATOS!D:D,A163,DATOS!I:I,B163,DATOS!K:K,4),"")</f>
        <v>0</v>
      </c>
      <c r="P163">
        <f>IF(V163="Sí",COUNTIFS(DATOS!G:G,CONFIG_METADATA!$B$4,DATOS!D:D,A163,DATOS!I:I,B163,DATOS!K:K,5),"")</f>
        <v>0</v>
      </c>
      <c r="Q163">
        <f>IF(V163="Sí",COUNTIFS(DATOS!G:G,CONFIG_METADATA!$B$4,DATOS!D:D,A163,DATOS!I:I,B163,DATOS!K:K,6),"")</f>
        <v>0</v>
      </c>
      <c r="R163">
        <f>IF(V163="Sí",COUNTIFS(DATOS!G:G,CONFIG_METADATA!$B$4,DATOS!D:D,A163,DATOS!I:I,B163,DATOS!K:K,7),"")</f>
        <v>0</v>
      </c>
      <c r="S163">
        <f>IF(V163="Sí",COUNTIFS(DATOS!G:G,CONFIG_METADATA!$B$4,DATOS!D:D,A163,DATOS!I:I,B163,DATOS!K:K,8),"")</f>
        <v>0</v>
      </c>
      <c r="T163">
        <f>IF(V163="Sí",COUNTIFS(DATOS!G:G,CONFIG_METADATA!$B$4,DATOS!D:D,A163,DATOS!I:I,B163,DATOS!K:K,9),"")</f>
        <v>0</v>
      </c>
      <c r="U163">
        <f>IF(V163="Sí",COUNTIFS(DATOS!G:G,CONFIG_METADATA!$B$4,DATOS!D:D,A163,DATOS!I:I,B163,DATOS!K:K,10),"")</f>
        <v>0</v>
      </c>
      <c r="V163" t="str">
        <f>IFERROR(IF(ISERROR(FIND(A163,VLOOKUP(B163,CONFIG_ASIGNATURAS!B:C,2,FALSE()))),"No","Sí"),"No")</f>
        <v>Sí</v>
      </c>
    </row>
    <row r="164" spans="1:22">
      <c r="A164" s="3" t="inlineStr">
        <is>
          <t xml:space="preserve">2EEM</t>
        </is>
      </c>
      <c r="B164" s="3" cm="1">
        <f t="array" ref="B164">IFERROR(INDEX(_xlfn._xlws.FILTER(CONFIG_ASIGNATURAS!$B$2:$B$61,(CONFIG_ASIGNATURAS!$G$2:$G$61="Sí")*ISNUMBER(SEARCH("2EEM",CONFIG_ASIGNATURAS!$C$2:$C$61))),34),"")</f>
      </c>
      <c r="C164" s="3">
        <f>IF(B164="","",IFERROR(IF(VLOOKUP(B164,CONFIG_ASIGNATURAS!$B$2:$F$61,5,FALSE())="Sí","Especialidad","Asignatura"),"Asignatura"))</f>
      </c>
      <c r="D164">
        <f>IF(V164="Sí",COUNTIFS(DATOS!G:G,CONFIG_METADATA!$B$4,DATOS!D:D,A164,DATOS!I:I,B164),"")</f>
        <v>0</v>
      </c>
      <c r="E164" s="14" t="str">
        <f>IF(V164="Sí",IFERROR(AVERAGEIFS(DATOS!K:K,DATOS!G:G,CONFIG_METADATA!$B$4,DATOS!D:D,A164,DATOS!I:I,B164),"—"),"")</f>
        <v>—</v>
      </c>
      <c r="F164" s="14" t="str" cm="1">
        <f t="array" ref="F164">IF(V164="Sí",IFERROR(_xlfn.STDEV.P(IF((DATOS!$G$2:$G$20000=CONFIG_METADATA!$B$4)*(DATOS!$D$2:$D$20000=A164)*(DATOS!$I$2:$I$20000=B164),DATOS!$K$2:$K$20000)),"—"),"")</f>
        <v>—</v>
      </c>
      <c r="G164" t="str" cm="1">
        <f t="array" ref="G164">IF(V164="Sí",IFERROR(_xlfn.MODE.SNGL(IF((DATOS!$G$2:$G$20000=CONFIG_METADATA!$B$4)*(DATOS!$D$2:$D$20000=A164)*(DATOS!$I$2:$I$20000=B164),DATOS!$K$2:$K$20000)),"—"),"")</f>
        <v>—</v>
      </c>
      <c r="H164" s="15" t="str">
        <f>IF(V164="Sí",IFERROR(COUNTIFS(DATOS!G:G,CONFIG_METADATA!$B$4,DATOS!D:D,A164,DATOS!I:I,B164,DATOS!L:L,"S")/COUNTIFS(DATOS!G:G,CONFIG_METADATA!$B$4,DATOS!D:D,A164,DATOS!I:I,B164),"—"),"")</f>
        <v>—</v>
      </c>
      <c r="I164" s="15" t="str">
        <f>IF(V164="Sí",IFERROR(COUNTIFS(DATOS!G:G,CONFIG_METADATA!$B$4,DATOS!D:D,A164,DATOS!I:I,B164,DATOS!L:L,"N")/COUNTIFS(DATOS!G:G,CONFIG_METADATA!$B$4,DATOS!D:D,A164,DATOS!I:I,B164),"—"),"")</f>
        <v>—</v>
      </c>
      <c r="J164" t="str" cm="1">
        <f t="array" ref="J164">IF(V164="Sí",IFERROR(_xlfn.MODE.SNGL(IF((DATOS!$G$2:$G$20000=CONFIG_METADATA!$B$4)*(DATOS!$D$2:$D$20000=A164)*(DATOS!$I$2:$I$20000=B164)*(DATOS!$L$2:$L$20000="S"),DATOS!$K$2:$K$20000)),"—"),"")</f>
        <v>—</v>
      </c>
      <c r="K164" t="str" cm="1">
        <f t="array" ref="K164">IF(V164="Sí",IFERROR(_xlfn.MODE.SNGL(IF((DATOS!$G$2:$G$20000=CONFIG_METADATA!$B$4)*(DATOS!$D$2:$D$20000=A164)*(DATOS!$I$2:$I$20000=B164)*(DATOS!$L$2:$L$20000="N"),DATOS!$K$2:$K$20000)),"—"),"")</f>
        <v>—</v>
      </c>
      <c r="L164">
        <f>IF(V164="Sí",COUNTIFS(DATOS!G:G,CONFIG_METADATA!$B$4,DATOS!D:D,A164,DATOS!I:I,B164,DATOS!K:K,1),"")</f>
        <v>0</v>
      </c>
      <c r="M164">
        <f>IF(V164="Sí",COUNTIFS(DATOS!G:G,CONFIG_METADATA!$B$4,DATOS!D:D,A164,DATOS!I:I,B164,DATOS!K:K,2),"")</f>
        <v>0</v>
      </c>
      <c r="N164">
        <f>IF(V164="Sí",COUNTIFS(DATOS!G:G,CONFIG_METADATA!$B$4,DATOS!D:D,A164,DATOS!I:I,B164,DATOS!K:K,3),"")</f>
        <v>0</v>
      </c>
      <c r="O164">
        <f>IF(V164="Sí",COUNTIFS(DATOS!G:G,CONFIG_METADATA!$B$4,DATOS!D:D,A164,DATOS!I:I,B164,DATOS!K:K,4),"")</f>
        <v>0</v>
      </c>
      <c r="P164">
        <f>IF(V164="Sí",COUNTIFS(DATOS!G:G,CONFIG_METADATA!$B$4,DATOS!D:D,A164,DATOS!I:I,B164,DATOS!K:K,5),"")</f>
        <v>0</v>
      </c>
      <c r="Q164">
        <f>IF(V164="Sí",COUNTIFS(DATOS!G:G,CONFIG_METADATA!$B$4,DATOS!D:D,A164,DATOS!I:I,B164,DATOS!K:K,6),"")</f>
        <v>0</v>
      </c>
      <c r="R164">
        <f>IF(V164="Sí",COUNTIFS(DATOS!G:G,CONFIG_METADATA!$B$4,DATOS!D:D,A164,DATOS!I:I,B164,DATOS!K:K,7),"")</f>
        <v>0</v>
      </c>
      <c r="S164">
        <f>IF(V164="Sí",COUNTIFS(DATOS!G:G,CONFIG_METADATA!$B$4,DATOS!D:D,A164,DATOS!I:I,B164,DATOS!K:K,8),"")</f>
        <v>0</v>
      </c>
      <c r="T164">
        <f>IF(V164="Sí",COUNTIFS(DATOS!G:G,CONFIG_METADATA!$B$4,DATOS!D:D,A164,DATOS!I:I,B164,DATOS!K:K,9),"")</f>
        <v>0</v>
      </c>
      <c r="U164">
        <f>IF(V164="Sí",COUNTIFS(DATOS!G:G,CONFIG_METADATA!$B$4,DATOS!D:D,A164,DATOS!I:I,B164,DATOS!K:K,10),"")</f>
        <v>0</v>
      </c>
      <c r="V164" t="str">
        <f>IFERROR(IF(ISERROR(FIND(A164,VLOOKUP(B164,CONFIG_ASIGNATURAS!B:C,2,FALSE()))),"No","Sí"),"No")</f>
        <v>Sí</v>
      </c>
    </row>
    <row r="165" spans="1:22">
      <c r="A165" s="3" t="inlineStr">
        <is>
          <t xml:space="preserve">2EEM</t>
        </is>
      </c>
      <c r="B165" s="3" cm="1">
        <f t="array" ref="B165">IFERROR(INDEX(_xlfn._xlws.FILTER(CONFIG_ASIGNATURAS!$B$2:$B$61,(CONFIG_ASIGNATURAS!$G$2:$G$61="Sí")*ISNUMBER(SEARCH("2EEM",CONFIG_ASIGNATURAS!$C$2:$C$61))),35),"")</f>
      </c>
      <c r="C165" s="3">
        <f>IF(B165="","",IFERROR(IF(VLOOKUP(B165,CONFIG_ASIGNATURAS!$B$2:$F$61,5,FALSE())="Sí","Especialidad","Asignatura"),"Asignatura"))</f>
      </c>
      <c r="D165">
        <f>IF(V165="Sí",COUNTIFS(DATOS!G:G,CONFIG_METADATA!$B$4,DATOS!D:D,A165,DATOS!I:I,B165),"")</f>
        <v>0</v>
      </c>
      <c r="E165" s="14" t="str">
        <f>IF(V165="Sí",IFERROR(AVERAGEIFS(DATOS!K:K,DATOS!G:G,CONFIG_METADATA!$B$4,DATOS!D:D,A165,DATOS!I:I,B165),"—"),"")</f>
        <v>—</v>
      </c>
      <c r="F165" s="14" t="str" cm="1">
        <f t="array" ref="F165">IF(V165="Sí",IFERROR(_xlfn.STDEV.P(IF((DATOS!$G$2:$G$20000=CONFIG_METADATA!$B$4)*(DATOS!$D$2:$D$20000=A165)*(DATOS!$I$2:$I$20000=B165),DATOS!$K$2:$K$20000)),"—"),"")</f>
        <v>—</v>
      </c>
      <c r="G165" t="str" cm="1">
        <f t="array" ref="G165">IF(V165="Sí",IFERROR(_xlfn.MODE.SNGL(IF((DATOS!$G$2:$G$20000=CONFIG_METADATA!$B$4)*(DATOS!$D$2:$D$20000=A165)*(DATOS!$I$2:$I$20000=B165),DATOS!$K$2:$K$20000)),"—"),"")</f>
        <v>—</v>
      </c>
      <c r="H165" s="15" t="str">
        <f>IF(V165="Sí",IFERROR(COUNTIFS(DATOS!G:G,CONFIG_METADATA!$B$4,DATOS!D:D,A165,DATOS!I:I,B165,DATOS!L:L,"S")/COUNTIFS(DATOS!G:G,CONFIG_METADATA!$B$4,DATOS!D:D,A165,DATOS!I:I,B165),"—"),"")</f>
        <v>—</v>
      </c>
      <c r="I165" s="15" t="str">
        <f>IF(V165="Sí",IFERROR(COUNTIFS(DATOS!G:G,CONFIG_METADATA!$B$4,DATOS!D:D,A165,DATOS!I:I,B165,DATOS!L:L,"N")/COUNTIFS(DATOS!G:G,CONFIG_METADATA!$B$4,DATOS!D:D,A165,DATOS!I:I,B165),"—"),"")</f>
        <v>—</v>
      </c>
      <c r="J165" t="str" cm="1">
        <f t="array" ref="J165">IF(V165="Sí",IFERROR(_xlfn.MODE.SNGL(IF((DATOS!$G$2:$G$20000=CONFIG_METADATA!$B$4)*(DATOS!$D$2:$D$20000=A165)*(DATOS!$I$2:$I$20000=B165)*(DATOS!$L$2:$L$20000="S"),DATOS!$K$2:$K$20000)),"—"),"")</f>
        <v>—</v>
      </c>
      <c r="K165" t="str" cm="1">
        <f t="array" ref="K165">IF(V165="Sí",IFERROR(_xlfn.MODE.SNGL(IF((DATOS!$G$2:$G$20000=CONFIG_METADATA!$B$4)*(DATOS!$D$2:$D$20000=A165)*(DATOS!$I$2:$I$20000=B165)*(DATOS!$L$2:$L$20000="N"),DATOS!$K$2:$K$20000)),"—"),"")</f>
        <v>—</v>
      </c>
      <c r="L165">
        <f>IF(V165="Sí",COUNTIFS(DATOS!G:G,CONFIG_METADATA!$B$4,DATOS!D:D,A165,DATOS!I:I,B165,DATOS!K:K,1),"")</f>
        <v>0</v>
      </c>
      <c r="M165">
        <f>IF(V165="Sí",COUNTIFS(DATOS!G:G,CONFIG_METADATA!$B$4,DATOS!D:D,A165,DATOS!I:I,B165,DATOS!K:K,2),"")</f>
        <v>0</v>
      </c>
      <c r="N165">
        <f>IF(V165="Sí",COUNTIFS(DATOS!G:G,CONFIG_METADATA!$B$4,DATOS!D:D,A165,DATOS!I:I,B165,DATOS!K:K,3),"")</f>
        <v>0</v>
      </c>
      <c r="O165">
        <f>IF(V165="Sí",COUNTIFS(DATOS!G:G,CONFIG_METADATA!$B$4,DATOS!D:D,A165,DATOS!I:I,B165,DATOS!K:K,4),"")</f>
        <v>0</v>
      </c>
      <c r="P165">
        <f>IF(V165="Sí",COUNTIFS(DATOS!G:G,CONFIG_METADATA!$B$4,DATOS!D:D,A165,DATOS!I:I,B165,DATOS!K:K,5),"")</f>
        <v>0</v>
      </c>
      <c r="Q165">
        <f>IF(V165="Sí",COUNTIFS(DATOS!G:G,CONFIG_METADATA!$B$4,DATOS!D:D,A165,DATOS!I:I,B165,DATOS!K:K,6),"")</f>
        <v>0</v>
      </c>
      <c r="R165">
        <f>IF(V165="Sí",COUNTIFS(DATOS!G:G,CONFIG_METADATA!$B$4,DATOS!D:D,A165,DATOS!I:I,B165,DATOS!K:K,7),"")</f>
        <v>0</v>
      </c>
      <c r="S165">
        <f>IF(V165="Sí",COUNTIFS(DATOS!G:G,CONFIG_METADATA!$B$4,DATOS!D:D,A165,DATOS!I:I,B165,DATOS!K:K,8),"")</f>
        <v>0</v>
      </c>
      <c r="T165">
        <f>IF(V165="Sí",COUNTIFS(DATOS!G:G,CONFIG_METADATA!$B$4,DATOS!D:D,A165,DATOS!I:I,B165,DATOS!K:K,9),"")</f>
        <v>0</v>
      </c>
      <c r="U165">
        <f>IF(V165="Sí",COUNTIFS(DATOS!G:G,CONFIG_METADATA!$B$4,DATOS!D:D,A165,DATOS!I:I,B165,DATOS!K:K,10),"")</f>
        <v>0</v>
      </c>
      <c r="V165" t="str">
        <f>IFERROR(IF(ISERROR(FIND(A165,VLOOKUP(B165,CONFIG_ASIGNATURAS!B:C,2,FALSE()))),"No","Sí"),"No")</f>
        <v>Sí</v>
      </c>
    </row>
    <row r="166" spans="1:22">
      <c r="A166" s="3" t="inlineStr">
        <is>
          <t xml:space="preserve">2EEM</t>
        </is>
      </c>
      <c r="B166" s="3" cm="1">
        <f t="array" ref="B166">IFERROR(INDEX(_xlfn._xlws.FILTER(CONFIG_ASIGNATURAS!$B$2:$B$61,(CONFIG_ASIGNATURAS!$G$2:$G$61="Sí")*ISNUMBER(SEARCH("2EEM",CONFIG_ASIGNATURAS!$C$2:$C$61))),36),"")</f>
      </c>
      <c r="C166" s="3">
        <f>IF(B166="","",IFERROR(IF(VLOOKUP(B166,CONFIG_ASIGNATURAS!$B$2:$F$61,5,FALSE())="Sí","Especialidad","Asignatura"),"Asignatura"))</f>
      </c>
      <c r="D166">
        <f>IF(V166="Sí",COUNTIFS(DATOS!G:G,CONFIG_METADATA!$B$4,DATOS!D:D,A166,DATOS!I:I,B166),"")</f>
        <v>0</v>
      </c>
      <c r="E166" s="14" t="str">
        <f>IF(V166="Sí",IFERROR(AVERAGEIFS(DATOS!K:K,DATOS!G:G,CONFIG_METADATA!$B$4,DATOS!D:D,A166,DATOS!I:I,B166),"—"),"")</f>
        <v>—</v>
      </c>
      <c r="F166" s="14" t="str" cm="1">
        <f t="array" ref="F166">IF(V166="Sí",IFERROR(_xlfn.STDEV.P(IF((DATOS!$G$2:$G$20000=CONFIG_METADATA!$B$4)*(DATOS!$D$2:$D$20000=A166)*(DATOS!$I$2:$I$20000=B166),DATOS!$K$2:$K$20000)),"—"),"")</f>
        <v>—</v>
      </c>
      <c r="G166" t="str" cm="1">
        <f t="array" ref="G166">IF(V166="Sí",IFERROR(_xlfn.MODE.SNGL(IF((DATOS!$G$2:$G$20000=CONFIG_METADATA!$B$4)*(DATOS!$D$2:$D$20000=A166)*(DATOS!$I$2:$I$20000=B166),DATOS!$K$2:$K$20000)),"—"),"")</f>
        <v>—</v>
      </c>
      <c r="H166" s="15" t="str">
        <f>IF(V166="Sí",IFERROR(COUNTIFS(DATOS!G:G,CONFIG_METADATA!$B$4,DATOS!D:D,A166,DATOS!I:I,B166,DATOS!L:L,"S")/COUNTIFS(DATOS!G:G,CONFIG_METADATA!$B$4,DATOS!D:D,A166,DATOS!I:I,B166),"—"),"")</f>
        <v>—</v>
      </c>
      <c r="I166" s="15" t="str">
        <f>IF(V166="Sí",IFERROR(COUNTIFS(DATOS!G:G,CONFIG_METADATA!$B$4,DATOS!D:D,A166,DATOS!I:I,B166,DATOS!L:L,"N")/COUNTIFS(DATOS!G:G,CONFIG_METADATA!$B$4,DATOS!D:D,A166,DATOS!I:I,B166),"—"),"")</f>
        <v>—</v>
      </c>
      <c r="J166" t="str" cm="1">
        <f t="array" ref="J166">IF(V166="Sí",IFERROR(_xlfn.MODE.SNGL(IF((DATOS!$G$2:$G$20000=CONFIG_METADATA!$B$4)*(DATOS!$D$2:$D$20000=A166)*(DATOS!$I$2:$I$20000=B166)*(DATOS!$L$2:$L$20000="S"),DATOS!$K$2:$K$20000)),"—"),"")</f>
        <v>—</v>
      </c>
      <c r="K166" t="str" cm="1">
        <f t="array" ref="K166">IF(V166="Sí",IFERROR(_xlfn.MODE.SNGL(IF((DATOS!$G$2:$G$20000=CONFIG_METADATA!$B$4)*(DATOS!$D$2:$D$20000=A166)*(DATOS!$I$2:$I$20000=B166)*(DATOS!$L$2:$L$20000="N"),DATOS!$K$2:$K$20000)),"—"),"")</f>
        <v>—</v>
      </c>
      <c r="L166">
        <f>IF(V166="Sí",COUNTIFS(DATOS!G:G,CONFIG_METADATA!$B$4,DATOS!D:D,A166,DATOS!I:I,B166,DATOS!K:K,1),"")</f>
        <v>0</v>
      </c>
      <c r="M166">
        <f>IF(V166="Sí",COUNTIFS(DATOS!G:G,CONFIG_METADATA!$B$4,DATOS!D:D,A166,DATOS!I:I,B166,DATOS!K:K,2),"")</f>
        <v>0</v>
      </c>
      <c r="N166">
        <f>IF(V166="Sí",COUNTIFS(DATOS!G:G,CONFIG_METADATA!$B$4,DATOS!D:D,A166,DATOS!I:I,B166,DATOS!K:K,3),"")</f>
        <v>0</v>
      </c>
      <c r="O166">
        <f>IF(V166="Sí",COUNTIFS(DATOS!G:G,CONFIG_METADATA!$B$4,DATOS!D:D,A166,DATOS!I:I,B166,DATOS!K:K,4),"")</f>
        <v>0</v>
      </c>
      <c r="P166">
        <f>IF(V166="Sí",COUNTIFS(DATOS!G:G,CONFIG_METADATA!$B$4,DATOS!D:D,A166,DATOS!I:I,B166,DATOS!K:K,5),"")</f>
        <v>0</v>
      </c>
      <c r="Q166">
        <f>IF(V166="Sí",COUNTIFS(DATOS!G:G,CONFIG_METADATA!$B$4,DATOS!D:D,A166,DATOS!I:I,B166,DATOS!K:K,6),"")</f>
        <v>0</v>
      </c>
      <c r="R166">
        <f>IF(V166="Sí",COUNTIFS(DATOS!G:G,CONFIG_METADATA!$B$4,DATOS!D:D,A166,DATOS!I:I,B166,DATOS!K:K,7),"")</f>
        <v>0</v>
      </c>
      <c r="S166">
        <f>IF(V166="Sí",COUNTIFS(DATOS!G:G,CONFIG_METADATA!$B$4,DATOS!D:D,A166,DATOS!I:I,B166,DATOS!K:K,8),"")</f>
        <v>0</v>
      </c>
      <c r="T166">
        <f>IF(V166="Sí",COUNTIFS(DATOS!G:G,CONFIG_METADATA!$B$4,DATOS!D:D,A166,DATOS!I:I,B166,DATOS!K:K,9),"")</f>
        <v>0</v>
      </c>
      <c r="U166">
        <f>IF(V166="Sí",COUNTIFS(DATOS!G:G,CONFIG_METADATA!$B$4,DATOS!D:D,A166,DATOS!I:I,B166,DATOS!K:K,10),"")</f>
        <v>0</v>
      </c>
      <c r="V166" t="str">
        <f>IFERROR(IF(ISERROR(FIND(A166,VLOOKUP(B166,CONFIG_ASIGNATURAS!B:C,2,FALSE()))),"No","Sí"),"No")</f>
        <v>Sí</v>
      </c>
    </row>
    <row r="167" spans="1:22">
      <c r="A167" s="3" t="inlineStr">
        <is>
          <t xml:space="preserve">2EEM</t>
        </is>
      </c>
      <c r="B167" s="3" cm="1">
        <f t="array" ref="B167">IFERROR(INDEX(_xlfn._xlws.FILTER(CONFIG_ASIGNATURAS!$B$2:$B$61,(CONFIG_ASIGNATURAS!$G$2:$G$61="Sí")*ISNUMBER(SEARCH("2EEM",CONFIG_ASIGNATURAS!$C$2:$C$61))),37),"")</f>
      </c>
      <c r="C167" s="3">
        <f>IF(B167="","",IFERROR(IF(VLOOKUP(B167,CONFIG_ASIGNATURAS!$B$2:$F$61,5,FALSE())="Sí","Especialidad","Asignatura"),"Asignatura"))</f>
      </c>
      <c r="D167">
        <f>IF(V167="Sí",COUNTIFS(DATOS!G:G,CONFIG_METADATA!$B$4,DATOS!D:D,A167,DATOS!I:I,B167),"")</f>
        <v>0</v>
      </c>
      <c r="E167" s="14" t="str">
        <f>IF(V167="Sí",IFERROR(AVERAGEIFS(DATOS!K:K,DATOS!G:G,CONFIG_METADATA!$B$4,DATOS!D:D,A167,DATOS!I:I,B167),"—"),"")</f>
        <v>—</v>
      </c>
      <c r="F167" s="14" t="str" cm="1">
        <f t="array" ref="F167">IF(V167="Sí",IFERROR(_xlfn.STDEV.P(IF((DATOS!$G$2:$G$20000=CONFIG_METADATA!$B$4)*(DATOS!$D$2:$D$20000=A167)*(DATOS!$I$2:$I$20000=B167),DATOS!$K$2:$K$20000)),"—"),"")</f>
        <v>—</v>
      </c>
      <c r="G167" t="str" cm="1">
        <f t="array" ref="G167">IF(V167="Sí",IFERROR(_xlfn.MODE.SNGL(IF((DATOS!$G$2:$G$20000=CONFIG_METADATA!$B$4)*(DATOS!$D$2:$D$20000=A167)*(DATOS!$I$2:$I$20000=B167),DATOS!$K$2:$K$20000)),"—"),"")</f>
        <v>—</v>
      </c>
      <c r="H167" s="15" t="str">
        <f>IF(V167="Sí",IFERROR(COUNTIFS(DATOS!G:G,CONFIG_METADATA!$B$4,DATOS!D:D,A167,DATOS!I:I,B167,DATOS!L:L,"S")/COUNTIFS(DATOS!G:G,CONFIG_METADATA!$B$4,DATOS!D:D,A167,DATOS!I:I,B167),"—"),"")</f>
        <v>—</v>
      </c>
      <c r="I167" s="15" t="str">
        <f>IF(V167="Sí",IFERROR(COUNTIFS(DATOS!G:G,CONFIG_METADATA!$B$4,DATOS!D:D,A167,DATOS!I:I,B167,DATOS!L:L,"N")/COUNTIFS(DATOS!G:G,CONFIG_METADATA!$B$4,DATOS!D:D,A167,DATOS!I:I,B167),"—"),"")</f>
        <v>—</v>
      </c>
      <c r="J167" t="str" cm="1">
        <f t="array" ref="J167">IF(V167="Sí",IFERROR(_xlfn.MODE.SNGL(IF((DATOS!$G$2:$G$20000=CONFIG_METADATA!$B$4)*(DATOS!$D$2:$D$20000=A167)*(DATOS!$I$2:$I$20000=B167)*(DATOS!$L$2:$L$20000="S"),DATOS!$K$2:$K$20000)),"—"),"")</f>
        <v>—</v>
      </c>
      <c r="K167" t="str" cm="1">
        <f t="array" ref="K167">IF(V167="Sí",IFERROR(_xlfn.MODE.SNGL(IF((DATOS!$G$2:$G$20000=CONFIG_METADATA!$B$4)*(DATOS!$D$2:$D$20000=A167)*(DATOS!$I$2:$I$20000=B167)*(DATOS!$L$2:$L$20000="N"),DATOS!$K$2:$K$20000)),"—"),"")</f>
        <v>—</v>
      </c>
      <c r="L167">
        <f>IF(V167="Sí",COUNTIFS(DATOS!G:G,CONFIG_METADATA!$B$4,DATOS!D:D,A167,DATOS!I:I,B167,DATOS!K:K,1),"")</f>
        <v>0</v>
      </c>
      <c r="M167">
        <f>IF(V167="Sí",COUNTIFS(DATOS!G:G,CONFIG_METADATA!$B$4,DATOS!D:D,A167,DATOS!I:I,B167,DATOS!K:K,2),"")</f>
        <v>0</v>
      </c>
      <c r="N167">
        <f>IF(V167="Sí",COUNTIFS(DATOS!G:G,CONFIG_METADATA!$B$4,DATOS!D:D,A167,DATOS!I:I,B167,DATOS!K:K,3),"")</f>
        <v>0</v>
      </c>
      <c r="O167">
        <f>IF(V167="Sí",COUNTIFS(DATOS!G:G,CONFIG_METADATA!$B$4,DATOS!D:D,A167,DATOS!I:I,B167,DATOS!K:K,4),"")</f>
        <v>0</v>
      </c>
      <c r="P167">
        <f>IF(V167="Sí",COUNTIFS(DATOS!G:G,CONFIG_METADATA!$B$4,DATOS!D:D,A167,DATOS!I:I,B167,DATOS!K:K,5),"")</f>
        <v>0</v>
      </c>
      <c r="Q167">
        <f>IF(V167="Sí",COUNTIFS(DATOS!G:G,CONFIG_METADATA!$B$4,DATOS!D:D,A167,DATOS!I:I,B167,DATOS!K:K,6),"")</f>
        <v>0</v>
      </c>
      <c r="R167">
        <f>IF(V167="Sí",COUNTIFS(DATOS!G:G,CONFIG_METADATA!$B$4,DATOS!D:D,A167,DATOS!I:I,B167,DATOS!K:K,7),"")</f>
        <v>0</v>
      </c>
      <c r="S167">
        <f>IF(V167="Sí",COUNTIFS(DATOS!G:G,CONFIG_METADATA!$B$4,DATOS!D:D,A167,DATOS!I:I,B167,DATOS!K:K,8),"")</f>
        <v>0</v>
      </c>
      <c r="T167">
        <f>IF(V167="Sí",COUNTIFS(DATOS!G:G,CONFIG_METADATA!$B$4,DATOS!D:D,A167,DATOS!I:I,B167,DATOS!K:K,9),"")</f>
        <v>0</v>
      </c>
      <c r="U167">
        <f>IF(V167="Sí",COUNTIFS(DATOS!G:G,CONFIG_METADATA!$B$4,DATOS!D:D,A167,DATOS!I:I,B167,DATOS!K:K,10),"")</f>
        <v>0</v>
      </c>
      <c r="V167" t="str">
        <f>IFERROR(IF(ISERROR(FIND(A167,VLOOKUP(B167,CONFIG_ASIGNATURAS!B:C,2,FALSE()))),"No","Sí"),"No")</f>
        <v>Sí</v>
      </c>
    </row>
    <row r="168" spans="1:22">
      <c r="A168" s="3" t="inlineStr">
        <is>
          <t xml:space="preserve">2EEM</t>
        </is>
      </c>
      <c r="B168" s="3" cm="1">
        <f t="array" ref="B168">IFERROR(INDEX(_xlfn._xlws.FILTER(CONFIG_ASIGNATURAS!$B$2:$B$61,(CONFIG_ASIGNATURAS!$G$2:$G$61="Sí")*ISNUMBER(SEARCH("2EEM",CONFIG_ASIGNATURAS!$C$2:$C$61))),38),"")</f>
      </c>
      <c r="C168" s="3">
        <f>IF(B168="","",IFERROR(IF(VLOOKUP(B168,CONFIG_ASIGNATURAS!$B$2:$F$61,5,FALSE())="Sí","Especialidad","Asignatura"),"Asignatura"))</f>
      </c>
      <c r="D168">
        <f>IF(V168="Sí",COUNTIFS(DATOS!G:G,CONFIG_METADATA!$B$4,DATOS!D:D,A168,DATOS!I:I,B168),"")</f>
        <v>0</v>
      </c>
      <c r="E168" s="14" t="str">
        <f>IF(V168="Sí",IFERROR(AVERAGEIFS(DATOS!K:K,DATOS!G:G,CONFIG_METADATA!$B$4,DATOS!D:D,A168,DATOS!I:I,B168),"—"),"")</f>
        <v>—</v>
      </c>
      <c r="F168" s="14" t="str" cm="1">
        <f t="array" ref="F168">IF(V168="Sí",IFERROR(_xlfn.STDEV.P(IF((DATOS!$G$2:$G$20000=CONFIG_METADATA!$B$4)*(DATOS!$D$2:$D$20000=A168)*(DATOS!$I$2:$I$20000=B168),DATOS!$K$2:$K$20000)),"—"),"")</f>
        <v>—</v>
      </c>
      <c r="G168" t="str" cm="1">
        <f t="array" ref="G168">IF(V168="Sí",IFERROR(_xlfn.MODE.SNGL(IF((DATOS!$G$2:$G$20000=CONFIG_METADATA!$B$4)*(DATOS!$D$2:$D$20000=A168)*(DATOS!$I$2:$I$20000=B168),DATOS!$K$2:$K$20000)),"—"),"")</f>
        <v>—</v>
      </c>
      <c r="H168" s="15" t="str">
        <f>IF(V168="Sí",IFERROR(COUNTIFS(DATOS!G:G,CONFIG_METADATA!$B$4,DATOS!D:D,A168,DATOS!I:I,B168,DATOS!L:L,"S")/COUNTIFS(DATOS!G:G,CONFIG_METADATA!$B$4,DATOS!D:D,A168,DATOS!I:I,B168),"—"),"")</f>
        <v>—</v>
      </c>
      <c r="I168" s="15" t="str">
        <f>IF(V168="Sí",IFERROR(COUNTIFS(DATOS!G:G,CONFIG_METADATA!$B$4,DATOS!D:D,A168,DATOS!I:I,B168,DATOS!L:L,"N")/COUNTIFS(DATOS!G:G,CONFIG_METADATA!$B$4,DATOS!D:D,A168,DATOS!I:I,B168),"—"),"")</f>
        <v>—</v>
      </c>
      <c r="J168" t="str" cm="1">
        <f t="array" ref="J168">IF(V168="Sí",IFERROR(_xlfn.MODE.SNGL(IF((DATOS!$G$2:$G$20000=CONFIG_METADATA!$B$4)*(DATOS!$D$2:$D$20000=A168)*(DATOS!$I$2:$I$20000=B168)*(DATOS!$L$2:$L$20000="S"),DATOS!$K$2:$K$20000)),"—"),"")</f>
        <v>—</v>
      </c>
      <c r="K168" t="str" cm="1">
        <f t="array" ref="K168">IF(V168="Sí",IFERROR(_xlfn.MODE.SNGL(IF((DATOS!$G$2:$G$20000=CONFIG_METADATA!$B$4)*(DATOS!$D$2:$D$20000=A168)*(DATOS!$I$2:$I$20000=B168)*(DATOS!$L$2:$L$20000="N"),DATOS!$K$2:$K$20000)),"—"),"")</f>
        <v>—</v>
      </c>
      <c r="L168">
        <f>IF(V168="Sí",COUNTIFS(DATOS!G:G,CONFIG_METADATA!$B$4,DATOS!D:D,A168,DATOS!I:I,B168,DATOS!K:K,1),"")</f>
        <v>0</v>
      </c>
      <c r="M168">
        <f>IF(V168="Sí",COUNTIFS(DATOS!G:G,CONFIG_METADATA!$B$4,DATOS!D:D,A168,DATOS!I:I,B168,DATOS!K:K,2),"")</f>
        <v>0</v>
      </c>
      <c r="N168">
        <f>IF(V168="Sí",COUNTIFS(DATOS!G:G,CONFIG_METADATA!$B$4,DATOS!D:D,A168,DATOS!I:I,B168,DATOS!K:K,3),"")</f>
        <v>0</v>
      </c>
      <c r="O168">
        <f>IF(V168="Sí",COUNTIFS(DATOS!G:G,CONFIG_METADATA!$B$4,DATOS!D:D,A168,DATOS!I:I,B168,DATOS!K:K,4),"")</f>
        <v>0</v>
      </c>
      <c r="P168">
        <f>IF(V168="Sí",COUNTIFS(DATOS!G:G,CONFIG_METADATA!$B$4,DATOS!D:D,A168,DATOS!I:I,B168,DATOS!K:K,5),"")</f>
        <v>0</v>
      </c>
      <c r="Q168">
        <f>IF(V168="Sí",COUNTIFS(DATOS!G:G,CONFIG_METADATA!$B$4,DATOS!D:D,A168,DATOS!I:I,B168,DATOS!K:K,6),"")</f>
        <v>0</v>
      </c>
      <c r="R168">
        <f>IF(V168="Sí",COUNTIFS(DATOS!G:G,CONFIG_METADATA!$B$4,DATOS!D:D,A168,DATOS!I:I,B168,DATOS!K:K,7),"")</f>
        <v>0</v>
      </c>
      <c r="S168">
        <f>IF(V168="Sí",COUNTIFS(DATOS!G:G,CONFIG_METADATA!$B$4,DATOS!D:D,A168,DATOS!I:I,B168,DATOS!K:K,8),"")</f>
        <v>0</v>
      </c>
      <c r="T168">
        <f>IF(V168="Sí",COUNTIFS(DATOS!G:G,CONFIG_METADATA!$B$4,DATOS!D:D,A168,DATOS!I:I,B168,DATOS!K:K,9),"")</f>
        <v>0</v>
      </c>
      <c r="U168">
        <f>IF(V168="Sí",COUNTIFS(DATOS!G:G,CONFIG_METADATA!$B$4,DATOS!D:D,A168,DATOS!I:I,B168,DATOS!K:K,10),"")</f>
        <v>0</v>
      </c>
      <c r="V168" t="str">
        <f>IFERROR(IF(ISERROR(FIND(A168,VLOOKUP(B168,CONFIG_ASIGNATURAS!B:C,2,FALSE()))),"No","Sí"),"No")</f>
        <v>Sí</v>
      </c>
    </row>
    <row r="169" spans="1:22">
      <c r="A169" s="3" t="inlineStr">
        <is>
          <t xml:space="preserve">2EEM</t>
        </is>
      </c>
      <c r="B169" s="3" cm="1">
        <f t="array" ref="B169">IFERROR(INDEX(_xlfn._xlws.FILTER(CONFIG_ASIGNATURAS!$B$2:$B$61,(CONFIG_ASIGNATURAS!$G$2:$G$61="Sí")*ISNUMBER(SEARCH("2EEM",CONFIG_ASIGNATURAS!$C$2:$C$61))),39),"")</f>
      </c>
      <c r="C169" s="3">
        <f>IF(B169="","",IFERROR(IF(VLOOKUP(B169,CONFIG_ASIGNATURAS!$B$2:$F$61,5,FALSE())="Sí","Especialidad","Asignatura"),"Asignatura"))</f>
      </c>
      <c r="D169">
        <f>IF(V169="Sí",COUNTIFS(DATOS!G:G,CONFIG_METADATA!$B$4,DATOS!D:D,A169,DATOS!I:I,B169),"")</f>
        <v>0</v>
      </c>
      <c r="E169" s="14" t="str">
        <f>IF(V169="Sí",IFERROR(AVERAGEIFS(DATOS!K:K,DATOS!G:G,CONFIG_METADATA!$B$4,DATOS!D:D,A169,DATOS!I:I,B169),"—"),"")</f>
        <v>—</v>
      </c>
      <c r="F169" s="14" t="str" cm="1">
        <f t="array" ref="F169">IF(V169="Sí",IFERROR(_xlfn.STDEV.P(IF((DATOS!$G$2:$G$20000=CONFIG_METADATA!$B$4)*(DATOS!$D$2:$D$20000=A169)*(DATOS!$I$2:$I$20000=B169),DATOS!$K$2:$K$20000)),"—"),"")</f>
        <v>—</v>
      </c>
      <c r="G169" t="str" cm="1">
        <f t="array" ref="G169">IF(V169="Sí",IFERROR(_xlfn.MODE.SNGL(IF((DATOS!$G$2:$G$20000=CONFIG_METADATA!$B$4)*(DATOS!$D$2:$D$20000=A169)*(DATOS!$I$2:$I$20000=B169),DATOS!$K$2:$K$20000)),"—"),"")</f>
        <v>—</v>
      </c>
      <c r="H169" s="15" t="str">
        <f>IF(V169="Sí",IFERROR(COUNTIFS(DATOS!G:G,CONFIG_METADATA!$B$4,DATOS!D:D,A169,DATOS!I:I,B169,DATOS!L:L,"S")/COUNTIFS(DATOS!G:G,CONFIG_METADATA!$B$4,DATOS!D:D,A169,DATOS!I:I,B169),"—"),"")</f>
        <v>—</v>
      </c>
      <c r="I169" s="15" t="str">
        <f>IF(V169="Sí",IFERROR(COUNTIFS(DATOS!G:G,CONFIG_METADATA!$B$4,DATOS!D:D,A169,DATOS!I:I,B169,DATOS!L:L,"N")/COUNTIFS(DATOS!G:G,CONFIG_METADATA!$B$4,DATOS!D:D,A169,DATOS!I:I,B169),"—"),"")</f>
        <v>—</v>
      </c>
      <c r="J169" t="str" cm="1">
        <f t="array" ref="J169">IF(V169="Sí",IFERROR(_xlfn.MODE.SNGL(IF((DATOS!$G$2:$G$20000=CONFIG_METADATA!$B$4)*(DATOS!$D$2:$D$20000=A169)*(DATOS!$I$2:$I$20000=B169)*(DATOS!$L$2:$L$20000="S"),DATOS!$K$2:$K$20000)),"—"),"")</f>
        <v>—</v>
      </c>
      <c r="K169" t="str" cm="1">
        <f t="array" ref="K169">IF(V169="Sí",IFERROR(_xlfn.MODE.SNGL(IF((DATOS!$G$2:$G$20000=CONFIG_METADATA!$B$4)*(DATOS!$D$2:$D$20000=A169)*(DATOS!$I$2:$I$20000=B169)*(DATOS!$L$2:$L$20000="N"),DATOS!$K$2:$K$20000)),"—"),"")</f>
        <v>—</v>
      </c>
      <c r="L169">
        <f>IF(V169="Sí",COUNTIFS(DATOS!G:G,CONFIG_METADATA!$B$4,DATOS!D:D,A169,DATOS!I:I,B169,DATOS!K:K,1),"")</f>
        <v>0</v>
      </c>
      <c r="M169">
        <f>IF(V169="Sí",COUNTIFS(DATOS!G:G,CONFIG_METADATA!$B$4,DATOS!D:D,A169,DATOS!I:I,B169,DATOS!K:K,2),"")</f>
        <v>0</v>
      </c>
      <c r="N169">
        <f>IF(V169="Sí",COUNTIFS(DATOS!G:G,CONFIG_METADATA!$B$4,DATOS!D:D,A169,DATOS!I:I,B169,DATOS!K:K,3),"")</f>
        <v>0</v>
      </c>
      <c r="O169">
        <f>IF(V169="Sí",COUNTIFS(DATOS!G:G,CONFIG_METADATA!$B$4,DATOS!D:D,A169,DATOS!I:I,B169,DATOS!K:K,4),"")</f>
        <v>0</v>
      </c>
      <c r="P169">
        <f>IF(V169="Sí",COUNTIFS(DATOS!G:G,CONFIG_METADATA!$B$4,DATOS!D:D,A169,DATOS!I:I,B169,DATOS!K:K,5),"")</f>
        <v>0</v>
      </c>
      <c r="Q169">
        <f>IF(V169="Sí",COUNTIFS(DATOS!G:G,CONFIG_METADATA!$B$4,DATOS!D:D,A169,DATOS!I:I,B169,DATOS!K:K,6),"")</f>
        <v>0</v>
      </c>
      <c r="R169">
        <f>IF(V169="Sí",COUNTIFS(DATOS!G:G,CONFIG_METADATA!$B$4,DATOS!D:D,A169,DATOS!I:I,B169,DATOS!K:K,7),"")</f>
        <v>0</v>
      </c>
      <c r="S169">
        <f>IF(V169="Sí",COUNTIFS(DATOS!G:G,CONFIG_METADATA!$B$4,DATOS!D:D,A169,DATOS!I:I,B169,DATOS!K:K,8),"")</f>
        <v>0</v>
      </c>
      <c r="T169">
        <f>IF(V169="Sí",COUNTIFS(DATOS!G:G,CONFIG_METADATA!$B$4,DATOS!D:D,A169,DATOS!I:I,B169,DATOS!K:K,9),"")</f>
        <v>0</v>
      </c>
      <c r="U169">
        <f>IF(V169="Sí",COUNTIFS(DATOS!G:G,CONFIG_METADATA!$B$4,DATOS!D:D,A169,DATOS!I:I,B169,DATOS!K:K,10),"")</f>
        <v>0</v>
      </c>
      <c r="V169" t="str">
        <f>IFERROR(IF(ISERROR(FIND(A169,VLOOKUP(B169,CONFIG_ASIGNATURAS!B:C,2,FALSE()))),"No","Sí"),"No")</f>
        <v>Sí</v>
      </c>
    </row>
    <row r="170" spans="1:22">
      <c r="A170" s="3" t="inlineStr">
        <is>
          <t xml:space="preserve">2EEM</t>
        </is>
      </c>
      <c r="B170" s="3" cm="1">
        <f t="array" ref="B170">IFERROR(INDEX(_xlfn._xlws.FILTER(CONFIG_ASIGNATURAS!$B$2:$B$61,(CONFIG_ASIGNATURAS!$G$2:$G$61="Sí")*ISNUMBER(SEARCH("2EEM",CONFIG_ASIGNATURAS!$C$2:$C$61))),40),"")</f>
      </c>
      <c r="C170" s="3">
        <f>IF(B170="","",IFERROR(IF(VLOOKUP(B170,CONFIG_ASIGNATURAS!$B$2:$F$61,5,FALSE())="Sí","Especialidad","Asignatura"),"Asignatura"))</f>
      </c>
      <c r="D170">
        <f>IF(V170="Sí",COUNTIFS(DATOS!G:G,CONFIG_METADATA!$B$4,DATOS!D:D,A170,DATOS!I:I,B170),"")</f>
        <v>0</v>
      </c>
      <c r="E170" s="14" t="str">
        <f>IF(V170="Sí",IFERROR(AVERAGEIFS(DATOS!K:K,DATOS!G:G,CONFIG_METADATA!$B$4,DATOS!D:D,A170,DATOS!I:I,B170),"—"),"")</f>
        <v>—</v>
      </c>
      <c r="F170" s="14" t="str" cm="1">
        <f t="array" ref="F170">IF(V170="Sí",IFERROR(_xlfn.STDEV.P(IF((DATOS!$G$2:$G$20000=CONFIG_METADATA!$B$4)*(DATOS!$D$2:$D$20000=A170)*(DATOS!$I$2:$I$20000=B170),DATOS!$K$2:$K$20000)),"—"),"")</f>
        <v>—</v>
      </c>
      <c r="G170" t="str" cm="1">
        <f t="array" ref="G170">IF(V170="Sí",IFERROR(_xlfn.MODE.SNGL(IF((DATOS!$G$2:$G$20000=CONFIG_METADATA!$B$4)*(DATOS!$D$2:$D$20000=A170)*(DATOS!$I$2:$I$20000=B170),DATOS!$K$2:$K$20000)),"—"),"")</f>
        <v>—</v>
      </c>
      <c r="H170" s="15" t="str">
        <f>IF(V170="Sí",IFERROR(COUNTIFS(DATOS!G:G,CONFIG_METADATA!$B$4,DATOS!D:D,A170,DATOS!I:I,B170,DATOS!L:L,"S")/COUNTIFS(DATOS!G:G,CONFIG_METADATA!$B$4,DATOS!D:D,A170,DATOS!I:I,B170),"—"),"")</f>
        <v>—</v>
      </c>
      <c r="I170" s="15" t="str">
        <f>IF(V170="Sí",IFERROR(COUNTIFS(DATOS!G:G,CONFIG_METADATA!$B$4,DATOS!D:D,A170,DATOS!I:I,B170,DATOS!L:L,"N")/COUNTIFS(DATOS!G:G,CONFIG_METADATA!$B$4,DATOS!D:D,A170,DATOS!I:I,B170),"—"),"")</f>
        <v>—</v>
      </c>
      <c r="J170" t="str" cm="1">
        <f t="array" ref="J170">IF(V170="Sí",IFERROR(_xlfn.MODE.SNGL(IF((DATOS!$G$2:$G$20000=CONFIG_METADATA!$B$4)*(DATOS!$D$2:$D$20000=A170)*(DATOS!$I$2:$I$20000=B170)*(DATOS!$L$2:$L$20000="S"),DATOS!$K$2:$K$20000)),"—"),"")</f>
        <v>—</v>
      </c>
      <c r="K170" t="str" cm="1">
        <f t="array" ref="K170">IF(V170="Sí",IFERROR(_xlfn.MODE.SNGL(IF((DATOS!$G$2:$G$20000=CONFIG_METADATA!$B$4)*(DATOS!$D$2:$D$20000=A170)*(DATOS!$I$2:$I$20000=B170)*(DATOS!$L$2:$L$20000="N"),DATOS!$K$2:$K$20000)),"—"),"")</f>
        <v>—</v>
      </c>
      <c r="L170">
        <f>IF(V170="Sí",COUNTIFS(DATOS!G:G,CONFIG_METADATA!$B$4,DATOS!D:D,A170,DATOS!I:I,B170,DATOS!K:K,1),"")</f>
        <v>0</v>
      </c>
      <c r="M170">
        <f>IF(V170="Sí",COUNTIFS(DATOS!G:G,CONFIG_METADATA!$B$4,DATOS!D:D,A170,DATOS!I:I,B170,DATOS!K:K,2),"")</f>
        <v>0</v>
      </c>
      <c r="N170">
        <f>IF(V170="Sí",COUNTIFS(DATOS!G:G,CONFIG_METADATA!$B$4,DATOS!D:D,A170,DATOS!I:I,B170,DATOS!K:K,3),"")</f>
        <v>0</v>
      </c>
      <c r="O170">
        <f>IF(V170="Sí",COUNTIFS(DATOS!G:G,CONFIG_METADATA!$B$4,DATOS!D:D,A170,DATOS!I:I,B170,DATOS!K:K,4),"")</f>
        <v>0</v>
      </c>
      <c r="P170">
        <f>IF(V170="Sí",COUNTIFS(DATOS!G:G,CONFIG_METADATA!$B$4,DATOS!D:D,A170,DATOS!I:I,B170,DATOS!K:K,5),"")</f>
        <v>0</v>
      </c>
      <c r="Q170">
        <f>IF(V170="Sí",COUNTIFS(DATOS!G:G,CONFIG_METADATA!$B$4,DATOS!D:D,A170,DATOS!I:I,B170,DATOS!K:K,6),"")</f>
        <v>0</v>
      </c>
      <c r="R170">
        <f>IF(V170="Sí",COUNTIFS(DATOS!G:G,CONFIG_METADATA!$B$4,DATOS!D:D,A170,DATOS!I:I,B170,DATOS!K:K,7),"")</f>
        <v>0</v>
      </c>
      <c r="S170">
        <f>IF(V170="Sí",COUNTIFS(DATOS!G:G,CONFIG_METADATA!$B$4,DATOS!D:D,A170,DATOS!I:I,B170,DATOS!K:K,8),"")</f>
        <v>0</v>
      </c>
      <c r="T170">
        <f>IF(V170="Sí",COUNTIFS(DATOS!G:G,CONFIG_METADATA!$B$4,DATOS!D:D,A170,DATOS!I:I,B170,DATOS!K:K,9),"")</f>
        <v>0</v>
      </c>
      <c r="U170">
        <f>IF(V170="Sí",COUNTIFS(DATOS!G:G,CONFIG_METADATA!$B$4,DATOS!D:D,A170,DATOS!I:I,B170,DATOS!K:K,10),"")</f>
        <v>0</v>
      </c>
      <c r="V170" t="str">
        <f>IFERROR(IF(ISERROR(FIND(A170,VLOOKUP(B170,CONFIG_ASIGNATURAS!B:C,2,FALSE()))),"No","Sí"),"No")</f>
        <v>Sí</v>
      </c>
    </row>
    <row r="171" spans="1:22">
      <c r="A171" s="3" t="inlineStr">
        <is>
          <t xml:space="preserve">2EEM</t>
        </is>
      </c>
      <c r="B171" s="3" cm="1">
        <f t="array" ref="B171">IFERROR(INDEX(_xlfn._xlws.FILTER(CONFIG_ASIGNATURAS!$B$2:$B$61,(CONFIG_ASIGNATURAS!$G$2:$G$61="Sí")*ISNUMBER(SEARCH("2EEM",CONFIG_ASIGNATURAS!$C$2:$C$61))),41),"")</f>
      </c>
      <c r="C171" s="3">
        <f>IF(B171="","",IFERROR(IF(VLOOKUP(B171,CONFIG_ASIGNATURAS!$B$2:$F$61,5,FALSE())="Sí","Especialidad","Asignatura"),"Asignatura"))</f>
      </c>
      <c r="D171">
        <f>IF(V171="Sí",COUNTIFS(DATOS!G:G,CONFIG_METADATA!$B$4,DATOS!D:D,A171,DATOS!I:I,B171),"")</f>
        <v>0</v>
      </c>
      <c r="E171" s="14" t="str">
        <f>IF(V171="Sí",IFERROR(AVERAGEIFS(DATOS!K:K,DATOS!G:G,CONFIG_METADATA!$B$4,DATOS!D:D,A171,DATOS!I:I,B171),"—"),"")</f>
        <v>—</v>
      </c>
      <c r="F171" s="14" t="str" cm="1">
        <f t="array" ref="F171">IF(V171="Sí",IFERROR(_xlfn.STDEV.P(IF((DATOS!$G$2:$G$20000=CONFIG_METADATA!$B$4)*(DATOS!$D$2:$D$20000=A171)*(DATOS!$I$2:$I$20000=B171),DATOS!$K$2:$K$20000)),"—"),"")</f>
        <v>—</v>
      </c>
      <c r="G171" t="str" cm="1">
        <f t="array" ref="G171">IF(V171="Sí",IFERROR(_xlfn.MODE.SNGL(IF((DATOS!$G$2:$G$20000=CONFIG_METADATA!$B$4)*(DATOS!$D$2:$D$20000=A171)*(DATOS!$I$2:$I$20000=B171),DATOS!$K$2:$K$20000)),"—"),"")</f>
        <v>—</v>
      </c>
      <c r="H171" s="15" t="str">
        <f>IF(V171="Sí",IFERROR(COUNTIFS(DATOS!G:G,CONFIG_METADATA!$B$4,DATOS!D:D,A171,DATOS!I:I,B171,DATOS!L:L,"S")/COUNTIFS(DATOS!G:G,CONFIG_METADATA!$B$4,DATOS!D:D,A171,DATOS!I:I,B171),"—"),"")</f>
        <v>—</v>
      </c>
      <c r="I171" s="15" t="str">
        <f>IF(V171="Sí",IFERROR(COUNTIFS(DATOS!G:G,CONFIG_METADATA!$B$4,DATOS!D:D,A171,DATOS!I:I,B171,DATOS!L:L,"N")/COUNTIFS(DATOS!G:G,CONFIG_METADATA!$B$4,DATOS!D:D,A171,DATOS!I:I,B171),"—"),"")</f>
        <v>—</v>
      </c>
      <c r="J171" t="str" cm="1">
        <f t="array" ref="J171">IF(V171="Sí",IFERROR(_xlfn.MODE.SNGL(IF((DATOS!$G$2:$G$20000=CONFIG_METADATA!$B$4)*(DATOS!$D$2:$D$20000=A171)*(DATOS!$I$2:$I$20000=B171)*(DATOS!$L$2:$L$20000="S"),DATOS!$K$2:$K$20000)),"—"),"")</f>
        <v>—</v>
      </c>
      <c r="K171" t="str" cm="1">
        <f t="array" ref="K171">IF(V171="Sí",IFERROR(_xlfn.MODE.SNGL(IF((DATOS!$G$2:$G$20000=CONFIG_METADATA!$B$4)*(DATOS!$D$2:$D$20000=A171)*(DATOS!$I$2:$I$20000=B171)*(DATOS!$L$2:$L$20000="N"),DATOS!$K$2:$K$20000)),"—"),"")</f>
        <v>—</v>
      </c>
      <c r="L171">
        <f>IF(V171="Sí",COUNTIFS(DATOS!G:G,CONFIG_METADATA!$B$4,DATOS!D:D,A171,DATOS!I:I,B171,DATOS!K:K,1),"")</f>
        <v>0</v>
      </c>
      <c r="M171">
        <f>IF(V171="Sí",COUNTIFS(DATOS!G:G,CONFIG_METADATA!$B$4,DATOS!D:D,A171,DATOS!I:I,B171,DATOS!K:K,2),"")</f>
        <v>0</v>
      </c>
      <c r="N171">
        <f>IF(V171="Sí",COUNTIFS(DATOS!G:G,CONFIG_METADATA!$B$4,DATOS!D:D,A171,DATOS!I:I,B171,DATOS!K:K,3),"")</f>
        <v>0</v>
      </c>
      <c r="O171">
        <f>IF(V171="Sí",COUNTIFS(DATOS!G:G,CONFIG_METADATA!$B$4,DATOS!D:D,A171,DATOS!I:I,B171,DATOS!K:K,4),"")</f>
        <v>0</v>
      </c>
      <c r="P171">
        <f>IF(V171="Sí",COUNTIFS(DATOS!G:G,CONFIG_METADATA!$B$4,DATOS!D:D,A171,DATOS!I:I,B171,DATOS!K:K,5),"")</f>
        <v>0</v>
      </c>
      <c r="Q171">
        <f>IF(V171="Sí",COUNTIFS(DATOS!G:G,CONFIG_METADATA!$B$4,DATOS!D:D,A171,DATOS!I:I,B171,DATOS!K:K,6),"")</f>
        <v>0</v>
      </c>
      <c r="R171">
        <f>IF(V171="Sí",COUNTIFS(DATOS!G:G,CONFIG_METADATA!$B$4,DATOS!D:D,A171,DATOS!I:I,B171,DATOS!K:K,7),"")</f>
        <v>0</v>
      </c>
      <c r="S171">
        <f>IF(V171="Sí",COUNTIFS(DATOS!G:G,CONFIG_METADATA!$B$4,DATOS!D:D,A171,DATOS!I:I,B171,DATOS!K:K,8),"")</f>
        <v>0</v>
      </c>
      <c r="T171">
        <f>IF(V171="Sí",COUNTIFS(DATOS!G:G,CONFIG_METADATA!$B$4,DATOS!D:D,A171,DATOS!I:I,B171,DATOS!K:K,9),"")</f>
        <v>0</v>
      </c>
      <c r="U171">
        <f>IF(V171="Sí",COUNTIFS(DATOS!G:G,CONFIG_METADATA!$B$4,DATOS!D:D,A171,DATOS!I:I,B171,DATOS!K:K,10),"")</f>
        <v>0</v>
      </c>
      <c r="V171" t="str">
        <f>IFERROR(IF(ISERROR(FIND(A171,VLOOKUP(B171,CONFIG_ASIGNATURAS!B:C,2,FALSE()))),"No","Sí"),"No")</f>
        <v>Sí</v>
      </c>
    </row>
    <row r="172" spans="1:22">
      <c r="A172" s="3" t="inlineStr">
        <is>
          <t xml:space="preserve">2EEM</t>
        </is>
      </c>
      <c r="B172" s="3" cm="1">
        <f t="array" ref="B172">IFERROR(INDEX(_xlfn._xlws.FILTER(CONFIG_ASIGNATURAS!$B$2:$B$61,(CONFIG_ASIGNATURAS!$G$2:$G$61="Sí")*ISNUMBER(SEARCH("2EEM",CONFIG_ASIGNATURAS!$C$2:$C$61))),42),"")</f>
      </c>
      <c r="C172" s="3">
        <f>IF(B172="","",IFERROR(IF(VLOOKUP(B172,CONFIG_ASIGNATURAS!$B$2:$F$61,5,FALSE())="Sí","Especialidad","Asignatura"),"Asignatura"))</f>
      </c>
      <c r="D172">
        <f>IF(V172="Sí",COUNTIFS(DATOS!G:G,CONFIG_METADATA!$B$4,DATOS!D:D,A172,DATOS!I:I,B172),"")</f>
        <v>0</v>
      </c>
      <c r="E172" s="14" t="str">
        <f>IF(V172="Sí",IFERROR(AVERAGEIFS(DATOS!K:K,DATOS!G:G,CONFIG_METADATA!$B$4,DATOS!D:D,A172,DATOS!I:I,B172),"—"),"")</f>
        <v>—</v>
      </c>
      <c r="F172" s="14" t="str" cm="1">
        <f t="array" ref="F172">IF(V172="Sí",IFERROR(_xlfn.STDEV.P(IF((DATOS!$G$2:$G$20000=CONFIG_METADATA!$B$4)*(DATOS!$D$2:$D$20000=A172)*(DATOS!$I$2:$I$20000=B172),DATOS!$K$2:$K$20000)),"—"),"")</f>
        <v>—</v>
      </c>
      <c r="G172" t="str" cm="1">
        <f t="array" ref="G172">IF(V172="Sí",IFERROR(_xlfn.MODE.SNGL(IF((DATOS!$G$2:$G$20000=CONFIG_METADATA!$B$4)*(DATOS!$D$2:$D$20000=A172)*(DATOS!$I$2:$I$20000=B172),DATOS!$K$2:$K$20000)),"—"),"")</f>
        <v>—</v>
      </c>
      <c r="H172" s="15" t="str">
        <f>IF(V172="Sí",IFERROR(COUNTIFS(DATOS!G:G,CONFIG_METADATA!$B$4,DATOS!D:D,A172,DATOS!I:I,B172,DATOS!L:L,"S")/COUNTIFS(DATOS!G:G,CONFIG_METADATA!$B$4,DATOS!D:D,A172,DATOS!I:I,B172),"—"),"")</f>
        <v>—</v>
      </c>
      <c r="I172" s="15" t="str">
        <f>IF(V172="Sí",IFERROR(COUNTIFS(DATOS!G:G,CONFIG_METADATA!$B$4,DATOS!D:D,A172,DATOS!I:I,B172,DATOS!L:L,"N")/COUNTIFS(DATOS!G:G,CONFIG_METADATA!$B$4,DATOS!D:D,A172,DATOS!I:I,B172),"—"),"")</f>
        <v>—</v>
      </c>
      <c r="J172" t="str" cm="1">
        <f t="array" ref="J172">IF(V172="Sí",IFERROR(_xlfn.MODE.SNGL(IF((DATOS!$G$2:$G$20000=CONFIG_METADATA!$B$4)*(DATOS!$D$2:$D$20000=A172)*(DATOS!$I$2:$I$20000=B172)*(DATOS!$L$2:$L$20000="S"),DATOS!$K$2:$K$20000)),"—"),"")</f>
        <v>—</v>
      </c>
      <c r="K172" t="str" cm="1">
        <f t="array" ref="K172">IF(V172="Sí",IFERROR(_xlfn.MODE.SNGL(IF((DATOS!$G$2:$G$20000=CONFIG_METADATA!$B$4)*(DATOS!$D$2:$D$20000=A172)*(DATOS!$I$2:$I$20000=B172)*(DATOS!$L$2:$L$20000="N"),DATOS!$K$2:$K$20000)),"—"),"")</f>
        <v>—</v>
      </c>
      <c r="L172">
        <f>IF(V172="Sí",COUNTIFS(DATOS!G:G,CONFIG_METADATA!$B$4,DATOS!D:D,A172,DATOS!I:I,B172,DATOS!K:K,1),"")</f>
        <v>0</v>
      </c>
      <c r="M172">
        <f>IF(V172="Sí",COUNTIFS(DATOS!G:G,CONFIG_METADATA!$B$4,DATOS!D:D,A172,DATOS!I:I,B172,DATOS!K:K,2),"")</f>
        <v>0</v>
      </c>
      <c r="N172">
        <f>IF(V172="Sí",COUNTIFS(DATOS!G:G,CONFIG_METADATA!$B$4,DATOS!D:D,A172,DATOS!I:I,B172,DATOS!K:K,3),"")</f>
        <v>0</v>
      </c>
      <c r="O172">
        <f>IF(V172="Sí",COUNTIFS(DATOS!G:G,CONFIG_METADATA!$B$4,DATOS!D:D,A172,DATOS!I:I,B172,DATOS!K:K,4),"")</f>
        <v>0</v>
      </c>
      <c r="P172">
        <f>IF(V172="Sí",COUNTIFS(DATOS!G:G,CONFIG_METADATA!$B$4,DATOS!D:D,A172,DATOS!I:I,B172,DATOS!K:K,5),"")</f>
        <v>0</v>
      </c>
      <c r="Q172">
        <f>IF(V172="Sí",COUNTIFS(DATOS!G:G,CONFIG_METADATA!$B$4,DATOS!D:D,A172,DATOS!I:I,B172,DATOS!K:K,6),"")</f>
        <v>0</v>
      </c>
      <c r="R172">
        <f>IF(V172="Sí",COUNTIFS(DATOS!G:G,CONFIG_METADATA!$B$4,DATOS!D:D,A172,DATOS!I:I,B172,DATOS!K:K,7),"")</f>
        <v>0</v>
      </c>
      <c r="S172">
        <f>IF(V172="Sí",COUNTIFS(DATOS!G:G,CONFIG_METADATA!$B$4,DATOS!D:D,A172,DATOS!I:I,B172,DATOS!K:K,8),"")</f>
        <v>0</v>
      </c>
      <c r="T172">
        <f>IF(V172="Sí",COUNTIFS(DATOS!G:G,CONFIG_METADATA!$B$4,DATOS!D:D,A172,DATOS!I:I,B172,DATOS!K:K,9),"")</f>
        <v>0</v>
      </c>
      <c r="U172">
        <f>IF(V172="Sí",COUNTIFS(DATOS!G:G,CONFIG_METADATA!$B$4,DATOS!D:D,A172,DATOS!I:I,B172,DATOS!K:K,10),"")</f>
        <v>0</v>
      </c>
      <c r="V172" t="str">
        <f>IFERROR(IF(ISERROR(FIND(A172,VLOOKUP(B172,CONFIG_ASIGNATURAS!B:C,2,FALSE()))),"No","Sí"),"No")</f>
        <v>Sí</v>
      </c>
    </row>
    <row r="173" spans="1:22">
      <c r="A173" s="3" t="inlineStr">
        <is>
          <t xml:space="preserve">2EEM</t>
        </is>
      </c>
      <c r="B173" s="3" cm="1">
        <f t="array" ref="B173">IFERROR(INDEX(_xlfn._xlws.FILTER(CONFIG_ASIGNATURAS!$B$2:$B$61,(CONFIG_ASIGNATURAS!$G$2:$G$61="Sí")*ISNUMBER(SEARCH("2EEM",CONFIG_ASIGNATURAS!$C$2:$C$61))),43),"")</f>
      </c>
      <c r="C173" s="3">
        <f>IF(B173="","",IFERROR(IF(VLOOKUP(B173,CONFIG_ASIGNATURAS!$B$2:$F$61,5,FALSE())="Sí","Especialidad","Asignatura"),"Asignatura"))</f>
      </c>
      <c r="D173">
        <f>IF(V173="Sí",COUNTIFS(DATOS!G:G,CONFIG_METADATA!$B$4,DATOS!D:D,A173,DATOS!I:I,B173),"")</f>
        <v>0</v>
      </c>
      <c r="E173" s="14" t="str">
        <f>IF(V173="Sí",IFERROR(AVERAGEIFS(DATOS!K:K,DATOS!G:G,CONFIG_METADATA!$B$4,DATOS!D:D,A173,DATOS!I:I,B173),"—"),"")</f>
        <v>—</v>
      </c>
      <c r="F173" s="14" t="str" cm="1">
        <f t="array" ref="F173">IF(V173="Sí",IFERROR(_xlfn.STDEV.P(IF((DATOS!$G$2:$G$20000=CONFIG_METADATA!$B$4)*(DATOS!$D$2:$D$20000=A173)*(DATOS!$I$2:$I$20000=B173),DATOS!$K$2:$K$20000)),"—"),"")</f>
        <v>—</v>
      </c>
      <c r="G173" t="str" cm="1">
        <f t="array" ref="G173">IF(V173="Sí",IFERROR(_xlfn.MODE.SNGL(IF((DATOS!$G$2:$G$20000=CONFIG_METADATA!$B$4)*(DATOS!$D$2:$D$20000=A173)*(DATOS!$I$2:$I$20000=B173),DATOS!$K$2:$K$20000)),"—"),"")</f>
        <v>—</v>
      </c>
      <c r="H173" s="15" t="str">
        <f>IF(V173="Sí",IFERROR(COUNTIFS(DATOS!G:G,CONFIG_METADATA!$B$4,DATOS!D:D,A173,DATOS!I:I,B173,DATOS!L:L,"S")/COUNTIFS(DATOS!G:G,CONFIG_METADATA!$B$4,DATOS!D:D,A173,DATOS!I:I,B173),"—"),"")</f>
        <v>—</v>
      </c>
      <c r="I173" s="15" t="str">
        <f>IF(V173="Sí",IFERROR(COUNTIFS(DATOS!G:G,CONFIG_METADATA!$B$4,DATOS!D:D,A173,DATOS!I:I,B173,DATOS!L:L,"N")/COUNTIFS(DATOS!G:G,CONFIG_METADATA!$B$4,DATOS!D:D,A173,DATOS!I:I,B173),"—"),"")</f>
        <v>—</v>
      </c>
      <c r="J173" t="str" cm="1">
        <f t="array" ref="J173">IF(V173="Sí",IFERROR(_xlfn.MODE.SNGL(IF((DATOS!$G$2:$G$20000=CONFIG_METADATA!$B$4)*(DATOS!$D$2:$D$20000=A173)*(DATOS!$I$2:$I$20000=B173)*(DATOS!$L$2:$L$20000="S"),DATOS!$K$2:$K$20000)),"—"),"")</f>
        <v>—</v>
      </c>
      <c r="K173" t="str" cm="1">
        <f t="array" ref="K173">IF(V173="Sí",IFERROR(_xlfn.MODE.SNGL(IF((DATOS!$G$2:$G$20000=CONFIG_METADATA!$B$4)*(DATOS!$D$2:$D$20000=A173)*(DATOS!$I$2:$I$20000=B173)*(DATOS!$L$2:$L$20000="N"),DATOS!$K$2:$K$20000)),"—"),"")</f>
        <v>—</v>
      </c>
      <c r="L173">
        <f>IF(V173="Sí",COUNTIFS(DATOS!G:G,CONFIG_METADATA!$B$4,DATOS!D:D,A173,DATOS!I:I,B173,DATOS!K:K,1),"")</f>
        <v>0</v>
      </c>
      <c r="M173">
        <f>IF(V173="Sí",COUNTIFS(DATOS!G:G,CONFIG_METADATA!$B$4,DATOS!D:D,A173,DATOS!I:I,B173,DATOS!K:K,2),"")</f>
        <v>0</v>
      </c>
      <c r="N173">
        <f>IF(V173="Sí",COUNTIFS(DATOS!G:G,CONFIG_METADATA!$B$4,DATOS!D:D,A173,DATOS!I:I,B173,DATOS!K:K,3),"")</f>
        <v>0</v>
      </c>
      <c r="O173">
        <f>IF(V173="Sí",COUNTIFS(DATOS!G:G,CONFIG_METADATA!$B$4,DATOS!D:D,A173,DATOS!I:I,B173,DATOS!K:K,4),"")</f>
        <v>0</v>
      </c>
      <c r="P173">
        <f>IF(V173="Sí",COUNTIFS(DATOS!G:G,CONFIG_METADATA!$B$4,DATOS!D:D,A173,DATOS!I:I,B173,DATOS!K:K,5),"")</f>
        <v>0</v>
      </c>
      <c r="Q173">
        <f>IF(V173="Sí",COUNTIFS(DATOS!G:G,CONFIG_METADATA!$B$4,DATOS!D:D,A173,DATOS!I:I,B173,DATOS!K:K,6),"")</f>
        <v>0</v>
      </c>
      <c r="R173">
        <f>IF(V173="Sí",COUNTIFS(DATOS!G:G,CONFIG_METADATA!$B$4,DATOS!D:D,A173,DATOS!I:I,B173,DATOS!K:K,7),"")</f>
        <v>0</v>
      </c>
      <c r="S173">
        <f>IF(V173="Sí",COUNTIFS(DATOS!G:G,CONFIG_METADATA!$B$4,DATOS!D:D,A173,DATOS!I:I,B173,DATOS!K:K,8),"")</f>
        <v>0</v>
      </c>
      <c r="T173">
        <f>IF(V173="Sí",COUNTIFS(DATOS!G:G,CONFIG_METADATA!$B$4,DATOS!D:D,A173,DATOS!I:I,B173,DATOS!K:K,9),"")</f>
        <v>0</v>
      </c>
      <c r="U173">
        <f>IF(V173="Sí",COUNTIFS(DATOS!G:G,CONFIG_METADATA!$B$4,DATOS!D:D,A173,DATOS!I:I,B173,DATOS!K:K,10),"")</f>
        <v>0</v>
      </c>
      <c r="V173" t="str">
        <f>IFERROR(IF(ISERROR(FIND(A173,VLOOKUP(B173,CONFIG_ASIGNATURAS!B:C,2,FALSE()))),"No","Sí"),"No")</f>
        <v>Sí</v>
      </c>
    </row>
    <row r="174" spans="1:22">
      <c r="A174" s="3" t="inlineStr">
        <is>
          <t xml:space="preserve">2EEM</t>
        </is>
      </c>
      <c r="B174" s="3" cm="1">
        <f t="array" ref="B174">IFERROR(INDEX(_xlfn._xlws.FILTER(CONFIG_ASIGNATURAS!$B$2:$B$61,(CONFIG_ASIGNATURAS!$G$2:$G$61="Sí")*ISNUMBER(SEARCH("2EEM",CONFIG_ASIGNATURAS!$C$2:$C$61))),44),"")</f>
      </c>
      <c r="C174" s="3">
        <f>IF(B174="","",IFERROR(IF(VLOOKUP(B174,CONFIG_ASIGNATURAS!$B$2:$F$61,5,FALSE())="Sí","Especialidad","Asignatura"),"Asignatura"))</f>
      </c>
      <c r="D174">
        <f>IF(V174="Sí",COUNTIFS(DATOS!G:G,CONFIG_METADATA!$B$4,DATOS!D:D,A174,DATOS!I:I,B174),"")</f>
        <v>0</v>
      </c>
      <c r="E174" s="14" t="str">
        <f>IF(V174="Sí",IFERROR(AVERAGEIFS(DATOS!K:K,DATOS!G:G,CONFIG_METADATA!$B$4,DATOS!D:D,A174,DATOS!I:I,B174),"—"),"")</f>
        <v>—</v>
      </c>
      <c r="F174" s="14" t="str" cm="1">
        <f t="array" ref="F174">IF(V174="Sí",IFERROR(_xlfn.STDEV.P(IF((DATOS!$G$2:$G$20000=CONFIG_METADATA!$B$4)*(DATOS!$D$2:$D$20000=A174)*(DATOS!$I$2:$I$20000=B174),DATOS!$K$2:$K$20000)),"—"),"")</f>
        <v>—</v>
      </c>
      <c r="G174" t="str" cm="1">
        <f t="array" ref="G174">IF(V174="Sí",IFERROR(_xlfn.MODE.SNGL(IF((DATOS!$G$2:$G$20000=CONFIG_METADATA!$B$4)*(DATOS!$D$2:$D$20000=A174)*(DATOS!$I$2:$I$20000=B174),DATOS!$K$2:$K$20000)),"—"),"")</f>
        <v>—</v>
      </c>
      <c r="H174" s="15" t="str">
        <f>IF(V174="Sí",IFERROR(COUNTIFS(DATOS!G:G,CONFIG_METADATA!$B$4,DATOS!D:D,A174,DATOS!I:I,B174,DATOS!L:L,"S")/COUNTIFS(DATOS!G:G,CONFIG_METADATA!$B$4,DATOS!D:D,A174,DATOS!I:I,B174),"—"),"")</f>
        <v>—</v>
      </c>
      <c r="I174" s="15" t="str">
        <f>IF(V174="Sí",IFERROR(COUNTIFS(DATOS!G:G,CONFIG_METADATA!$B$4,DATOS!D:D,A174,DATOS!I:I,B174,DATOS!L:L,"N")/COUNTIFS(DATOS!G:G,CONFIG_METADATA!$B$4,DATOS!D:D,A174,DATOS!I:I,B174),"—"),"")</f>
        <v>—</v>
      </c>
      <c r="J174" t="str" cm="1">
        <f t="array" ref="J174">IF(V174="Sí",IFERROR(_xlfn.MODE.SNGL(IF((DATOS!$G$2:$G$20000=CONFIG_METADATA!$B$4)*(DATOS!$D$2:$D$20000=A174)*(DATOS!$I$2:$I$20000=B174)*(DATOS!$L$2:$L$20000="S"),DATOS!$K$2:$K$20000)),"—"),"")</f>
        <v>—</v>
      </c>
      <c r="K174" t="str" cm="1">
        <f t="array" ref="K174">IF(V174="Sí",IFERROR(_xlfn.MODE.SNGL(IF((DATOS!$G$2:$G$20000=CONFIG_METADATA!$B$4)*(DATOS!$D$2:$D$20000=A174)*(DATOS!$I$2:$I$20000=B174)*(DATOS!$L$2:$L$20000="N"),DATOS!$K$2:$K$20000)),"—"),"")</f>
        <v>—</v>
      </c>
      <c r="L174">
        <f>IF(V174="Sí",COUNTIFS(DATOS!G:G,CONFIG_METADATA!$B$4,DATOS!D:D,A174,DATOS!I:I,B174,DATOS!K:K,1),"")</f>
        <v>0</v>
      </c>
      <c r="M174">
        <f>IF(V174="Sí",COUNTIFS(DATOS!G:G,CONFIG_METADATA!$B$4,DATOS!D:D,A174,DATOS!I:I,B174,DATOS!K:K,2),"")</f>
        <v>0</v>
      </c>
      <c r="N174">
        <f>IF(V174="Sí",COUNTIFS(DATOS!G:G,CONFIG_METADATA!$B$4,DATOS!D:D,A174,DATOS!I:I,B174,DATOS!K:K,3),"")</f>
        <v>0</v>
      </c>
      <c r="O174">
        <f>IF(V174="Sí",COUNTIFS(DATOS!G:G,CONFIG_METADATA!$B$4,DATOS!D:D,A174,DATOS!I:I,B174,DATOS!K:K,4),"")</f>
        <v>0</v>
      </c>
      <c r="P174">
        <f>IF(V174="Sí",COUNTIFS(DATOS!G:G,CONFIG_METADATA!$B$4,DATOS!D:D,A174,DATOS!I:I,B174,DATOS!K:K,5),"")</f>
        <v>0</v>
      </c>
      <c r="Q174">
        <f>IF(V174="Sí",COUNTIFS(DATOS!G:G,CONFIG_METADATA!$B$4,DATOS!D:D,A174,DATOS!I:I,B174,DATOS!K:K,6),"")</f>
        <v>0</v>
      </c>
      <c r="R174">
        <f>IF(V174="Sí",COUNTIFS(DATOS!G:G,CONFIG_METADATA!$B$4,DATOS!D:D,A174,DATOS!I:I,B174,DATOS!K:K,7),"")</f>
        <v>0</v>
      </c>
      <c r="S174">
        <f>IF(V174="Sí",COUNTIFS(DATOS!G:G,CONFIG_METADATA!$B$4,DATOS!D:D,A174,DATOS!I:I,B174,DATOS!K:K,8),"")</f>
        <v>0</v>
      </c>
      <c r="T174">
        <f>IF(V174="Sí",COUNTIFS(DATOS!G:G,CONFIG_METADATA!$B$4,DATOS!D:D,A174,DATOS!I:I,B174,DATOS!K:K,9),"")</f>
        <v>0</v>
      </c>
      <c r="U174">
        <f>IF(V174="Sí",COUNTIFS(DATOS!G:G,CONFIG_METADATA!$B$4,DATOS!D:D,A174,DATOS!I:I,B174,DATOS!K:K,10),"")</f>
        <v>0</v>
      </c>
      <c r="V174" t="str">
        <f>IFERROR(IF(ISERROR(FIND(A174,VLOOKUP(B174,CONFIG_ASIGNATURAS!B:C,2,FALSE()))),"No","Sí"),"No")</f>
        <v>Sí</v>
      </c>
    </row>
    <row r="175" spans="1:22">
      <c r="A175" s="3" t="inlineStr">
        <is>
          <t xml:space="preserve">2EEM</t>
        </is>
      </c>
      <c r="B175" s="3" cm="1">
        <f t="array" ref="B175">IFERROR(INDEX(_xlfn._xlws.FILTER(CONFIG_ASIGNATURAS!$B$2:$B$61,(CONFIG_ASIGNATURAS!$G$2:$G$61="Sí")*ISNUMBER(SEARCH("2EEM",CONFIG_ASIGNATURAS!$C$2:$C$61))),45),"")</f>
      </c>
      <c r="C175" s="3">
        <f>IF(B175="","",IFERROR(IF(VLOOKUP(B175,CONFIG_ASIGNATURAS!$B$2:$F$61,5,FALSE())="Sí","Especialidad","Asignatura"),"Asignatura"))</f>
      </c>
      <c r="D175">
        <f>IF(V175="Sí",COUNTIFS(DATOS!G:G,CONFIG_METADATA!$B$4,DATOS!D:D,A175,DATOS!I:I,B175),"")</f>
        <v>0</v>
      </c>
      <c r="E175" s="14" t="str">
        <f>IF(V175="Sí",IFERROR(AVERAGEIFS(DATOS!K:K,DATOS!G:G,CONFIG_METADATA!$B$4,DATOS!D:D,A175,DATOS!I:I,B175),"—"),"")</f>
        <v>—</v>
      </c>
      <c r="F175" s="14" t="str" cm="1">
        <f t="array" ref="F175">IF(V175="Sí",IFERROR(_xlfn.STDEV.P(IF((DATOS!$G$2:$G$20000=CONFIG_METADATA!$B$4)*(DATOS!$D$2:$D$20000=A175)*(DATOS!$I$2:$I$20000=B175),DATOS!$K$2:$K$20000)),"—"),"")</f>
        <v>—</v>
      </c>
      <c r="G175" t="str" cm="1">
        <f t="array" ref="G175">IF(V175="Sí",IFERROR(_xlfn.MODE.SNGL(IF((DATOS!$G$2:$G$20000=CONFIG_METADATA!$B$4)*(DATOS!$D$2:$D$20000=A175)*(DATOS!$I$2:$I$20000=B175),DATOS!$K$2:$K$20000)),"—"),"")</f>
        <v>—</v>
      </c>
      <c r="H175" s="15" t="str">
        <f>IF(V175="Sí",IFERROR(COUNTIFS(DATOS!G:G,CONFIG_METADATA!$B$4,DATOS!D:D,A175,DATOS!I:I,B175,DATOS!L:L,"S")/COUNTIFS(DATOS!G:G,CONFIG_METADATA!$B$4,DATOS!D:D,A175,DATOS!I:I,B175),"—"),"")</f>
        <v>—</v>
      </c>
      <c r="I175" s="15" t="str">
        <f>IF(V175="Sí",IFERROR(COUNTIFS(DATOS!G:G,CONFIG_METADATA!$B$4,DATOS!D:D,A175,DATOS!I:I,B175,DATOS!L:L,"N")/COUNTIFS(DATOS!G:G,CONFIG_METADATA!$B$4,DATOS!D:D,A175,DATOS!I:I,B175),"—"),"")</f>
        <v>—</v>
      </c>
      <c r="J175" t="str" cm="1">
        <f t="array" ref="J175">IF(V175="Sí",IFERROR(_xlfn.MODE.SNGL(IF((DATOS!$G$2:$G$20000=CONFIG_METADATA!$B$4)*(DATOS!$D$2:$D$20000=A175)*(DATOS!$I$2:$I$20000=B175)*(DATOS!$L$2:$L$20000="S"),DATOS!$K$2:$K$20000)),"—"),"")</f>
        <v>—</v>
      </c>
      <c r="K175" t="str" cm="1">
        <f t="array" ref="K175">IF(V175="Sí",IFERROR(_xlfn.MODE.SNGL(IF((DATOS!$G$2:$G$20000=CONFIG_METADATA!$B$4)*(DATOS!$D$2:$D$20000=A175)*(DATOS!$I$2:$I$20000=B175)*(DATOS!$L$2:$L$20000="N"),DATOS!$K$2:$K$20000)),"—"),"")</f>
        <v>—</v>
      </c>
      <c r="L175">
        <f>IF(V175="Sí",COUNTIFS(DATOS!G:G,CONFIG_METADATA!$B$4,DATOS!D:D,A175,DATOS!I:I,B175,DATOS!K:K,1),"")</f>
        <v>0</v>
      </c>
      <c r="M175">
        <f>IF(V175="Sí",COUNTIFS(DATOS!G:G,CONFIG_METADATA!$B$4,DATOS!D:D,A175,DATOS!I:I,B175,DATOS!K:K,2),"")</f>
        <v>0</v>
      </c>
      <c r="N175">
        <f>IF(V175="Sí",COUNTIFS(DATOS!G:G,CONFIG_METADATA!$B$4,DATOS!D:D,A175,DATOS!I:I,B175,DATOS!K:K,3),"")</f>
        <v>0</v>
      </c>
      <c r="O175">
        <f>IF(V175="Sí",COUNTIFS(DATOS!G:G,CONFIG_METADATA!$B$4,DATOS!D:D,A175,DATOS!I:I,B175,DATOS!K:K,4),"")</f>
        <v>0</v>
      </c>
      <c r="P175">
        <f>IF(V175="Sí",COUNTIFS(DATOS!G:G,CONFIG_METADATA!$B$4,DATOS!D:D,A175,DATOS!I:I,B175,DATOS!K:K,5),"")</f>
        <v>0</v>
      </c>
      <c r="Q175">
        <f>IF(V175="Sí",COUNTIFS(DATOS!G:G,CONFIG_METADATA!$B$4,DATOS!D:D,A175,DATOS!I:I,B175,DATOS!K:K,6),"")</f>
        <v>0</v>
      </c>
      <c r="R175">
        <f>IF(V175="Sí",COUNTIFS(DATOS!G:G,CONFIG_METADATA!$B$4,DATOS!D:D,A175,DATOS!I:I,B175,DATOS!K:K,7),"")</f>
        <v>0</v>
      </c>
      <c r="S175">
        <f>IF(V175="Sí",COUNTIFS(DATOS!G:G,CONFIG_METADATA!$B$4,DATOS!D:D,A175,DATOS!I:I,B175,DATOS!K:K,8),"")</f>
        <v>0</v>
      </c>
      <c r="T175">
        <f>IF(V175="Sí",COUNTIFS(DATOS!G:G,CONFIG_METADATA!$B$4,DATOS!D:D,A175,DATOS!I:I,B175,DATOS!K:K,9),"")</f>
        <v>0</v>
      </c>
      <c r="U175">
        <f>IF(V175="Sí",COUNTIFS(DATOS!G:G,CONFIG_METADATA!$B$4,DATOS!D:D,A175,DATOS!I:I,B175,DATOS!K:K,10),"")</f>
        <v>0</v>
      </c>
      <c r="V175" t="str">
        <f>IFERROR(IF(ISERROR(FIND(A175,VLOOKUP(B175,CONFIG_ASIGNATURAS!B:C,2,FALSE()))),"No","Sí"),"No")</f>
        <v>Sí</v>
      </c>
    </row>
    <row r="176" spans="1:22">
      <c r="A176" s="3" t="inlineStr">
        <is>
          <t xml:space="preserve">2EEM</t>
        </is>
      </c>
      <c r="B176" s="3" cm="1">
        <f t="array" ref="B176">IFERROR(INDEX(_xlfn._xlws.FILTER(CONFIG_ASIGNATURAS!$B$2:$B$61,(CONFIG_ASIGNATURAS!$G$2:$G$61="Sí")*ISNUMBER(SEARCH("2EEM",CONFIG_ASIGNATURAS!$C$2:$C$61))),46),"")</f>
      </c>
      <c r="C176" s="3">
        <f>IF(B176="","",IFERROR(IF(VLOOKUP(B176,CONFIG_ASIGNATURAS!$B$2:$F$61,5,FALSE())="Sí","Especialidad","Asignatura"),"Asignatura"))</f>
      </c>
      <c r="D176">
        <f>IF(V176="Sí",COUNTIFS(DATOS!G:G,CONFIG_METADATA!$B$4,DATOS!D:D,A176,DATOS!I:I,B176),"")</f>
        <v>0</v>
      </c>
      <c r="E176" s="14" t="str">
        <f>IF(V176="Sí",IFERROR(AVERAGEIFS(DATOS!K:K,DATOS!G:G,CONFIG_METADATA!$B$4,DATOS!D:D,A176,DATOS!I:I,B176),"—"),"")</f>
        <v>—</v>
      </c>
      <c r="F176" s="14" t="str" cm="1">
        <f t="array" ref="F176">IF(V176="Sí",IFERROR(_xlfn.STDEV.P(IF((DATOS!$G$2:$G$20000=CONFIG_METADATA!$B$4)*(DATOS!$D$2:$D$20000=A176)*(DATOS!$I$2:$I$20000=B176),DATOS!$K$2:$K$20000)),"—"),"")</f>
        <v>—</v>
      </c>
      <c r="G176" t="str" cm="1">
        <f t="array" ref="G176">IF(V176="Sí",IFERROR(_xlfn.MODE.SNGL(IF((DATOS!$G$2:$G$20000=CONFIG_METADATA!$B$4)*(DATOS!$D$2:$D$20000=A176)*(DATOS!$I$2:$I$20000=B176),DATOS!$K$2:$K$20000)),"—"),"")</f>
        <v>—</v>
      </c>
      <c r="H176" s="15" t="str">
        <f>IF(V176="Sí",IFERROR(COUNTIFS(DATOS!G:G,CONFIG_METADATA!$B$4,DATOS!D:D,A176,DATOS!I:I,B176,DATOS!L:L,"S")/COUNTIFS(DATOS!G:G,CONFIG_METADATA!$B$4,DATOS!D:D,A176,DATOS!I:I,B176),"—"),"")</f>
        <v>—</v>
      </c>
      <c r="I176" s="15" t="str">
        <f>IF(V176="Sí",IFERROR(COUNTIFS(DATOS!G:G,CONFIG_METADATA!$B$4,DATOS!D:D,A176,DATOS!I:I,B176,DATOS!L:L,"N")/COUNTIFS(DATOS!G:G,CONFIG_METADATA!$B$4,DATOS!D:D,A176,DATOS!I:I,B176),"—"),"")</f>
        <v>—</v>
      </c>
      <c r="J176" t="str" cm="1">
        <f t="array" ref="J176">IF(V176="Sí",IFERROR(_xlfn.MODE.SNGL(IF((DATOS!$G$2:$G$20000=CONFIG_METADATA!$B$4)*(DATOS!$D$2:$D$20000=A176)*(DATOS!$I$2:$I$20000=B176)*(DATOS!$L$2:$L$20000="S"),DATOS!$K$2:$K$20000)),"—"),"")</f>
        <v>—</v>
      </c>
      <c r="K176" t="str" cm="1">
        <f t="array" ref="K176">IF(V176="Sí",IFERROR(_xlfn.MODE.SNGL(IF((DATOS!$G$2:$G$20000=CONFIG_METADATA!$B$4)*(DATOS!$D$2:$D$20000=A176)*(DATOS!$I$2:$I$20000=B176)*(DATOS!$L$2:$L$20000="N"),DATOS!$K$2:$K$20000)),"—"),"")</f>
        <v>—</v>
      </c>
      <c r="L176">
        <f>IF(V176="Sí",COUNTIFS(DATOS!G:G,CONFIG_METADATA!$B$4,DATOS!D:D,A176,DATOS!I:I,B176,DATOS!K:K,1),"")</f>
        <v>0</v>
      </c>
      <c r="M176">
        <f>IF(V176="Sí",COUNTIFS(DATOS!G:G,CONFIG_METADATA!$B$4,DATOS!D:D,A176,DATOS!I:I,B176,DATOS!K:K,2),"")</f>
        <v>0</v>
      </c>
      <c r="N176">
        <f>IF(V176="Sí",COUNTIFS(DATOS!G:G,CONFIG_METADATA!$B$4,DATOS!D:D,A176,DATOS!I:I,B176,DATOS!K:K,3),"")</f>
        <v>0</v>
      </c>
      <c r="O176">
        <f>IF(V176="Sí",COUNTIFS(DATOS!G:G,CONFIG_METADATA!$B$4,DATOS!D:D,A176,DATOS!I:I,B176,DATOS!K:K,4),"")</f>
        <v>0</v>
      </c>
      <c r="P176">
        <f>IF(V176="Sí",COUNTIFS(DATOS!G:G,CONFIG_METADATA!$B$4,DATOS!D:D,A176,DATOS!I:I,B176,DATOS!K:K,5),"")</f>
        <v>0</v>
      </c>
      <c r="Q176">
        <f>IF(V176="Sí",COUNTIFS(DATOS!G:G,CONFIG_METADATA!$B$4,DATOS!D:D,A176,DATOS!I:I,B176,DATOS!K:K,6),"")</f>
        <v>0</v>
      </c>
      <c r="R176">
        <f>IF(V176="Sí",COUNTIFS(DATOS!G:G,CONFIG_METADATA!$B$4,DATOS!D:D,A176,DATOS!I:I,B176,DATOS!K:K,7),"")</f>
        <v>0</v>
      </c>
      <c r="S176">
        <f>IF(V176="Sí",COUNTIFS(DATOS!G:G,CONFIG_METADATA!$B$4,DATOS!D:D,A176,DATOS!I:I,B176,DATOS!K:K,8),"")</f>
        <v>0</v>
      </c>
      <c r="T176">
        <f>IF(V176="Sí",COUNTIFS(DATOS!G:G,CONFIG_METADATA!$B$4,DATOS!D:D,A176,DATOS!I:I,B176,DATOS!K:K,9),"")</f>
        <v>0</v>
      </c>
      <c r="U176">
        <f>IF(V176="Sí",COUNTIFS(DATOS!G:G,CONFIG_METADATA!$B$4,DATOS!D:D,A176,DATOS!I:I,B176,DATOS!K:K,10),"")</f>
        <v>0</v>
      </c>
      <c r="V176" t="str">
        <f>IFERROR(IF(ISERROR(FIND(A176,VLOOKUP(B176,CONFIG_ASIGNATURAS!B:C,2,FALSE()))),"No","Sí"),"No")</f>
        <v>Sí</v>
      </c>
    </row>
    <row r="177" spans="1:22">
      <c r="A177" s="3" t="inlineStr">
        <is>
          <t xml:space="preserve">2EEM</t>
        </is>
      </c>
      <c r="B177" s="3" cm="1">
        <f t="array" ref="B177">IFERROR(INDEX(_xlfn._xlws.FILTER(CONFIG_ASIGNATURAS!$B$2:$B$61,(CONFIG_ASIGNATURAS!$G$2:$G$61="Sí")*ISNUMBER(SEARCH("2EEM",CONFIG_ASIGNATURAS!$C$2:$C$61))),47),"")</f>
      </c>
      <c r="C177" s="3">
        <f>IF(B177="","",IFERROR(IF(VLOOKUP(B177,CONFIG_ASIGNATURAS!$B$2:$F$61,5,FALSE())="Sí","Especialidad","Asignatura"),"Asignatura"))</f>
      </c>
      <c r="D177">
        <f>IF(V177="Sí",COUNTIFS(DATOS!G:G,CONFIG_METADATA!$B$4,DATOS!D:D,A177,DATOS!I:I,B177),"")</f>
        <v>0</v>
      </c>
      <c r="E177" s="14" t="str">
        <f>IF(V177="Sí",IFERROR(AVERAGEIFS(DATOS!K:K,DATOS!G:G,CONFIG_METADATA!$B$4,DATOS!D:D,A177,DATOS!I:I,B177),"—"),"")</f>
        <v>—</v>
      </c>
      <c r="F177" s="14" t="str" cm="1">
        <f t="array" ref="F177">IF(V177="Sí",IFERROR(_xlfn.STDEV.P(IF((DATOS!$G$2:$G$20000=CONFIG_METADATA!$B$4)*(DATOS!$D$2:$D$20000=A177)*(DATOS!$I$2:$I$20000=B177),DATOS!$K$2:$K$20000)),"—"),"")</f>
        <v>—</v>
      </c>
      <c r="G177" t="str" cm="1">
        <f t="array" ref="G177">IF(V177="Sí",IFERROR(_xlfn.MODE.SNGL(IF((DATOS!$G$2:$G$20000=CONFIG_METADATA!$B$4)*(DATOS!$D$2:$D$20000=A177)*(DATOS!$I$2:$I$20000=B177),DATOS!$K$2:$K$20000)),"—"),"")</f>
        <v>—</v>
      </c>
      <c r="H177" s="15" t="str">
        <f>IF(V177="Sí",IFERROR(COUNTIFS(DATOS!G:G,CONFIG_METADATA!$B$4,DATOS!D:D,A177,DATOS!I:I,B177,DATOS!L:L,"S")/COUNTIFS(DATOS!G:G,CONFIG_METADATA!$B$4,DATOS!D:D,A177,DATOS!I:I,B177),"—"),"")</f>
        <v>—</v>
      </c>
      <c r="I177" s="15" t="str">
        <f>IF(V177="Sí",IFERROR(COUNTIFS(DATOS!G:G,CONFIG_METADATA!$B$4,DATOS!D:D,A177,DATOS!I:I,B177,DATOS!L:L,"N")/COUNTIFS(DATOS!G:G,CONFIG_METADATA!$B$4,DATOS!D:D,A177,DATOS!I:I,B177),"—"),"")</f>
        <v>—</v>
      </c>
      <c r="J177" t="str" cm="1">
        <f t="array" ref="J177">IF(V177="Sí",IFERROR(_xlfn.MODE.SNGL(IF((DATOS!$G$2:$G$20000=CONFIG_METADATA!$B$4)*(DATOS!$D$2:$D$20000=A177)*(DATOS!$I$2:$I$20000=B177)*(DATOS!$L$2:$L$20000="S"),DATOS!$K$2:$K$20000)),"—"),"")</f>
        <v>—</v>
      </c>
      <c r="K177" t="str" cm="1">
        <f t="array" ref="K177">IF(V177="Sí",IFERROR(_xlfn.MODE.SNGL(IF((DATOS!$G$2:$G$20000=CONFIG_METADATA!$B$4)*(DATOS!$D$2:$D$20000=A177)*(DATOS!$I$2:$I$20000=B177)*(DATOS!$L$2:$L$20000="N"),DATOS!$K$2:$K$20000)),"—"),"")</f>
        <v>—</v>
      </c>
      <c r="L177">
        <f>IF(V177="Sí",COUNTIFS(DATOS!G:G,CONFIG_METADATA!$B$4,DATOS!D:D,A177,DATOS!I:I,B177,DATOS!K:K,1),"")</f>
        <v>0</v>
      </c>
      <c r="M177">
        <f>IF(V177="Sí",COUNTIFS(DATOS!G:G,CONFIG_METADATA!$B$4,DATOS!D:D,A177,DATOS!I:I,B177,DATOS!K:K,2),"")</f>
        <v>0</v>
      </c>
      <c r="N177">
        <f>IF(V177="Sí",COUNTIFS(DATOS!G:G,CONFIG_METADATA!$B$4,DATOS!D:D,A177,DATOS!I:I,B177,DATOS!K:K,3),"")</f>
        <v>0</v>
      </c>
      <c r="O177">
        <f>IF(V177="Sí",COUNTIFS(DATOS!G:G,CONFIG_METADATA!$B$4,DATOS!D:D,A177,DATOS!I:I,B177,DATOS!K:K,4),"")</f>
        <v>0</v>
      </c>
      <c r="P177">
        <f>IF(V177="Sí",COUNTIFS(DATOS!G:G,CONFIG_METADATA!$B$4,DATOS!D:D,A177,DATOS!I:I,B177,DATOS!K:K,5),"")</f>
        <v>0</v>
      </c>
      <c r="Q177">
        <f>IF(V177="Sí",COUNTIFS(DATOS!G:G,CONFIG_METADATA!$B$4,DATOS!D:D,A177,DATOS!I:I,B177,DATOS!K:K,6),"")</f>
        <v>0</v>
      </c>
      <c r="R177">
        <f>IF(V177="Sí",COUNTIFS(DATOS!G:G,CONFIG_METADATA!$B$4,DATOS!D:D,A177,DATOS!I:I,B177,DATOS!K:K,7),"")</f>
        <v>0</v>
      </c>
      <c r="S177">
        <f>IF(V177="Sí",COUNTIFS(DATOS!G:G,CONFIG_METADATA!$B$4,DATOS!D:D,A177,DATOS!I:I,B177,DATOS!K:K,8),"")</f>
        <v>0</v>
      </c>
      <c r="T177">
        <f>IF(V177="Sí",COUNTIFS(DATOS!G:G,CONFIG_METADATA!$B$4,DATOS!D:D,A177,DATOS!I:I,B177,DATOS!K:K,9),"")</f>
        <v>0</v>
      </c>
      <c r="U177">
        <f>IF(V177="Sí",COUNTIFS(DATOS!G:G,CONFIG_METADATA!$B$4,DATOS!D:D,A177,DATOS!I:I,B177,DATOS!K:K,10),"")</f>
        <v>0</v>
      </c>
      <c r="V177" t="str">
        <f>IFERROR(IF(ISERROR(FIND(A177,VLOOKUP(B177,CONFIG_ASIGNATURAS!B:C,2,FALSE()))),"No","Sí"),"No")</f>
        <v>Sí</v>
      </c>
    </row>
    <row r="178" spans="1:22">
      <c r="A178" s="3" t="inlineStr">
        <is>
          <t xml:space="preserve">2EEM</t>
        </is>
      </c>
      <c r="B178" s="3" cm="1">
        <f t="array" ref="B178">IFERROR(INDEX(_xlfn._xlws.FILTER(CONFIG_ASIGNATURAS!$B$2:$B$61,(CONFIG_ASIGNATURAS!$G$2:$G$61="Sí")*ISNUMBER(SEARCH("2EEM",CONFIG_ASIGNATURAS!$C$2:$C$61))),48),"")</f>
      </c>
      <c r="C178" s="3">
        <f>IF(B178="","",IFERROR(IF(VLOOKUP(B178,CONFIG_ASIGNATURAS!$B$2:$F$61,5,FALSE())="Sí","Especialidad","Asignatura"),"Asignatura"))</f>
      </c>
      <c r="D178">
        <f>IF(V178="Sí",COUNTIFS(DATOS!G:G,CONFIG_METADATA!$B$4,DATOS!D:D,A178,DATOS!I:I,B178),"")</f>
        <v>0</v>
      </c>
      <c r="E178" s="14" t="str">
        <f>IF(V178="Sí",IFERROR(AVERAGEIFS(DATOS!K:K,DATOS!G:G,CONFIG_METADATA!$B$4,DATOS!D:D,A178,DATOS!I:I,B178),"—"),"")</f>
        <v>—</v>
      </c>
      <c r="F178" s="14" t="str" cm="1">
        <f t="array" ref="F178">IF(V178="Sí",IFERROR(_xlfn.STDEV.P(IF((DATOS!$G$2:$G$20000=CONFIG_METADATA!$B$4)*(DATOS!$D$2:$D$20000=A178)*(DATOS!$I$2:$I$20000=B178),DATOS!$K$2:$K$20000)),"—"),"")</f>
        <v>—</v>
      </c>
      <c r="G178" t="str" cm="1">
        <f t="array" ref="G178">IF(V178="Sí",IFERROR(_xlfn.MODE.SNGL(IF((DATOS!$G$2:$G$20000=CONFIG_METADATA!$B$4)*(DATOS!$D$2:$D$20000=A178)*(DATOS!$I$2:$I$20000=B178),DATOS!$K$2:$K$20000)),"—"),"")</f>
        <v>—</v>
      </c>
      <c r="H178" s="15" t="str">
        <f>IF(V178="Sí",IFERROR(COUNTIFS(DATOS!G:G,CONFIG_METADATA!$B$4,DATOS!D:D,A178,DATOS!I:I,B178,DATOS!L:L,"S")/COUNTIFS(DATOS!G:G,CONFIG_METADATA!$B$4,DATOS!D:D,A178,DATOS!I:I,B178),"—"),"")</f>
        <v>—</v>
      </c>
      <c r="I178" s="15" t="str">
        <f>IF(V178="Sí",IFERROR(COUNTIFS(DATOS!G:G,CONFIG_METADATA!$B$4,DATOS!D:D,A178,DATOS!I:I,B178,DATOS!L:L,"N")/COUNTIFS(DATOS!G:G,CONFIG_METADATA!$B$4,DATOS!D:D,A178,DATOS!I:I,B178),"—"),"")</f>
        <v>—</v>
      </c>
      <c r="J178" t="str" cm="1">
        <f t="array" ref="J178">IF(V178="Sí",IFERROR(_xlfn.MODE.SNGL(IF((DATOS!$G$2:$G$20000=CONFIG_METADATA!$B$4)*(DATOS!$D$2:$D$20000=A178)*(DATOS!$I$2:$I$20000=B178)*(DATOS!$L$2:$L$20000="S"),DATOS!$K$2:$K$20000)),"—"),"")</f>
        <v>—</v>
      </c>
      <c r="K178" t="str" cm="1">
        <f t="array" ref="K178">IF(V178="Sí",IFERROR(_xlfn.MODE.SNGL(IF((DATOS!$G$2:$G$20000=CONFIG_METADATA!$B$4)*(DATOS!$D$2:$D$20000=A178)*(DATOS!$I$2:$I$20000=B178)*(DATOS!$L$2:$L$20000="N"),DATOS!$K$2:$K$20000)),"—"),"")</f>
        <v>—</v>
      </c>
      <c r="L178">
        <f>IF(V178="Sí",COUNTIFS(DATOS!G:G,CONFIG_METADATA!$B$4,DATOS!D:D,A178,DATOS!I:I,B178,DATOS!K:K,1),"")</f>
        <v>0</v>
      </c>
      <c r="M178">
        <f>IF(V178="Sí",COUNTIFS(DATOS!G:G,CONFIG_METADATA!$B$4,DATOS!D:D,A178,DATOS!I:I,B178,DATOS!K:K,2),"")</f>
        <v>0</v>
      </c>
      <c r="N178">
        <f>IF(V178="Sí",COUNTIFS(DATOS!G:G,CONFIG_METADATA!$B$4,DATOS!D:D,A178,DATOS!I:I,B178,DATOS!K:K,3),"")</f>
        <v>0</v>
      </c>
      <c r="O178">
        <f>IF(V178="Sí",COUNTIFS(DATOS!G:G,CONFIG_METADATA!$B$4,DATOS!D:D,A178,DATOS!I:I,B178,DATOS!K:K,4),"")</f>
        <v>0</v>
      </c>
      <c r="P178">
        <f>IF(V178="Sí",COUNTIFS(DATOS!G:G,CONFIG_METADATA!$B$4,DATOS!D:D,A178,DATOS!I:I,B178,DATOS!K:K,5),"")</f>
        <v>0</v>
      </c>
      <c r="Q178">
        <f>IF(V178="Sí",COUNTIFS(DATOS!G:G,CONFIG_METADATA!$B$4,DATOS!D:D,A178,DATOS!I:I,B178,DATOS!K:K,6),"")</f>
        <v>0</v>
      </c>
      <c r="R178">
        <f>IF(V178="Sí",COUNTIFS(DATOS!G:G,CONFIG_METADATA!$B$4,DATOS!D:D,A178,DATOS!I:I,B178,DATOS!K:K,7),"")</f>
        <v>0</v>
      </c>
      <c r="S178">
        <f>IF(V178="Sí",COUNTIFS(DATOS!G:G,CONFIG_METADATA!$B$4,DATOS!D:D,A178,DATOS!I:I,B178,DATOS!K:K,8),"")</f>
        <v>0</v>
      </c>
      <c r="T178">
        <f>IF(V178="Sí",COUNTIFS(DATOS!G:G,CONFIG_METADATA!$B$4,DATOS!D:D,A178,DATOS!I:I,B178,DATOS!K:K,9),"")</f>
        <v>0</v>
      </c>
      <c r="U178">
        <f>IF(V178="Sí",COUNTIFS(DATOS!G:G,CONFIG_METADATA!$B$4,DATOS!D:D,A178,DATOS!I:I,B178,DATOS!K:K,10),"")</f>
        <v>0</v>
      </c>
      <c r="V178" t="str">
        <f>IFERROR(IF(ISERROR(FIND(A178,VLOOKUP(B178,CONFIG_ASIGNATURAS!B:C,2,FALSE()))),"No","Sí"),"No")</f>
        <v>Sí</v>
      </c>
    </row>
    <row r="179" spans="1:22">
      <c r="A179" s="3" t="inlineStr">
        <is>
          <t xml:space="preserve">2EEM</t>
        </is>
      </c>
      <c r="B179" s="3" cm="1">
        <f t="array" ref="B179">IFERROR(INDEX(_xlfn._xlws.FILTER(CONFIG_ASIGNATURAS!$B$2:$B$61,(CONFIG_ASIGNATURAS!$G$2:$G$61="Sí")*ISNUMBER(SEARCH("2EEM",CONFIG_ASIGNATURAS!$C$2:$C$61))),49),"")</f>
      </c>
      <c r="C179" s="3">
        <f>IF(B179="","",IFERROR(IF(VLOOKUP(B179,CONFIG_ASIGNATURAS!$B$2:$F$61,5,FALSE())="Sí","Especialidad","Asignatura"),"Asignatura"))</f>
      </c>
      <c r="D179">
        <f>IF(V179="Sí",COUNTIFS(DATOS!G:G,CONFIG_METADATA!$B$4,DATOS!D:D,A179,DATOS!I:I,B179),"")</f>
        <v>0</v>
      </c>
      <c r="E179" s="14" t="str">
        <f>IF(V179="Sí",IFERROR(AVERAGEIFS(DATOS!K:K,DATOS!G:G,CONFIG_METADATA!$B$4,DATOS!D:D,A179,DATOS!I:I,B179),"—"),"")</f>
        <v>—</v>
      </c>
      <c r="F179" s="14" t="str" cm="1">
        <f t="array" ref="F179">IF(V179="Sí",IFERROR(_xlfn.STDEV.P(IF((DATOS!$G$2:$G$20000=CONFIG_METADATA!$B$4)*(DATOS!$D$2:$D$20000=A179)*(DATOS!$I$2:$I$20000=B179),DATOS!$K$2:$K$20000)),"—"),"")</f>
        <v>—</v>
      </c>
      <c r="G179" t="str" cm="1">
        <f t="array" ref="G179">IF(V179="Sí",IFERROR(_xlfn.MODE.SNGL(IF((DATOS!$G$2:$G$20000=CONFIG_METADATA!$B$4)*(DATOS!$D$2:$D$20000=A179)*(DATOS!$I$2:$I$20000=B179),DATOS!$K$2:$K$20000)),"—"),"")</f>
        <v>—</v>
      </c>
      <c r="H179" s="15" t="str">
        <f>IF(V179="Sí",IFERROR(COUNTIFS(DATOS!G:G,CONFIG_METADATA!$B$4,DATOS!D:D,A179,DATOS!I:I,B179,DATOS!L:L,"S")/COUNTIFS(DATOS!G:G,CONFIG_METADATA!$B$4,DATOS!D:D,A179,DATOS!I:I,B179),"—"),"")</f>
        <v>—</v>
      </c>
      <c r="I179" s="15" t="str">
        <f>IF(V179="Sí",IFERROR(COUNTIFS(DATOS!G:G,CONFIG_METADATA!$B$4,DATOS!D:D,A179,DATOS!I:I,B179,DATOS!L:L,"N")/COUNTIFS(DATOS!G:G,CONFIG_METADATA!$B$4,DATOS!D:D,A179,DATOS!I:I,B179),"—"),"")</f>
        <v>—</v>
      </c>
      <c r="J179" t="str" cm="1">
        <f t="array" ref="J179">IF(V179="Sí",IFERROR(_xlfn.MODE.SNGL(IF((DATOS!$G$2:$G$20000=CONFIG_METADATA!$B$4)*(DATOS!$D$2:$D$20000=A179)*(DATOS!$I$2:$I$20000=B179)*(DATOS!$L$2:$L$20000="S"),DATOS!$K$2:$K$20000)),"—"),"")</f>
        <v>—</v>
      </c>
      <c r="K179" t="str" cm="1">
        <f t="array" ref="K179">IF(V179="Sí",IFERROR(_xlfn.MODE.SNGL(IF((DATOS!$G$2:$G$20000=CONFIG_METADATA!$B$4)*(DATOS!$D$2:$D$20000=A179)*(DATOS!$I$2:$I$20000=B179)*(DATOS!$L$2:$L$20000="N"),DATOS!$K$2:$K$20000)),"—"),"")</f>
        <v>—</v>
      </c>
      <c r="L179">
        <f>IF(V179="Sí",COUNTIFS(DATOS!G:G,CONFIG_METADATA!$B$4,DATOS!D:D,A179,DATOS!I:I,B179,DATOS!K:K,1),"")</f>
        <v>0</v>
      </c>
      <c r="M179">
        <f>IF(V179="Sí",COUNTIFS(DATOS!G:G,CONFIG_METADATA!$B$4,DATOS!D:D,A179,DATOS!I:I,B179,DATOS!K:K,2),"")</f>
        <v>0</v>
      </c>
      <c r="N179">
        <f>IF(V179="Sí",COUNTIFS(DATOS!G:G,CONFIG_METADATA!$B$4,DATOS!D:D,A179,DATOS!I:I,B179,DATOS!K:K,3),"")</f>
        <v>0</v>
      </c>
      <c r="O179">
        <f>IF(V179="Sí",COUNTIFS(DATOS!G:G,CONFIG_METADATA!$B$4,DATOS!D:D,A179,DATOS!I:I,B179,DATOS!K:K,4),"")</f>
        <v>0</v>
      </c>
      <c r="P179">
        <f>IF(V179="Sí",COUNTIFS(DATOS!G:G,CONFIG_METADATA!$B$4,DATOS!D:D,A179,DATOS!I:I,B179,DATOS!K:K,5),"")</f>
        <v>0</v>
      </c>
      <c r="Q179">
        <f>IF(V179="Sí",COUNTIFS(DATOS!G:G,CONFIG_METADATA!$B$4,DATOS!D:D,A179,DATOS!I:I,B179,DATOS!K:K,6),"")</f>
        <v>0</v>
      </c>
      <c r="R179">
        <f>IF(V179="Sí",COUNTIFS(DATOS!G:G,CONFIG_METADATA!$B$4,DATOS!D:D,A179,DATOS!I:I,B179,DATOS!K:K,7),"")</f>
        <v>0</v>
      </c>
      <c r="S179">
        <f>IF(V179="Sí",COUNTIFS(DATOS!G:G,CONFIG_METADATA!$B$4,DATOS!D:D,A179,DATOS!I:I,B179,DATOS!K:K,8),"")</f>
        <v>0</v>
      </c>
      <c r="T179">
        <f>IF(V179="Sí",COUNTIFS(DATOS!G:G,CONFIG_METADATA!$B$4,DATOS!D:D,A179,DATOS!I:I,B179,DATOS!K:K,9),"")</f>
        <v>0</v>
      </c>
      <c r="U179">
        <f>IF(V179="Sí",COUNTIFS(DATOS!G:G,CONFIG_METADATA!$B$4,DATOS!D:D,A179,DATOS!I:I,B179,DATOS!K:K,10),"")</f>
        <v>0</v>
      </c>
      <c r="V179" t="str">
        <f>IFERROR(IF(ISERROR(FIND(A179,VLOOKUP(B179,CONFIG_ASIGNATURAS!B:C,2,FALSE()))),"No","Sí"),"No")</f>
        <v>Sí</v>
      </c>
    </row>
    <row r="180" spans="1:22">
      <c r="A180" s="3" t="inlineStr">
        <is>
          <t xml:space="preserve">2EEM</t>
        </is>
      </c>
      <c r="B180" s="3" cm="1">
        <f t="array" ref="B180">IFERROR(INDEX(_xlfn._xlws.FILTER(CONFIG_ASIGNATURAS!$B$2:$B$61,(CONFIG_ASIGNATURAS!$G$2:$G$61="Sí")*ISNUMBER(SEARCH("2EEM",CONFIG_ASIGNATURAS!$C$2:$C$61))),50),"")</f>
      </c>
      <c r="C180" s="3">
        <f>IF(B180="","",IFERROR(IF(VLOOKUP(B180,CONFIG_ASIGNATURAS!$B$2:$F$61,5,FALSE())="Sí","Especialidad","Asignatura"),"Asignatura"))</f>
      </c>
      <c r="D180">
        <f>IF(V180="Sí",COUNTIFS(DATOS!G:G,CONFIG_METADATA!$B$4,DATOS!D:D,A180,DATOS!I:I,B180),"")</f>
        <v>0</v>
      </c>
      <c r="E180" s="14" t="str">
        <f>IF(V180="Sí",IFERROR(AVERAGEIFS(DATOS!K:K,DATOS!G:G,CONFIG_METADATA!$B$4,DATOS!D:D,A180,DATOS!I:I,B180),"—"),"")</f>
        <v>—</v>
      </c>
      <c r="F180" s="14" t="str" cm="1">
        <f t="array" ref="F180">IF(V180="Sí",IFERROR(_xlfn.STDEV.P(IF((DATOS!$G$2:$G$20000=CONFIG_METADATA!$B$4)*(DATOS!$D$2:$D$20000=A180)*(DATOS!$I$2:$I$20000=B180),DATOS!$K$2:$K$20000)),"—"),"")</f>
        <v>—</v>
      </c>
      <c r="G180" t="str" cm="1">
        <f t="array" ref="G180">IF(V180="Sí",IFERROR(_xlfn.MODE.SNGL(IF((DATOS!$G$2:$G$20000=CONFIG_METADATA!$B$4)*(DATOS!$D$2:$D$20000=A180)*(DATOS!$I$2:$I$20000=B180),DATOS!$K$2:$K$20000)),"—"),"")</f>
        <v>—</v>
      </c>
      <c r="H180" s="15" t="str">
        <f>IF(V180="Sí",IFERROR(COUNTIFS(DATOS!G:G,CONFIG_METADATA!$B$4,DATOS!D:D,A180,DATOS!I:I,B180,DATOS!L:L,"S")/COUNTIFS(DATOS!G:G,CONFIG_METADATA!$B$4,DATOS!D:D,A180,DATOS!I:I,B180),"—"),"")</f>
        <v>—</v>
      </c>
      <c r="I180" s="15" t="str">
        <f>IF(V180="Sí",IFERROR(COUNTIFS(DATOS!G:G,CONFIG_METADATA!$B$4,DATOS!D:D,A180,DATOS!I:I,B180,DATOS!L:L,"N")/COUNTIFS(DATOS!G:G,CONFIG_METADATA!$B$4,DATOS!D:D,A180,DATOS!I:I,B180),"—"),"")</f>
        <v>—</v>
      </c>
      <c r="J180" t="str" cm="1">
        <f t="array" ref="J180">IF(V180="Sí",IFERROR(_xlfn.MODE.SNGL(IF((DATOS!$G$2:$G$20000=CONFIG_METADATA!$B$4)*(DATOS!$D$2:$D$20000=A180)*(DATOS!$I$2:$I$20000=B180)*(DATOS!$L$2:$L$20000="S"),DATOS!$K$2:$K$20000)),"—"),"")</f>
        <v>—</v>
      </c>
      <c r="K180" t="str" cm="1">
        <f t="array" ref="K180">IF(V180="Sí",IFERROR(_xlfn.MODE.SNGL(IF((DATOS!$G$2:$G$20000=CONFIG_METADATA!$B$4)*(DATOS!$D$2:$D$20000=A180)*(DATOS!$I$2:$I$20000=B180)*(DATOS!$L$2:$L$20000="N"),DATOS!$K$2:$K$20000)),"—"),"")</f>
        <v>—</v>
      </c>
      <c r="L180">
        <f>IF(V180="Sí",COUNTIFS(DATOS!G:G,CONFIG_METADATA!$B$4,DATOS!D:D,A180,DATOS!I:I,B180,DATOS!K:K,1),"")</f>
        <v>0</v>
      </c>
      <c r="M180">
        <f>IF(V180="Sí",COUNTIFS(DATOS!G:G,CONFIG_METADATA!$B$4,DATOS!D:D,A180,DATOS!I:I,B180,DATOS!K:K,2),"")</f>
        <v>0</v>
      </c>
      <c r="N180">
        <f>IF(V180="Sí",COUNTIFS(DATOS!G:G,CONFIG_METADATA!$B$4,DATOS!D:D,A180,DATOS!I:I,B180,DATOS!K:K,3),"")</f>
        <v>0</v>
      </c>
      <c r="O180">
        <f>IF(V180="Sí",COUNTIFS(DATOS!G:G,CONFIG_METADATA!$B$4,DATOS!D:D,A180,DATOS!I:I,B180,DATOS!K:K,4),"")</f>
        <v>0</v>
      </c>
      <c r="P180">
        <f>IF(V180="Sí",COUNTIFS(DATOS!G:G,CONFIG_METADATA!$B$4,DATOS!D:D,A180,DATOS!I:I,B180,DATOS!K:K,5),"")</f>
        <v>0</v>
      </c>
      <c r="Q180">
        <f>IF(V180="Sí",COUNTIFS(DATOS!G:G,CONFIG_METADATA!$B$4,DATOS!D:D,A180,DATOS!I:I,B180,DATOS!K:K,6),"")</f>
        <v>0</v>
      </c>
      <c r="R180">
        <f>IF(V180="Sí",COUNTIFS(DATOS!G:G,CONFIG_METADATA!$B$4,DATOS!D:D,A180,DATOS!I:I,B180,DATOS!K:K,7),"")</f>
        <v>0</v>
      </c>
      <c r="S180">
        <f>IF(V180="Sí",COUNTIFS(DATOS!G:G,CONFIG_METADATA!$B$4,DATOS!D:D,A180,DATOS!I:I,B180,DATOS!K:K,8),"")</f>
        <v>0</v>
      </c>
      <c r="T180">
        <f>IF(V180="Sí",COUNTIFS(DATOS!G:G,CONFIG_METADATA!$B$4,DATOS!D:D,A180,DATOS!I:I,B180,DATOS!K:K,9),"")</f>
        <v>0</v>
      </c>
      <c r="U180">
        <f>IF(V180="Sí",COUNTIFS(DATOS!G:G,CONFIG_METADATA!$B$4,DATOS!D:D,A180,DATOS!I:I,B180,DATOS!K:K,10),"")</f>
        <v>0</v>
      </c>
      <c r="V180" t="str">
        <f>IFERROR(IF(ISERROR(FIND(A180,VLOOKUP(B180,CONFIG_ASIGNATURAS!B:C,2,FALSE()))),"No","Sí"),"No")</f>
        <v>Sí</v>
      </c>
    </row>
    <row r="181" spans="1:22">
      <c r="A181" s="3" t="inlineStr">
        <is>
          <t xml:space="preserve">2EEM</t>
        </is>
      </c>
      <c r="B181" s="3" cm="1">
        <f t="array" ref="B181">IFERROR(INDEX(_xlfn._xlws.FILTER(CONFIG_ASIGNATURAS!$B$2:$B$61,(CONFIG_ASIGNATURAS!$G$2:$G$61="Sí")*ISNUMBER(SEARCH("2EEM",CONFIG_ASIGNATURAS!$C$2:$C$61))),51),"")</f>
      </c>
      <c r="C181" s="3">
        <f>IF(B181="","",IFERROR(IF(VLOOKUP(B181,CONFIG_ASIGNATURAS!$B$2:$F$61,5,FALSE())="Sí","Especialidad","Asignatura"),"Asignatura"))</f>
      </c>
      <c r="D181">
        <f>IF(V181="Sí",COUNTIFS(DATOS!G:G,CONFIG_METADATA!$B$4,DATOS!D:D,A181,DATOS!I:I,B181),"")</f>
        <v>0</v>
      </c>
      <c r="E181" s="14" t="str">
        <f>IF(V181="Sí",IFERROR(AVERAGEIFS(DATOS!K:K,DATOS!G:G,CONFIG_METADATA!$B$4,DATOS!D:D,A181,DATOS!I:I,B181),"—"),"")</f>
        <v>—</v>
      </c>
      <c r="F181" s="14" t="str" cm="1">
        <f t="array" ref="F181">IF(V181="Sí",IFERROR(_xlfn.STDEV.P(IF((DATOS!$G$2:$G$20000=CONFIG_METADATA!$B$4)*(DATOS!$D$2:$D$20000=A181)*(DATOS!$I$2:$I$20000=B181),DATOS!$K$2:$K$20000)),"—"),"")</f>
        <v>—</v>
      </c>
      <c r="G181" t="str" cm="1">
        <f t="array" ref="G181">IF(V181="Sí",IFERROR(_xlfn.MODE.SNGL(IF((DATOS!$G$2:$G$20000=CONFIG_METADATA!$B$4)*(DATOS!$D$2:$D$20000=A181)*(DATOS!$I$2:$I$20000=B181),DATOS!$K$2:$K$20000)),"—"),"")</f>
        <v>—</v>
      </c>
      <c r="H181" s="15" t="str">
        <f>IF(V181="Sí",IFERROR(COUNTIFS(DATOS!G:G,CONFIG_METADATA!$B$4,DATOS!D:D,A181,DATOS!I:I,B181,DATOS!L:L,"S")/COUNTIFS(DATOS!G:G,CONFIG_METADATA!$B$4,DATOS!D:D,A181,DATOS!I:I,B181),"—"),"")</f>
        <v>—</v>
      </c>
      <c r="I181" s="15" t="str">
        <f>IF(V181="Sí",IFERROR(COUNTIFS(DATOS!G:G,CONFIG_METADATA!$B$4,DATOS!D:D,A181,DATOS!I:I,B181,DATOS!L:L,"N")/COUNTIFS(DATOS!G:G,CONFIG_METADATA!$B$4,DATOS!D:D,A181,DATOS!I:I,B181),"—"),"")</f>
        <v>—</v>
      </c>
      <c r="J181" t="str" cm="1">
        <f t="array" ref="J181">IF(V181="Sí",IFERROR(_xlfn.MODE.SNGL(IF((DATOS!$G$2:$G$20000=CONFIG_METADATA!$B$4)*(DATOS!$D$2:$D$20000=A181)*(DATOS!$I$2:$I$20000=B181)*(DATOS!$L$2:$L$20000="S"),DATOS!$K$2:$K$20000)),"—"),"")</f>
        <v>—</v>
      </c>
      <c r="K181" t="str" cm="1">
        <f t="array" ref="K181">IF(V181="Sí",IFERROR(_xlfn.MODE.SNGL(IF((DATOS!$G$2:$G$20000=CONFIG_METADATA!$B$4)*(DATOS!$D$2:$D$20000=A181)*(DATOS!$I$2:$I$20000=B181)*(DATOS!$L$2:$L$20000="N"),DATOS!$K$2:$K$20000)),"—"),"")</f>
        <v>—</v>
      </c>
      <c r="L181">
        <f>IF(V181="Sí",COUNTIFS(DATOS!G:G,CONFIG_METADATA!$B$4,DATOS!D:D,A181,DATOS!I:I,B181,DATOS!K:K,1),"")</f>
        <v>0</v>
      </c>
      <c r="M181">
        <f>IF(V181="Sí",COUNTIFS(DATOS!G:G,CONFIG_METADATA!$B$4,DATOS!D:D,A181,DATOS!I:I,B181,DATOS!K:K,2),"")</f>
        <v>0</v>
      </c>
      <c r="N181">
        <f>IF(V181="Sí",COUNTIFS(DATOS!G:G,CONFIG_METADATA!$B$4,DATOS!D:D,A181,DATOS!I:I,B181,DATOS!K:K,3),"")</f>
        <v>0</v>
      </c>
      <c r="O181">
        <f>IF(V181="Sí",COUNTIFS(DATOS!G:G,CONFIG_METADATA!$B$4,DATOS!D:D,A181,DATOS!I:I,B181,DATOS!K:K,4),"")</f>
        <v>0</v>
      </c>
      <c r="P181">
        <f>IF(V181="Sí",COUNTIFS(DATOS!G:G,CONFIG_METADATA!$B$4,DATOS!D:D,A181,DATOS!I:I,B181,DATOS!K:K,5),"")</f>
        <v>0</v>
      </c>
      <c r="Q181">
        <f>IF(V181="Sí",COUNTIFS(DATOS!G:G,CONFIG_METADATA!$B$4,DATOS!D:D,A181,DATOS!I:I,B181,DATOS!K:K,6),"")</f>
        <v>0</v>
      </c>
      <c r="R181">
        <f>IF(V181="Sí",COUNTIFS(DATOS!G:G,CONFIG_METADATA!$B$4,DATOS!D:D,A181,DATOS!I:I,B181,DATOS!K:K,7),"")</f>
        <v>0</v>
      </c>
      <c r="S181">
        <f>IF(V181="Sí",COUNTIFS(DATOS!G:G,CONFIG_METADATA!$B$4,DATOS!D:D,A181,DATOS!I:I,B181,DATOS!K:K,8),"")</f>
        <v>0</v>
      </c>
      <c r="T181">
        <f>IF(V181="Sí",COUNTIFS(DATOS!G:G,CONFIG_METADATA!$B$4,DATOS!D:D,A181,DATOS!I:I,B181,DATOS!K:K,9),"")</f>
        <v>0</v>
      </c>
      <c r="U181">
        <f>IF(V181="Sí",COUNTIFS(DATOS!G:G,CONFIG_METADATA!$B$4,DATOS!D:D,A181,DATOS!I:I,B181,DATOS!K:K,10),"")</f>
        <v>0</v>
      </c>
      <c r="V181" t="str">
        <f>IFERROR(IF(ISERROR(FIND(A181,VLOOKUP(B181,CONFIG_ASIGNATURAS!B:C,2,FALSE()))),"No","Sí"),"No")</f>
        <v>Sí</v>
      </c>
    </row>
    <row r="182" spans="1:22">
      <c r="A182" s="3" t="inlineStr">
        <is>
          <t xml:space="preserve">2EEM</t>
        </is>
      </c>
      <c r="B182" s="3" cm="1">
        <f t="array" ref="B182">IFERROR(INDEX(_xlfn._xlws.FILTER(CONFIG_ASIGNATURAS!$B$2:$B$61,(CONFIG_ASIGNATURAS!$G$2:$G$61="Sí")*ISNUMBER(SEARCH("2EEM",CONFIG_ASIGNATURAS!$C$2:$C$61))),52),"")</f>
      </c>
      <c r="C182" s="3">
        <f>IF(B182="","",IFERROR(IF(VLOOKUP(B182,CONFIG_ASIGNATURAS!$B$2:$F$61,5,FALSE())="Sí","Especialidad","Asignatura"),"Asignatura"))</f>
      </c>
      <c r="D182">
        <f>IF(V182="Sí",COUNTIFS(DATOS!G:G,CONFIG_METADATA!$B$4,DATOS!D:D,A182,DATOS!I:I,B182),"")</f>
        <v>0</v>
      </c>
      <c r="E182" s="14" t="str">
        <f>IF(V182="Sí",IFERROR(AVERAGEIFS(DATOS!K:K,DATOS!G:G,CONFIG_METADATA!$B$4,DATOS!D:D,A182,DATOS!I:I,B182),"—"),"")</f>
        <v>—</v>
      </c>
      <c r="F182" s="14" t="str" cm="1">
        <f t="array" ref="F182">IF(V182="Sí",IFERROR(_xlfn.STDEV.P(IF((DATOS!$G$2:$G$20000=CONFIG_METADATA!$B$4)*(DATOS!$D$2:$D$20000=A182)*(DATOS!$I$2:$I$20000=B182),DATOS!$K$2:$K$20000)),"—"),"")</f>
        <v>—</v>
      </c>
      <c r="G182" t="str" cm="1">
        <f t="array" ref="G182">IF(V182="Sí",IFERROR(_xlfn.MODE.SNGL(IF((DATOS!$G$2:$G$20000=CONFIG_METADATA!$B$4)*(DATOS!$D$2:$D$20000=A182)*(DATOS!$I$2:$I$20000=B182),DATOS!$K$2:$K$20000)),"—"),"")</f>
        <v>—</v>
      </c>
      <c r="H182" s="15" t="str">
        <f>IF(V182="Sí",IFERROR(COUNTIFS(DATOS!G:G,CONFIG_METADATA!$B$4,DATOS!D:D,A182,DATOS!I:I,B182,DATOS!L:L,"S")/COUNTIFS(DATOS!G:G,CONFIG_METADATA!$B$4,DATOS!D:D,A182,DATOS!I:I,B182),"—"),"")</f>
        <v>—</v>
      </c>
      <c r="I182" s="15" t="str">
        <f>IF(V182="Sí",IFERROR(COUNTIFS(DATOS!G:G,CONFIG_METADATA!$B$4,DATOS!D:D,A182,DATOS!I:I,B182,DATOS!L:L,"N")/COUNTIFS(DATOS!G:G,CONFIG_METADATA!$B$4,DATOS!D:D,A182,DATOS!I:I,B182),"—"),"")</f>
        <v>—</v>
      </c>
      <c r="J182" t="str" cm="1">
        <f t="array" ref="J182">IF(V182="Sí",IFERROR(_xlfn.MODE.SNGL(IF((DATOS!$G$2:$G$20000=CONFIG_METADATA!$B$4)*(DATOS!$D$2:$D$20000=A182)*(DATOS!$I$2:$I$20000=B182)*(DATOS!$L$2:$L$20000="S"),DATOS!$K$2:$K$20000)),"—"),"")</f>
        <v>—</v>
      </c>
      <c r="K182" t="str" cm="1">
        <f t="array" ref="K182">IF(V182="Sí",IFERROR(_xlfn.MODE.SNGL(IF((DATOS!$G$2:$G$20000=CONFIG_METADATA!$B$4)*(DATOS!$D$2:$D$20000=A182)*(DATOS!$I$2:$I$20000=B182)*(DATOS!$L$2:$L$20000="N"),DATOS!$K$2:$K$20000)),"—"),"")</f>
        <v>—</v>
      </c>
      <c r="L182">
        <f>IF(V182="Sí",COUNTIFS(DATOS!G:G,CONFIG_METADATA!$B$4,DATOS!D:D,A182,DATOS!I:I,B182,DATOS!K:K,1),"")</f>
        <v>0</v>
      </c>
      <c r="M182">
        <f>IF(V182="Sí",COUNTIFS(DATOS!G:G,CONFIG_METADATA!$B$4,DATOS!D:D,A182,DATOS!I:I,B182,DATOS!K:K,2),"")</f>
        <v>0</v>
      </c>
      <c r="N182">
        <f>IF(V182="Sí",COUNTIFS(DATOS!G:G,CONFIG_METADATA!$B$4,DATOS!D:D,A182,DATOS!I:I,B182,DATOS!K:K,3),"")</f>
        <v>0</v>
      </c>
      <c r="O182">
        <f>IF(V182="Sí",COUNTIFS(DATOS!G:G,CONFIG_METADATA!$B$4,DATOS!D:D,A182,DATOS!I:I,B182,DATOS!K:K,4),"")</f>
        <v>0</v>
      </c>
      <c r="P182">
        <f>IF(V182="Sí",COUNTIFS(DATOS!G:G,CONFIG_METADATA!$B$4,DATOS!D:D,A182,DATOS!I:I,B182,DATOS!K:K,5),"")</f>
        <v>0</v>
      </c>
      <c r="Q182">
        <f>IF(V182="Sí",COUNTIFS(DATOS!G:G,CONFIG_METADATA!$B$4,DATOS!D:D,A182,DATOS!I:I,B182,DATOS!K:K,6),"")</f>
        <v>0</v>
      </c>
      <c r="R182">
        <f>IF(V182="Sí",COUNTIFS(DATOS!G:G,CONFIG_METADATA!$B$4,DATOS!D:D,A182,DATOS!I:I,B182,DATOS!K:K,7),"")</f>
        <v>0</v>
      </c>
      <c r="S182">
        <f>IF(V182="Sí",COUNTIFS(DATOS!G:G,CONFIG_METADATA!$B$4,DATOS!D:D,A182,DATOS!I:I,B182,DATOS!K:K,8),"")</f>
        <v>0</v>
      </c>
      <c r="T182">
        <f>IF(V182="Sí",COUNTIFS(DATOS!G:G,CONFIG_METADATA!$B$4,DATOS!D:D,A182,DATOS!I:I,B182,DATOS!K:K,9),"")</f>
        <v>0</v>
      </c>
      <c r="U182">
        <f>IF(V182="Sí",COUNTIFS(DATOS!G:G,CONFIG_METADATA!$B$4,DATOS!D:D,A182,DATOS!I:I,B182,DATOS!K:K,10),"")</f>
        <v>0</v>
      </c>
      <c r="V182" t="str">
        <f>IFERROR(IF(ISERROR(FIND(A182,VLOOKUP(B182,CONFIG_ASIGNATURAS!B:C,2,FALSE()))),"No","Sí"),"No")</f>
        <v>Sí</v>
      </c>
    </row>
    <row r="183" spans="1:22">
      <c r="A183" s="3" t="inlineStr">
        <is>
          <t xml:space="preserve">2EEM</t>
        </is>
      </c>
      <c r="B183" s="3" cm="1">
        <f t="array" ref="B183">IFERROR(INDEX(_xlfn._xlws.FILTER(CONFIG_ASIGNATURAS!$B$2:$B$61,(CONFIG_ASIGNATURAS!$G$2:$G$61="Sí")*ISNUMBER(SEARCH("2EEM",CONFIG_ASIGNATURAS!$C$2:$C$61))),53),"")</f>
      </c>
      <c r="C183" s="3">
        <f>IF(B183="","",IFERROR(IF(VLOOKUP(B183,CONFIG_ASIGNATURAS!$B$2:$F$61,5,FALSE())="Sí","Especialidad","Asignatura"),"Asignatura"))</f>
      </c>
      <c r="D183">
        <f>IF(V183="Sí",COUNTIFS(DATOS!G:G,CONFIG_METADATA!$B$4,DATOS!D:D,A183,DATOS!I:I,B183),"")</f>
        <v>0</v>
      </c>
      <c r="E183" s="14" t="str">
        <f>IF(V183="Sí",IFERROR(AVERAGEIFS(DATOS!K:K,DATOS!G:G,CONFIG_METADATA!$B$4,DATOS!D:D,A183,DATOS!I:I,B183),"—"),"")</f>
        <v>—</v>
      </c>
      <c r="F183" s="14" t="str" cm="1">
        <f t="array" ref="F183">IF(V183="Sí",IFERROR(_xlfn.STDEV.P(IF((DATOS!$G$2:$G$20000=CONFIG_METADATA!$B$4)*(DATOS!$D$2:$D$20000=A183)*(DATOS!$I$2:$I$20000=B183),DATOS!$K$2:$K$20000)),"—"),"")</f>
        <v>—</v>
      </c>
      <c r="G183" t="str" cm="1">
        <f t="array" ref="G183">IF(V183="Sí",IFERROR(_xlfn.MODE.SNGL(IF((DATOS!$G$2:$G$20000=CONFIG_METADATA!$B$4)*(DATOS!$D$2:$D$20000=A183)*(DATOS!$I$2:$I$20000=B183),DATOS!$K$2:$K$20000)),"—"),"")</f>
        <v>—</v>
      </c>
      <c r="H183" s="15" t="str">
        <f>IF(V183="Sí",IFERROR(COUNTIFS(DATOS!G:G,CONFIG_METADATA!$B$4,DATOS!D:D,A183,DATOS!I:I,B183,DATOS!L:L,"S")/COUNTIFS(DATOS!G:G,CONFIG_METADATA!$B$4,DATOS!D:D,A183,DATOS!I:I,B183),"—"),"")</f>
        <v>—</v>
      </c>
      <c r="I183" s="15" t="str">
        <f>IF(V183="Sí",IFERROR(COUNTIFS(DATOS!G:G,CONFIG_METADATA!$B$4,DATOS!D:D,A183,DATOS!I:I,B183,DATOS!L:L,"N")/COUNTIFS(DATOS!G:G,CONFIG_METADATA!$B$4,DATOS!D:D,A183,DATOS!I:I,B183),"—"),"")</f>
        <v>—</v>
      </c>
      <c r="J183" t="str" cm="1">
        <f t="array" ref="J183">IF(V183="Sí",IFERROR(_xlfn.MODE.SNGL(IF((DATOS!$G$2:$G$20000=CONFIG_METADATA!$B$4)*(DATOS!$D$2:$D$20000=A183)*(DATOS!$I$2:$I$20000=B183)*(DATOS!$L$2:$L$20000="S"),DATOS!$K$2:$K$20000)),"—"),"")</f>
        <v>—</v>
      </c>
      <c r="K183" t="str" cm="1">
        <f t="array" ref="K183">IF(V183="Sí",IFERROR(_xlfn.MODE.SNGL(IF((DATOS!$G$2:$G$20000=CONFIG_METADATA!$B$4)*(DATOS!$D$2:$D$20000=A183)*(DATOS!$I$2:$I$20000=B183)*(DATOS!$L$2:$L$20000="N"),DATOS!$K$2:$K$20000)),"—"),"")</f>
        <v>—</v>
      </c>
      <c r="L183">
        <f>IF(V183="Sí",COUNTIFS(DATOS!G:G,CONFIG_METADATA!$B$4,DATOS!D:D,A183,DATOS!I:I,B183,DATOS!K:K,1),"")</f>
        <v>0</v>
      </c>
      <c r="M183">
        <f>IF(V183="Sí",COUNTIFS(DATOS!G:G,CONFIG_METADATA!$B$4,DATOS!D:D,A183,DATOS!I:I,B183,DATOS!K:K,2),"")</f>
        <v>0</v>
      </c>
      <c r="N183">
        <f>IF(V183="Sí",COUNTIFS(DATOS!G:G,CONFIG_METADATA!$B$4,DATOS!D:D,A183,DATOS!I:I,B183,DATOS!K:K,3),"")</f>
        <v>0</v>
      </c>
      <c r="O183">
        <f>IF(V183="Sí",COUNTIFS(DATOS!G:G,CONFIG_METADATA!$B$4,DATOS!D:D,A183,DATOS!I:I,B183,DATOS!K:K,4),"")</f>
        <v>0</v>
      </c>
      <c r="P183">
        <f>IF(V183="Sí",COUNTIFS(DATOS!G:G,CONFIG_METADATA!$B$4,DATOS!D:D,A183,DATOS!I:I,B183,DATOS!K:K,5),"")</f>
        <v>0</v>
      </c>
      <c r="Q183">
        <f>IF(V183="Sí",COUNTIFS(DATOS!G:G,CONFIG_METADATA!$B$4,DATOS!D:D,A183,DATOS!I:I,B183,DATOS!K:K,6),"")</f>
        <v>0</v>
      </c>
      <c r="R183">
        <f>IF(V183="Sí",COUNTIFS(DATOS!G:G,CONFIG_METADATA!$B$4,DATOS!D:D,A183,DATOS!I:I,B183,DATOS!K:K,7),"")</f>
        <v>0</v>
      </c>
      <c r="S183">
        <f>IF(V183="Sí",COUNTIFS(DATOS!G:G,CONFIG_METADATA!$B$4,DATOS!D:D,A183,DATOS!I:I,B183,DATOS!K:K,8),"")</f>
        <v>0</v>
      </c>
      <c r="T183">
        <f>IF(V183="Sí",COUNTIFS(DATOS!G:G,CONFIG_METADATA!$B$4,DATOS!D:D,A183,DATOS!I:I,B183,DATOS!K:K,9),"")</f>
        <v>0</v>
      </c>
      <c r="U183">
        <f>IF(V183="Sí",COUNTIFS(DATOS!G:G,CONFIG_METADATA!$B$4,DATOS!D:D,A183,DATOS!I:I,B183,DATOS!K:K,10),"")</f>
        <v>0</v>
      </c>
      <c r="V183" t="str">
        <f>IFERROR(IF(ISERROR(FIND(A183,VLOOKUP(B183,CONFIG_ASIGNATURAS!B:C,2,FALSE()))),"No","Sí"),"No")</f>
        <v>Sí</v>
      </c>
    </row>
    <row r="184" spans="1:22">
      <c r="A184" s="3" t="inlineStr">
        <is>
          <t xml:space="preserve">2EEM</t>
        </is>
      </c>
      <c r="B184" s="3" cm="1">
        <f t="array" ref="B184">IFERROR(INDEX(_xlfn._xlws.FILTER(CONFIG_ASIGNATURAS!$B$2:$B$61,(CONFIG_ASIGNATURAS!$G$2:$G$61="Sí")*ISNUMBER(SEARCH("2EEM",CONFIG_ASIGNATURAS!$C$2:$C$61))),54),"")</f>
      </c>
      <c r="C184" s="3">
        <f>IF(B184="","",IFERROR(IF(VLOOKUP(B184,CONFIG_ASIGNATURAS!$B$2:$F$61,5,FALSE())="Sí","Especialidad","Asignatura"),"Asignatura"))</f>
      </c>
      <c r="D184">
        <f>IF(V184="Sí",COUNTIFS(DATOS!G:G,CONFIG_METADATA!$B$4,DATOS!D:D,A184,DATOS!I:I,B184),"")</f>
        <v>0</v>
      </c>
      <c r="E184" s="14" t="str">
        <f>IF(V184="Sí",IFERROR(AVERAGEIFS(DATOS!K:K,DATOS!G:G,CONFIG_METADATA!$B$4,DATOS!D:D,A184,DATOS!I:I,B184),"—"),"")</f>
        <v>—</v>
      </c>
      <c r="F184" s="14" t="str" cm="1">
        <f t="array" ref="F184">IF(V184="Sí",IFERROR(_xlfn.STDEV.P(IF((DATOS!$G$2:$G$20000=CONFIG_METADATA!$B$4)*(DATOS!$D$2:$D$20000=A184)*(DATOS!$I$2:$I$20000=B184),DATOS!$K$2:$K$20000)),"—"),"")</f>
        <v>—</v>
      </c>
      <c r="G184" t="str" cm="1">
        <f t="array" ref="G184">IF(V184="Sí",IFERROR(_xlfn.MODE.SNGL(IF((DATOS!$G$2:$G$20000=CONFIG_METADATA!$B$4)*(DATOS!$D$2:$D$20000=A184)*(DATOS!$I$2:$I$20000=B184),DATOS!$K$2:$K$20000)),"—"),"")</f>
        <v>—</v>
      </c>
      <c r="H184" s="15" t="str">
        <f>IF(V184="Sí",IFERROR(COUNTIFS(DATOS!G:G,CONFIG_METADATA!$B$4,DATOS!D:D,A184,DATOS!I:I,B184,DATOS!L:L,"S")/COUNTIFS(DATOS!G:G,CONFIG_METADATA!$B$4,DATOS!D:D,A184,DATOS!I:I,B184),"—"),"")</f>
        <v>—</v>
      </c>
      <c r="I184" s="15" t="str">
        <f>IF(V184="Sí",IFERROR(COUNTIFS(DATOS!G:G,CONFIG_METADATA!$B$4,DATOS!D:D,A184,DATOS!I:I,B184,DATOS!L:L,"N")/COUNTIFS(DATOS!G:G,CONFIG_METADATA!$B$4,DATOS!D:D,A184,DATOS!I:I,B184),"—"),"")</f>
        <v>—</v>
      </c>
      <c r="J184" t="str" cm="1">
        <f t="array" ref="J184">IF(V184="Sí",IFERROR(_xlfn.MODE.SNGL(IF((DATOS!$G$2:$G$20000=CONFIG_METADATA!$B$4)*(DATOS!$D$2:$D$20000=A184)*(DATOS!$I$2:$I$20000=B184)*(DATOS!$L$2:$L$20000="S"),DATOS!$K$2:$K$20000)),"—"),"")</f>
        <v>—</v>
      </c>
      <c r="K184" t="str" cm="1">
        <f t="array" ref="K184">IF(V184="Sí",IFERROR(_xlfn.MODE.SNGL(IF((DATOS!$G$2:$G$20000=CONFIG_METADATA!$B$4)*(DATOS!$D$2:$D$20000=A184)*(DATOS!$I$2:$I$20000=B184)*(DATOS!$L$2:$L$20000="N"),DATOS!$K$2:$K$20000)),"—"),"")</f>
        <v>—</v>
      </c>
      <c r="L184">
        <f>IF(V184="Sí",COUNTIFS(DATOS!G:G,CONFIG_METADATA!$B$4,DATOS!D:D,A184,DATOS!I:I,B184,DATOS!K:K,1),"")</f>
        <v>0</v>
      </c>
      <c r="M184">
        <f>IF(V184="Sí",COUNTIFS(DATOS!G:G,CONFIG_METADATA!$B$4,DATOS!D:D,A184,DATOS!I:I,B184,DATOS!K:K,2),"")</f>
        <v>0</v>
      </c>
      <c r="N184">
        <f>IF(V184="Sí",COUNTIFS(DATOS!G:G,CONFIG_METADATA!$B$4,DATOS!D:D,A184,DATOS!I:I,B184,DATOS!K:K,3),"")</f>
        <v>0</v>
      </c>
      <c r="O184">
        <f>IF(V184="Sí",COUNTIFS(DATOS!G:G,CONFIG_METADATA!$B$4,DATOS!D:D,A184,DATOS!I:I,B184,DATOS!K:K,4),"")</f>
        <v>0</v>
      </c>
      <c r="P184">
        <f>IF(V184="Sí",COUNTIFS(DATOS!G:G,CONFIG_METADATA!$B$4,DATOS!D:D,A184,DATOS!I:I,B184,DATOS!K:K,5),"")</f>
        <v>0</v>
      </c>
      <c r="Q184">
        <f>IF(V184="Sí",COUNTIFS(DATOS!G:G,CONFIG_METADATA!$B$4,DATOS!D:D,A184,DATOS!I:I,B184,DATOS!K:K,6),"")</f>
        <v>0</v>
      </c>
      <c r="R184">
        <f>IF(V184="Sí",COUNTIFS(DATOS!G:G,CONFIG_METADATA!$B$4,DATOS!D:D,A184,DATOS!I:I,B184,DATOS!K:K,7),"")</f>
        <v>0</v>
      </c>
      <c r="S184">
        <f>IF(V184="Sí",COUNTIFS(DATOS!G:G,CONFIG_METADATA!$B$4,DATOS!D:D,A184,DATOS!I:I,B184,DATOS!K:K,8),"")</f>
        <v>0</v>
      </c>
      <c r="T184">
        <f>IF(V184="Sí",COUNTIFS(DATOS!G:G,CONFIG_METADATA!$B$4,DATOS!D:D,A184,DATOS!I:I,B184,DATOS!K:K,9),"")</f>
        <v>0</v>
      </c>
      <c r="U184">
        <f>IF(V184="Sí",COUNTIFS(DATOS!G:G,CONFIG_METADATA!$B$4,DATOS!D:D,A184,DATOS!I:I,B184,DATOS!K:K,10),"")</f>
        <v>0</v>
      </c>
      <c r="V184" t="str">
        <f>IFERROR(IF(ISERROR(FIND(A184,VLOOKUP(B184,CONFIG_ASIGNATURAS!B:C,2,FALSE()))),"No","Sí"),"No")</f>
        <v>Sí</v>
      </c>
    </row>
    <row r="185" spans="1:22">
      <c r="A185" s="3" t="inlineStr">
        <is>
          <t xml:space="preserve">2EEM</t>
        </is>
      </c>
      <c r="B185" s="3" cm="1">
        <f t="array" ref="B185">IFERROR(INDEX(_xlfn._xlws.FILTER(CONFIG_ASIGNATURAS!$B$2:$B$61,(CONFIG_ASIGNATURAS!$G$2:$G$61="Sí")*ISNUMBER(SEARCH("2EEM",CONFIG_ASIGNATURAS!$C$2:$C$61))),55),"")</f>
      </c>
      <c r="C185" s="3">
        <f>IF(B185="","",IFERROR(IF(VLOOKUP(B185,CONFIG_ASIGNATURAS!$B$2:$F$61,5,FALSE())="Sí","Especialidad","Asignatura"),"Asignatura"))</f>
      </c>
      <c r="D185">
        <f>IF(V185="Sí",COUNTIFS(DATOS!G:G,CONFIG_METADATA!$B$4,DATOS!D:D,A185,DATOS!I:I,B185),"")</f>
        <v>0</v>
      </c>
      <c r="E185" s="14" t="str">
        <f>IF(V185="Sí",IFERROR(AVERAGEIFS(DATOS!K:K,DATOS!G:G,CONFIG_METADATA!$B$4,DATOS!D:D,A185,DATOS!I:I,B185),"—"),"")</f>
        <v>—</v>
      </c>
      <c r="F185" s="14" t="str" cm="1">
        <f t="array" ref="F185">IF(V185="Sí",IFERROR(_xlfn.STDEV.P(IF((DATOS!$G$2:$G$20000=CONFIG_METADATA!$B$4)*(DATOS!$D$2:$D$20000=A185)*(DATOS!$I$2:$I$20000=B185),DATOS!$K$2:$K$20000)),"—"),"")</f>
        <v>—</v>
      </c>
      <c r="G185" t="str" cm="1">
        <f t="array" ref="G185">IF(V185="Sí",IFERROR(_xlfn.MODE.SNGL(IF((DATOS!$G$2:$G$20000=CONFIG_METADATA!$B$4)*(DATOS!$D$2:$D$20000=A185)*(DATOS!$I$2:$I$20000=B185),DATOS!$K$2:$K$20000)),"—"),"")</f>
        <v>—</v>
      </c>
      <c r="H185" s="15" t="str">
        <f>IF(V185="Sí",IFERROR(COUNTIFS(DATOS!G:G,CONFIG_METADATA!$B$4,DATOS!D:D,A185,DATOS!I:I,B185,DATOS!L:L,"S")/COUNTIFS(DATOS!G:G,CONFIG_METADATA!$B$4,DATOS!D:D,A185,DATOS!I:I,B185),"—"),"")</f>
        <v>—</v>
      </c>
      <c r="I185" s="15" t="str">
        <f>IF(V185="Sí",IFERROR(COUNTIFS(DATOS!G:G,CONFIG_METADATA!$B$4,DATOS!D:D,A185,DATOS!I:I,B185,DATOS!L:L,"N")/COUNTIFS(DATOS!G:G,CONFIG_METADATA!$B$4,DATOS!D:D,A185,DATOS!I:I,B185),"—"),"")</f>
        <v>—</v>
      </c>
      <c r="J185" t="str" cm="1">
        <f t="array" ref="J185">IF(V185="Sí",IFERROR(_xlfn.MODE.SNGL(IF((DATOS!$G$2:$G$20000=CONFIG_METADATA!$B$4)*(DATOS!$D$2:$D$20000=A185)*(DATOS!$I$2:$I$20000=B185)*(DATOS!$L$2:$L$20000="S"),DATOS!$K$2:$K$20000)),"—"),"")</f>
        <v>—</v>
      </c>
      <c r="K185" t="str" cm="1">
        <f t="array" ref="K185">IF(V185="Sí",IFERROR(_xlfn.MODE.SNGL(IF((DATOS!$G$2:$G$20000=CONFIG_METADATA!$B$4)*(DATOS!$D$2:$D$20000=A185)*(DATOS!$I$2:$I$20000=B185)*(DATOS!$L$2:$L$20000="N"),DATOS!$K$2:$K$20000)),"—"),"")</f>
        <v>—</v>
      </c>
      <c r="L185">
        <f>IF(V185="Sí",COUNTIFS(DATOS!G:G,CONFIG_METADATA!$B$4,DATOS!D:D,A185,DATOS!I:I,B185,DATOS!K:K,1),"")</f>
        <v>0</v>
      </c>
      <c r="M185">
        <f>IF(V185="Sí",COUNTIFS(DATOS!G:G,CONFIG_METADATA!$B$4,DATOS!D:D,A185,DATOS!I:I,B185,DATOS!K:K,2),"")</f>
        <v>0</v>
      </c>
      <c r="N185">
        <f>IF(V185="Sí",COUNTIFS(DATOS!G:G,CONFIG_METADATA!$B$4,DATOS!D:D,A185,DATOS!I:I,B185,DATOS!K:K,3),"")</f>
        <v>0</v>
      </c>
      <c r="O185">
        <f>IF(V185="Sí",COUNTIFS(DATOS!G:G,CONFIG_METADATA!$B$4,DATOS!D:D,A185,DATOS!I:I,B185,DATOS!K:K,4),"")</f>
        <v>0</v>
      </c>
      <c r="P185">
        <f>IF(V185="Sí",COUNTIFS(DATOS!G:G,CONFIG_METADATA!$B$4,DATOS!D:D,A185,DATOS!I:I,B185,DATOS!K:K,5),"")</f>
        <v>0</v>
      </c>
      <c r="Q185">
        <f>IF(V185="Sí",COUNTIFS(DATOS!G:G,CONFIG_METADATA!$B$4,DATOS!D:D,A185,DATOS!I:I,B185,DATOS!K:K,6),"")</f>
        <v>0</v>
      </c>
      <c r="R185">
        <f>IF(V185="Sí",COUNTIFS(DATOS!G:G,CONFIG_METADATA!$B$4,DATOS!D:D,A185,DATOS!I:I,B185,DATOS!K:K,7),"")</f>
        <v>0</v>
      </c>
      <c r="S185">
        <f>IF(V185="Sí",COUNTIFS(DATOS!G:G,CONFIG_METADATA!$B$4,DATOS!D:D,A185,DATOS!I:I,B185,DATOS!K:K,8),"")</f>
        <v>0</v>
      </c>
      <c r="T185">
        <f>IF(V185="Sí",COUNTIFS(DATOS!G:G,CONFIG_METADATA!$B$4,DATOS!D:D,A185,DATOS!I:I,B185,DATOS!K:K,9),"")</f>
        <v>0</v>
      </c>
      <c r="U185">
        <f>IF(V185="Sí",COUNTIFS(DATOS!G:G,CONFIG_METADATA!$B$4,DATOS!D:D,A185,DATOS!I:I,B185,DATOS!K:K,10),"")</f>
        <v>0</v>
      </c>
      <c r="V185" t="str">
        <f>IFERROR(IF(ISERROR(FIND(A185,VLOOKUP(B185,CONFIG_ASIGNATURAS!B:C,2,FALSE()))),"No","Sí"),"No")</f>
        <v>Sí</v>
      </c>
    </row>
    <row r="186" spans="1:22">
      <c r="A186" s="3" t="inlineStr">
        <is>
          <t xml:space="preserve">2EEM</t>
        </is>
      </c>
      <c r="B186" s="3" cm="1">
        <f t="array" ref="B186">IFERROR(INDEX(_xlfn._xlws.FILTER(CONFIG_ASIGNATURAS!$B$2:$B$61,(CONFIG_ASIGNATURAS!$G$2:$G$61="Sí")*ISNUMBER(SEARCH("2EEM",CONFIG_ASIGNATURAS!$C$2:$C$61))),56),"")</f>
      </c>
      <c r="C186" s="3">
        <f>IF(B186="","",IFERROR(IF(VLOOKUP(B186,CONFIG_ASIGNATURAS!$B$2:$F$61,5,FALSE())="Sí","Especialidad","Asignatura"),"Asignatura"))</f>
      </c>
      <c r="D186">
        <f>IF(V186="Sí",COUNTIFS(DATOS!G:G,CONFIG_METADATA!$B$4,DATOS!D:D,A186,DATOS!I:I,B186),"")</f>
        <v>0</v>
      </c>
      <c r="E186" s="14" t="str">
        <f>IF(V186="Sí",IFERROR(AVERAGEIFS(DATOS!K:K,DATOS!G:G,CONFIG_METADATA!$B$4,DATOS!D:D,A186,DATOS!I:I,B186),"—"),"")</f>
        <v>—</v>
      </c>
      <c r="F186" s="14" t="str" cm="1">
        <f t="array" ref="F186">IF(V186="Sí",IFERROR(_xlfn.STDEV.P(IF((DATOS!$G$2:$G$20000=CONFIG_METADATA!$B$4)*(DATOS!$D$2:$D$20000=A186)*(DATOS!$I$2:$I$20000=B186),DATOS!$K$2:$K$20000)),"—"),"")</f>
        <v>—</v>
      </c>
      <c r="G186" t="str" cm="1">
        <f t="array" ref="G186">IF(V186="Sí",IFERROR(_xlfn.MODE.SNGL(IF((DATOS!$G$2:$G$20000=CONFIG_METADATA!$B$4)*(DATOS!$D$2:$D$20000=A186)*(DATOS!$I$2:$I$20000=B186),DATOS!$K$2:$K$20000)),"—"),"")</f>
        <v>—</v>
      </c>
      <c r="H186" s="15" t="str">
        <f>IF(V186="Sí",IFERROR(COUNTIFS(DATOS!G:G,CONFIG_METADATA!$B$4,DATOS!D:D,A186,DATOS!I:I,B186,DATOS!L:L,"S")/COUNTIFS(DATOS!G:G,CONFIG_METADATA!$B$4,DATOS!D:D,A186,DATOS!I:I,B186),"—"),"")</f>
        <v>—</v>
      </c>
      <c r="I186" s="15" t="str">
        <f>IF(V186="Sí",IFERROR(COUNTIFS(DATOS!G:G,CONFIG_METADATA!$B$4,DATOS!D:D,A186,DATOS!I:I,B186,DATOS!L:L,"N")/COUNTIFS(DATOS!G:G,CONFIG_METADATA!$B$4,DATOS!D:D,A186,DATOS!I:I,B186),"—"),"")</f>
        <v>—</v>
      </c>
      <c r="J186" t="str" cm="1">
        <f t="array" ref="J186">IF(V186="Sí",IFERROR(_xlfn.MODE.SNGL(IF((DATOS!$G$2:$G$20000=CONFIG_METADATA!$B$4)*(DATOS!$D$2:$D$20000=A186)*(DATOS!$I$2:$I$20000=B186)*(DATOS!$L$2:$L$20000="S"),DATOS!$K$2:$K$20000)),"—"),"")</f>
        <v>—</v>
      </c>
      <c r="K186" t="str" cm="1">
        <f t="array" ref="K186">IF(V186="Sí",IFERROR(_xlfn.MODE.SNGL(IF((DATOS!$G$2:$G$20000=CONFIG_METADATA!$B$4)*(DATOS!$D$2:$D$20000=A186)*(DATOS!$I$2:$I$20000=B186)*(DATOS!$L$2:$L$20000="N"),DATOS!$K$2:$K$20000)),"—"),"")</f>
        <v>—</v>
      </c>
      <c r="L186">
        <f>IF(V186="Sí",COUNTIFS(DATOS!G:G,CONFIG_METADATA!$B$4,DATOS!D:D,A186,DATOS!I:I,B186,DATOS!K:K,1),"")</f>
        <v>0</v>
      </c>
      <c r="M186">
        <f>IF(V186="Sí",COUNTIFS(DATOS!G:G,CONFIG_METADATA!$B$4,DATOS!D:D,A186,DATOS!I:I,B186,DATOS!K:K,2),"")</f>
        <v>0</v>
      </c>
      <c r="N186">
        <f>IF(V186="Sí",COUNTIFS(DATOS!G:G,CONFIG_METADATA!$B$4,DATOS!D:D,A186,DATOS!I:I,B186,DATOS!K:K,3),"")</f>
        <v>0</v>
      </c>
      <c r="O186">
        <f>IF(V186="Sí",COUNTIFS(DATOS!G:G,CONFIG_METADATA!$B$4,DATOS!D:D,A186,DATOS!I:I,B186,DATOS!K:K,4),"")</f>
        <v>0</v>
      </c>
      <c r="P186">
        <f>IF(V186="Sí",COUNTIFS(DATOS!G:G,CONFIG_METADATA!$B$4,DATOS!D:D,A186,DATOS!I:I,B186,DATOS!K:K,5),"")</f>
        <v>0</v>
      </c>
      <c r="Q186">
        <f>IF(V186="Sí",COUNTIFS(DATOS!G:G,CONFIG_METADATA!$B$4,DATOS!D:D,A186,DATOS!I:I,B186,DATOS!K:K,6),"")</f>
        <v>0</v>
      </c>
      <c r="R186">
        <f>IF(V186="Sí",COUNTIFS(DATOS!G:G,CONFIG_METADATA!$B$4,DATOS!D:D,A186,DATOS!I:I,B186,DATOS!K:K,7),"")</f>
        <v>0</v>
      </c>
      <c r="S186">
        <f>IF(V186="Sí",COUNTIFS(DATOS!G:G,CONFIG_METADATA!$B$4,DATOS!D:D,A186,DATOS!I:I,B186,DATOS!K:K,8),"")</f>
        <v>0</v>
      </c>
      <c r="T186">
        <f>IF(V186="Sí",COUNTIFS(DATOS!G:G,CONFIG_METADATA!$B$4,DATOS!D:D,A186,DATOS!I:I,B186,DATOS!K:K,9),"")</f>
        <v>0</v>
      </c>
      <c r="U186">
        <f>IF(V186="Sí",COUNTIFS(DATOS!G:G,CONFIG_METADATA!$B$4,DATOS!D:D,A186,DATOS!I:I,B186,DATOS!K:K,10),"")</f>
        <v>0</v>
      </c>
      <c r="V186" t="str">
        <f>IFERROR(IF(ISERROR(FIND(A186,VLOOKUP(B186,CONFIG_ASIGNATURAS!B:C,2,FALSE()))),"No","Sí"),"No")</f>
        <v>Sí</v>
      </c>
    </row>
    <row r="187" spans="1:22">
      <c r="A187" s="3" t="inlineStr">
        <is>
          <t xml:space="preserve">2EEM</t>
        </is>
      </c>
      <c r="B187" s="3" cm="1">
        <f t="array" ref="B187">IFERROR(INDEX(_xlfn._xlws.FILTER(CONFIG_ASIGNATURAS!$B$2:$B$61,(CONFIG_ASIGNATURAS!$G$2:$G$61="Sí")*ISNUMBER(SEARCH("2EEM",CONFIG_ASIGNATURAS!$C$2:$C$61))),57),"")</f>
      </c>
      <c r="C187" s="3">
        <f>IF(B187="","",IFERROR(IF(VLOOKUP(B187,CONFIG_ASIGNATURAS!$B$2:$F$61,5,FALSE())="Sí","Especialidad","Asignatura"),"Asignatura"))</f>
      </c>
      <c r="D187">
        <f>IF(V187="Sí",COUNTIFS(DATOS!G:G,CONFIG_METADATA!$B$4,DATOS!D:D,A187,DATOS!I:I,B187),"")</f>
        <v>0</v>
      </c>
      <c r="E187" s="14" t="str">
        <f>IF(V187="Sí",IFERROR(AVERAGEIFS(DATOS!K:K,DATOS!G:G,CONFIG_METADATA!$B$4,DATOS!D:D,A187,DATOS!I:I,B187),"—"),"")</f>
        <v>—</v>
      </c>
      <c r="F187" s="14" t="str" cm="1">
        <f t="array" ref="F187">IF(V187="Sí",IFERROR(_xlfn.STDEV.P(IF((DATOS!$G$2:$G$20000=CONFIG_METADATA!$B$4)*(DATOS!$D$2:$D$20000=A187)*(DATOS!$I$2:$I$20000=B187),DATOS!$K$2:$K$20000)),"—"),"")</f>
        <v>—</v>
      </c>
      <c r="G187" t="str" cm="1">
        <f t="array" ref="G187">IF(V187="Sí",IFERROR(_xlfn.MODE.SNGL(IF((DATOS!$G$2:$G$20000=CONFIG_METADATA!$B$4)*(DATOS!$D$2:$D$20000=A187)*(DATOS!$I$2:$I$20000=B187),DATOS!$K$2:$K$20000)),"—"),"")</f>
        <v>—</v>
      </c>
      <c r="H187" s="15" t="str">
        <f>IF(V187="Sí",IFERROR(COUNTIFS(DATOS!G:G,CONFIG_METADATA!$B$4,DATOS!D:D,A187,DATOS!I:I,B187,DATOS!L:L,"S")/COUNTIFS(DATOS!G:G,CONFIG_METADATA!$B$4,DATOS!D:D,A187,DATOS!I:I,B187),"—"),"")</f>
        <v>—</v>
      </c>
      <c r="I187" s="15" t="str">
        <f>IF(V187="Sí",IFERROR(COUNTIFS(DATOS!G:G,CONFIG_METADATA!$B$4,DATOS!D:D,A187,DATOS!I:I,B187,DATOS!L:L,"N")/COUNTIFS(DATOS!G:G,CONFIG_METADATA!$B$4,DATOS!D:D,A187,DATOS!I:I,B187),"—"),"")</f>
        <v>—</v>
      </c>
      <c r="J187" t="str" cm="1">
        <f t="array" ref="J187">IF(V187="Sí",IFERROR(_xlfn.MODE.SNGL(IF((DATOS!$G$2:$G$20000=CONFIG_METADATA!$B$4)*(DATOS!$D$2:$D$20000=A187)*(DATOS!$I$2:$I$20000=B187)*(DATOS!$L$2:$L$20000="S"),DATOS!$K$2:$K$20000)),"—"),"")</f>
        <v>—</v>
      </c>
      <c r="K187" t="str" cm="1">
        <f t="array" ref="K187">IF(V187="Sí",IFERROR(_xlfn.MODE.SNGL(IF((DATOS!$G$2:$G$20000=CONFIG_METADATA!$B$4)*(DATOS!$D$2:$D$20000=A187)*(DATOS!$I$2:$I$20000=B187)*(DATOS!$L$2:$L$20000="N"),DATOS!$K$2:$K$20000)),"—"),"")</f>
        <v>—</v>
      </c>
      <c r="L187">
        <f>IF(V187="Sí",COUNTIFS(DATOS!G:G,CONFIG_METADATA!$B$4,DATOS!D:D,A187,DATOS!I:I,B187,DATOS!K:K,1),"")</f>
        <v>0</v>
      </c>
      <c r="M187">
        <f>IF(V187="Sí",COUNTIFS(DATOS!G:G,CONFIG_METADATA!$B$4,DATOS!D:D,A187,DATOS!I:I,B187,DATOS!K:K,2),"")</f>
        <v>0</v>
      </c>
      <c r="N187">
        <f>IF(V187="Sí",COUNTIFS(DATOS!G:G,CONFIG_METADATA!$B$4,DATOS!D:D,A187,DATOS!I:I,B187,DATOS!K:K,3),"")</f>
        <v>0</v>
      </c>
      <c r="O187">
        <f>IF(V187="Sí",COUNTIFS(DATOS!G:G,CONFIG_METADATA!$B$4,DATOS!D:D,A187,DATOS!I:I,B187,DATOS!K:K,4),"")</f>
        <v>0</v>
      </c>
      <c r="P187">
        <f>IF(V187="Sí",COUNTIFS(DATOS!G:G,CONFIG_METADATA!$B$4,DATOS!D:D,A187,DATOS!I:I,B187,DATOS!K:K,5),"")</f>
        <v>0</v>
      </c>
      <c r="Q187">
        <f>IF(V187="Sí",COUNTIFS(DATOS!G:G,CONFIG_METADATA!$B$4,DATOS!D:D,A187,DATOS!I:I,B187,DATOS!K:K,6),"")</f>
        <v>0</v>
      </c>
      <c r="R187">
        <f>IF(V187="Sí",COUNTIFS(DATOS!G:G,CONFIG_METADATA!$B$4,DATOS!D:D,A187,DATOS!I:I,B187,DATOS!K:K,7),"")</f>
        <v>0</v>
      </c>
      <c r="S187">
        <f>IF(V187="Sí",COUNTIFS(DATOS!G:G,CONFIG_METADATA!$B$4,DATOS!D:D,A187,DATOS!I:I,B187,DATOS!K:K,8),"")</f>
        <v>0</v>
      </c>
      <c r="T187">
        <f>IF(V187="Sí",COUNTIFS(DATOS!G:G,CONFIG_METADATA!$B$4,DATOS!D:D,A187,DATOS!I:I,B187,DATOS!K:K,9),"")</f>
        <v>0</v>
      </c>
      <c r="U187">
        <f>IF(V187="Sí",COUNTIFS(DATOS!G:G,CONFIG_METADATA!$B$4,DATOS!D:D,A187,DATOS!I:I,B187,DATOS!K:K,10),"")</f>
        <v>0</v>
      </c>
      <c r="V187" t="str">
        <f>IFERROR(IF(ISERROR(FIND(A187,VLOOKUP(B187,CONFIG_ASIGNATURAS!B:C,2,FALSE()))),"No","Sí"),"No")</f>
        <v>Sí</v>
      </c>
    </row>
    <row r="188" spans="1:22">
      <c r="A188" s="3" t="inlineStr">
        <is>
          <t xml:space="preserve">2EEM</t>
        </is>
      </c>
      <c r="B188" s="3" cm="1">
        <f t="array" ref="B188">IFERROR(INDEX(_xlfn._xlws.FILTER(CONFIG_ASIGNATURAS!$B$2:$B$61,(CONFIG_ASIGNATURAS!$G$2:$G$61="Sí")*ISNUMBER(SEARCH("2EEM",CONFIG_ASIGNATURAS!$C$2:$C$61))),58),"")</f>
      </c>
      <c r="C188" s="3">
        <f>IF(B188="","",IFERROR(IF(VLOOKUP(B188,CONFIG_ASIGNATURAS!$B$2:$F$61,5,FALSE())="Sí","Especialidad","Asignatura"),"Asignatura"))</f>
      </c>
      <c r="D188">
        <f>IF(V188="Sí",COUNTIFS(DATOS!G:G,CONFIG_METADATA!$B$4,DATOS!D:D,A188,DATOS!I:I,B188),"")</f>
        <v>0</v>
      </c>
      <c r="E188" s="14" t="str">
        <f>IF(V188="Sí",IFERROR(AVERAGEIFS(DATOS!K:K,DATOS!G:G,CONFIG_METADATA!$B$4,DATOS!D:D,A188,DATOS!I:I,B188),"—"),"")</f>
        <v>—</v>
      </c>
      <c r="F188" s="14" t="str" cm="1">
        <f t="array" ref="F188">IF(V188="Sí",IFERROR(_xlfn.STDEV.P(IF((DATOS!$G$2:$G$20000=CONFIG_METADATA!$B$4)*(DATOS!$D$2:$D$20000=A188)*(DATOS!$I$2:$I$20000=B188),DATOS!$K$2:$K$20000)),"—"),"")</f>
        <v>—</v>
      </c>
      <c r="G188" t="str" cm="1">
        <f t="array" ref="G188">IF(V188="Sí",IFERROR(_xlfn.MODE.SNGL(IF((DATOS!$G$2:$G$20000=CONFIG_METADATA!$B$4)*(DATOS!$D$2:$D$20000=A188)*(DATOS!$I$2:$I$20000=B188),DATOS!$K$2:$K$20000)),"—"),"")</f>
        <v>—</v>
      </c>
      <c r="H188" s="15" t="str">
        <f>IF(V188="Sí",IFERROR(COUNTIFS(DATOS!G:G,CONFIG_METADATA!$B$4,DATOS!D:D,A188,DATOS!I:I,B188,DATOS!L:L,"S")/COUNTIFS(DATOS!G:G,CONFIG_METADATA!$B$4,DATOS!D:D,A188,DATOS!I:I,B188),"—"),"")</f>
        <v>—</v>
      </c>
      <c r="I188" s="15" t="str">
        <f>IF(V188="Sí",IFERROR(COUNTIFS(DATOS!G:G,CONFIG_METADATA!$B$4,DATOS!D:D,A188,DATOS!I:I,B188,DATOS!L:L,"N")/COUNTIFS(DATOS!G:G,CONFIG_METADATA!$B$4,DATOS!D:D,A188,DATOS!I:I,B188),"—"),"")</f>
        <v>—</v>
      </c>
      <c r="J188" t="str" cm="1">
        <f t="array" ref="J188">IF(V188="Sí",IFERROR(_xlfn.MODE.SNGL(IF((DATOS!$G$2:$G$20000=CONFIG_METADATA!$B$4)*(DATOS!$D$2:$D$20000=A188)*(DATOS!$I$2:$I$20000=B188)*(DATOS!$L$2:$L$20000="S"),DATOS!$K$2:$K$20000)),"—"),"")</f>
        <v>—</v>
      </c>
      <c r="K188" t="str" cm="1">
        <f t="array" ref="K188">IF(V188="Sí",IFERROR(_xlfn.MODE.SNGL(IF((DATOS!$G$2:$G$20000=CONFIG_METADATA!$B$4)*(DATOS!$D$2:$D$20000=A188)*(DATOS!$I$2:$I$20000=B188)*(DATOS!$L$2:$L$20000="N"),DATOS!$K$2:$K$20000)),"—"),"")</f>
        <v>—</v>
      </c>
      <c r="L188">
        <f>IF(V188="Sí",COUNTIFS(DATOS!G:G,CONFIG_METADATA!$B$4,DATOS!D:D,A188,DATOS!I:I,B188,DATOS!K:K,1),"")</f>
        <v>0</v>
      </c>
      <c r="M188">
        <f>IF(V188="Sí",COUNTIFS(DATOS!G:G,CONFIG_METADATA!$B$4,DATOS!D:D,A188,DATOS!I:I,B188,DATOS!K:K,2),"")</f>
        <v>0</v>
      </c>
      <c r="N188">
        <f>IF(V188="Sí",COUNTIFS(DATOS!G:G,CONFIG_METADATA!$B$4,DATOS!D:D,A188,DATOS!I:I,B188,DATOS!K:K,3),"")</f>
        <v>0</v>
      </c>
      <c r="O188">
        <f>IF(V188="Sí",COUNTIFS(DATOS!G:G,CONFIG_METADATA!$B$4,DATOS!D:D,A188,DATOS!I:I,B188,DATOS!K:K,4),"")</f>
        <v>0</v>
      </c>
      <c r="P188">
        <f>IF(V188="Sí",COUNTIFS(DATOS!G:G,CONFIG_METADATA!$B$4,DATOS!D:D,A188,DATOS!I:I,B188,DATOS!K:K,5),"")</f>
        <v>0</v>
      </c>
      <c r="Q188">
        <f>IF(V188="Sí",COUNTIFS(DATOS!G:G,CONFIG_METADATA!$B$4,DATOS!D:D,A188,DATOS!I:I,B188,DATOS!K:K,6),"")</f>
        <v>0</v>
      </c>
      <c r="R188">
        <f>IF(V188="Sí",COUNTIFS(DATOS!G:G,CONFIG_METADATA!$B$4,DATOS!D:D,A188,DATOS!I:I,B188,DATOS!K:K,7),"")</f>
        <v>0</v>
      </c>
      <c r="S188">
        <f>IF(V188="Sí",COUNTIFS(DATOS!G:G,CONFIG_METADATA!$B$4,DATOS!D:D,A188,DATOS!I:I,B188,DATOS!K:K,8),"")</f>
        <v>0</v>
      </c>
      <c r="T188">
        <f>IF(V188="Sí",COUNTIFS(DATOS!G:G,CONFIG_METADATA!$B$4,DATOS!D:D,A188,DATOS!I:I,B188,DATOS!K:K,9),"")</f>
        <v>0</v>
      </c>
      <c r="U188">
        <f>IF(V188="Sí",COUNTIFS(DATOS!G:G,CONFIG_METADATA!$B$4,DATOS!D:D,A188,DATOS!I:I,B188,DATOS!K:K,10),"")</f>
        <v>0</v>
      </c>
      <c r="V188" t="str">
        <f>IFERROR(IF(ISERROR(FIND(A188,VLOOKUP(B188,CONFIG_ASIGNATURAS!B:C,2,FALSE()))),"No","Sí"),"No")</f>
        <v>Sí</v>
      </c>
    </row>
    <row r="189" spans="1:22">
      <c r="A189" s="3" t="inlineStr">
        <is>
          <t xml:space="preserve">2EEM</t>
        </is>
      </c>
      <c r="B189" s="3" cm="1">
        <f t="array" ref="B189">IFERROR(INDEX(_xlfn._xlws.FILTER(CONFIG_ASIGNATURAS!$B$2:$B$61,(CONFIG_ASIGNATURAS!$G$2:$G$61="Sí")*ISNUMBER(SEARCH("2EEM",CONFIG_ASIGNATURAS!$C$2:$C$61))),59),"")</f>
      </c>
      <c r="C189" s="3">
        <f>IF(B189="","",IFERROR(IF(VLOOKUP(B189,CONFIG_ASIGNATURAS!$B$2:$F$61,5,FALSE())="Sí","Especialidad","Asignatura"),"Asignatura"))</f>
      </c>
      <c r="D189">
        <f>IF(V189="Sí",COUNTIFS(DATOS!G:G,CONFIG_METADATA!$B$4,DATOS!D:D,A189,DATOS!I:I,B189),"")</f>
        <v>0</v>
      </c>
      <c r="E189" s="14" t="str">
        <f>IF(V189="Sí",IFERROR(AVERAGEIFS(DATOS!K:K,DATOS!G:G,CONFIG_METADATA!$B$4,DATOS!D:D,A189,DATOS!I:I,B189),"—"),"")</f>
        <v>—</v>
      </c>
      <c r="F189" s="14" t="str" cm="1">
        <f t="array" ref="F189">IF(V189="Sí",IFERROR(_xlfn.STDEV.P(IF((DATOS!$G$2:$G$20000=CONFIG_METADATA!$B$4)*(DATOS!$D$2:$D$20000=A189)*(DATOS!$I$2:$I$20000=B189),DATOS!$K$2:$K$20000)),"—"),"")</f>
        <v>—</v>
      </c>
      <c r="G189" t="str" cm="1">
        <f t="array" ref="G189">IF(V189="Sí",IFERROR(_xlfn.MODE.SNGL(IF((DATOS!$G$2:$G$20000=CONFIG_METADATA!$B$4)*(DATOS!$D$2:$D$20000=A189)*(DATOS!$I$2:$I$20000=B189),DATOS!$K$2:$K$20000)),"—"),"")</f>
        <v>—</v>
      </c>
      <c r="H189" s="15" t="str">
        <f>IF(V189="Sí",IFERROR(COUNTIFS(DATOS!G:G,CONFIG_METADATA!$B$4,DATOS!D:D,A189,DATOS!I:I,B189,DATOS!L:L,"S")/COUNTIFS(DATOS!G:G,CONFIG_METADATA!$B$4,DATOS!D:D,A189,DATOS!I:I,B189),"—"),"")</f>
        <v>—</v>
      </c>
      <c r="I189" s="15" t="str">
        <f>IF(V189="Sí",IFERROR(COUNTIFS(DATOS!G:G,CONFIG_METADATA!$B$4,DATOS!D:D,A189,DATOS!I:I,B189,DATOS!L:L,"N")/COUNTIFS(DATOS!G:G,CONFIG_METADATA!$B$4,DATOS!D:D,A189,DATOS!I:I,B189),"—"),"")</f>
        <v>—</v>
      </c>
      <c r="J189" t="str" cm="1">
        <f t="array" ref="J189">IF(V189="Sí",IFERROR(_xlfn.MODE.SNGL(IF((DATOS!$G$2:$G$20000=CONFIG_METADATA!$B$4)*(DATOS!$D$2:$D$20000=A189)*(DATOS!$I$2:$I$20000=B189)*(DATOS!$L$2:$L$20000="S"),DATOS!$K$2:$K$20000)),"—"),"")</f>
        <v>—</v>
      </c>
      <c r="K189" t="str" cm="1">
        <f t="array" ref="K189">IF(V189="Sí",IFERROR(_xlfn.MODE.SNGL(IF((DATOS!$G$2:$G$20000=CONFIG_METADATA!$B$4)*(DATOS!$D$2:$D$20000=A189)*(DATOS!$I$2:$I$20000=B189)*(DATOS!$L$2:$L$20000="N"),DATOS!$K$2:$K$20000)),"—"),"")</f>
        <v>—</v>
      </c>
      <c r="L189">
        <f>IF(V189="Sí",COUNTIFS(DATOS!G:G,CONFIG_METADATA!$B$4,DATOS!D:D,A189,DATOS!I:I,B189,DATOS!K:K,1),"")</f>
        <v>0</v>
      </c>
      <c r="M189">
        <f>IF(V189="Sí",COUNTIFS(DATOS!G:G,CONFIG_METADATA!$B$4,DATOS!D:D,A189,DATOS!I:I,B189,DATOS!K:K,2),"")</f>
        <v>0</v>
      </c>
      <c r="N189">
        <f>IF(V189="Sí",COUNTIFS(DATOS!G:G,CONFIG_METADATA!$B$4,DATOS!D:D,A189,DATOS!I:I,B189,DATOS!K:K,3),"")</f>
        <v>0</v>
      </c>
      <c r="O189">
        <f>IF(V189="Sí",COUNTIFS(DATOS!G:G,CONFIG_METADATA!$B$4,DATOS!D:D,A189,DATOS!I:I,B189,DATOS!K:K,4),"")</f>
        <v>0</v>
      </c>
      <c r="P189">
        <f>IF(V189="Sí",COUNTIFS(DATOS!G:G,CONFIG_METADATA!$B$4,DATOS!D:D,A189,DATOS!I:I,B189,DATOS!K:K,5),"")</f>
        <v>0</v>
      </c>
      <c r="Q189">
        <f>IF(V189="Sí",COUNTIFS(DATOS!G:G,CONFIG_METADATA!$B$4,DATOS!D:D,A189,DATOS!I:I,B189,DATOS!K:K,6),"")</f>
        <v>0</v>
      </c>
      <c r="R189">
        <f>IF(V189="Sí",COUNTIFS(DATOS!G:G,CONFIG_METADATA!$B$4,DATOS!D:D,A189,DATOS!I:I,B189,DATOS!K:K,7),"")</f>
        <v>0</v>
      </c>
      <c r="S189">
        <f>IF(V189="Sí",COUNTIFS(DATOS!G:G,CONFIG_METADATA!$B$4,DATOS!D:D,A189,DATOS!I:I,B189,DATOS!K:K,8),"")</f>
        <v>0</v>
      </c>
      <c r="T189">
        <f>IF(V189="Sí",COUNTIFS(DATOS!G:G,CONFIG_METADATA!$B$4,DATOS!D:D,A189,DATOS!I:I,B189,DATOS!K:K,9),"")</f>
        <v>0</v>
      </c>
      <c r="U189">
        <f>IF(V189="Sí",COUNTIFS(DATOS!G:G,CONFIG_METADATA!$B$4,DATOS!D:D,A189,DATOS!I:I,B189,DATOS!K:K,10),"")</f>
        <v>0</v>
      </c>
      <c r="V189" t="str">
        <f>IFERROR(IF(ISERROR(FIND(A189,VLOOKUP(B189,CONFIG_ASIGNATURAS!B:C,2,FALSE()))),"No","Sí"),"No")</f>
        <v>Sí</v>
      </c>
    </row>
    <row r="190" spans="1:22">
      <c r="A190" s="3" t="inlineStr">
        <is>
          <t xml:space="preserve">2EEM</t>
        </is>
      </c>
      <c r="B190" s="3" cm="1">
        <f t="array" ref="B190">IFERROR(INDEX(_xlfn._xlws.FILTER(CONFIG_ASIGNATURAS!$B$2:$B$61,(CONFIG_ASIGNATURAS!$G$2:$G$61="Sí")*ISNUMBER(SEARCH("2EEM",CONFIG_ASIGNATURAS!$C$2:$C$61))),60),"")</f>
      </c>
      <c r="C190" s="3">
        <f>IF(B190="","",IFERROR(IF(VLOOKUP(B190,CONFIG_ASIGNATURAS!$B$2:$F$61,5,FALSE())="Sí","Especialidad","Asignatura"),"Asignatura"))</f>
      </c>
      <c r="D190">
        <f>IF(V190="Sí",COUNTIFS(DATOS!G:G,CONFIG_METADATA!$B$4,DATOS!D:D,A190,DATOS!I:I,B190),"")</f>
        <v>0</v>
      </c>
      <c r="E190" s="14" t="str">
        <f>IF(V190="Sí",IFERROR(AVERAGEIFS(DATOS!K:K,DATOS!G:G,CONFIG_METADATA!$B$4,DATOS!D:D,A190,DATOS!I:I,B190),"—"),"")</f>
        <v>—</v>
      </c>
      <c r="F190" s="14" t="str" cm="1">
        <f t="array" ref="F190">IF(V190="Sí",IFERROR(_xlfn.STDEV.P(IF((DATOS!$G$2:$G$20000=CONFIG_METADATA!$B$4)*(DATOS!$D$2:$D$20000=A190)*(DATOS!$I$2:$I$20000=B190),DATOS!$K$2:$K$20000)),"—"),"")</f>
        <v>—</v>
      </c>
      <c r="G190" t="str" cm="1">
        <f t="array" ref="G190">IF(V190="Sí",IFERROR(_xlfn.MODE.SNGL(IF((DATOS!$G$2:$G$20000=CONFIG_METADATA!$B$4)*(DATOS!$D$2:$D$20000=A190)*(DATOS!$I$2:$I$20000=B190),DATOS!$K$2:$K$20000)),"—"),"")</f>
        <v>—</v>
      </c>
      <c r="H190" s="15" t="str">
        <f>IF(V190="Sí",IFERROR(COUNTIFS(DATOS!G:G,CONFIG_METADATA!$B$4,DATOS!D:D,A190,DATOS!I:I,B190,DATOS!L:L,"S")/COUNTIFS(DATOS!G:G,CONFIG_METADATA!$B$4,DATOS!D:D,A190,DATOS!I:I,B190),"—"),"")</f>
        <v>—</v>
      </c>
      <c r="I190" s="15" t="str">
        <f>IF(V190="Sí",IFERROR(COUNTIFS(DATOS!G:G,CONFIG_METADATA!$B$4,DATOS!D:D,A190,DATOS!I:I,B190,DATOS!L:L,"N")/COUNTIFS(DATOS!G:G,CONFIG_METADATA!$B$4,DATOS!D:D,A190,DATOS!I:I,B190),"—"),"")</f>
        <v>—</v>
      </c>
      <c r="J190" t="str" cm="1">
        <f t="array" ref="J190">IF(V190="Sí",IFERROR(_xlfn.MODE.SNGL(IF((DATOS!$G$2:$G$20000=CONFIG_METADATA!$B$4)*(DATOS!$D$2:$D$20000=A190)*(DATOS!$I$2:$I$20000=B190)*(DATOS!$L$2:$L$20000="S"),DATOS!$K$2:$K$20000)),"—"),"")</f>
        <v>—</v>
      </c>
      <c r="K190" t="str" cm="1">
        <f t="array" ref="K190">IF(V190="Sí",IFERROR(_xlfn.MODE.SNGL(IF((DATOS!$G$2:$G$20000=CONFIG_METADATA!$B$4)*(DATOS!$D$2:$D$20000=A190)*(DATOS!$I$2:$I$20000=B190)*(DATOS!$L$2:$L$20000="N"),DATOS!$K$2:$K$20000)),"—"),"")</f>
        <v>—</v>
      </c>
      <c r="L190">
        <f>IF(V190="Sí",COUNTIFS(DATOS!G:G,CONFIG_METADATA!$B$4,DATOS!D:D,A190,DATOS!I:I,B190,DATOS!K:K,1),"")</f>
        <v>0</v>
      </c>
      <c r="M190">
        <f>IF(V190="Sí",COUNTIFS(DATOS!G:G,CONFIG_METADATA!$B$4,DATOS!D:D,A190,DATOS!I:I,B190,DATOS!K:K,2),"")</f>
        <v>0</v>
      </c>
      <c r="N190">
        <f>IF(V190="Sí",COUNTIFS(DATOS!G:G,CONFIG_METADATA!$B$4,DATOS!D:D,A190,DATOS!I:I,B190,DATOS!K:K,3),"")</f>
        <v>0</v>
      </c>
      <c r="O190">
        <f>IF(V190="Sí",COUNTIFS(DATOS!G:G,CONFIG_METADATA!$B$4,DATOS!D:D,A190,DATOS!I:I,B190,DATOS!K:K,4),"")</f>
        <v>0</v>
      </c>
      <c r="P190">
        <f>IF(V190="Sí",COUNTIFS(DATOS!G:G,CONFIG_METADATA!$B$4,DATOS!D:D,A190,DATOS!I:I,B190,DATOS!K:K,5),"")</f>
        <v>0</v>
      </c>
      <c r="Q190">
        <f>IF(V190="Sí",COUNTIFS(DATOS!G:G,CONFIG_METADATA!$B$4,DATOS!D:D,A190,DATOS!I:I,B190,DATOS!K:K,6),"")</f>
        <v>0</v>
      </c>
      <c r="R190">
        <f>IF(V190="Sí",COUNTIFS(DATOS!G:G,CONFIG_METADATA!$B$4,DATOS!D:D,A190,DATOS!I:I,B190,DATOS!K:K,7),"")</f>
        <v>0</v>
      </c>
      <c r="S190">
        <f>IF(V190="Sí",COUNTIFS(DATOS!G:G,CONFIG_METADATA!$B$4,DATOS!D:D,A190,DATOS!I:I,B190,DATOS!K:K,8),"")</f>
        <v>0</v>
      </c>
      <c r="T190">
        <f>IF(V190="Sí",COUNTIFS(DATOS!G:G,CONFIG_METADATA!$B$4,DATOS!D:D,A190,DATOS!I:I,B190,DATOS!K:K,9),"")</f>
        <v>0</v>
      </c>
      <c r="U190">
        <f>IF(V190="Sí",COUNTIFS(DATOS!G:G,CONFIG_METADATA!$B$4,DATOS!D:D,A190,DATOS!I:I,B190,DATOS!K:K,10),"")</f>
        <v>0</v>
      </c>
      <c r="V190" t="str">
        <f>IFERROR(IF(ISERROR(FIND(A190,VLOOKUP(B190,CONFIG_ASIGNATURAS!B:C,2,FALSE()))),"No","Sí"),"No")</f>
        <v>Sí</v>
      </c>
    </row>
    <row r="191" spans="1:22">
      <c r="A191" s="3" t="inlineStr">
        <is>
          <t xml:space="preserve">3EEM</t>
        </is>
      </c>
      <c r="B191" s="3" t="inlineStr">
        <is>
          <t xml:space="preserve">Total</t>
        </is>
      </c>
      <c r="C191" s="3" t="inlineStr">
        <is>
          <t xml:space="preserve">Total</t>
        </is>
      </c>
      <c r="D191">
        <f>COUNTIFS(DATOS!G:G,CONFIG_METADATA!$B$4,DATOS!D:D,A191)</f>
        <v>0</v>
      </c>
      <c r="E191" s="14" t="str">
        <f>IFERROR(AVERAGEIFS(DATOS!K:K,DATOS!G:G,CONFIG_METADATA!$B$4,DATOS!D:D,A191),"—")</f>
        <v>—</v>
      </c>
      <c r="F191" s="14" t="str" cm="1">
        <f t="array" ref="F191">IFERROR(_xlfn.STDEV.P(IF((DATOS!$G$2:$G$20000=CONFIG_METADATA!$B$4)*(DATOS!$D$2:$D$20000=A191),DATOS!$K$2:$K$20000)),"—")</f>
        <v>—</v>
      </c>
      <c r="G191" t="str" cm="1">
        <f t="array" ref="G191">IFERROR(_xlfn.MODE.SNGL(IF((DATOS!$G$2:$G$20000=CONFIG_METADATA!$B$4)*(DATOS!$D$2:$D$20000=A191),DATOS!$K$2:$K$20000)),"—")</f>
        <v>—</v>
      </c>
      <c r="H191" s="15" t="str">
        <f>IFERROR(COUNTIFS(DATOS!$G$2:$G$20000,CONFIG_METADATA!$B$4,DATOS!$D$2:$D$20000,A191,DATOS!$L$2:$L$20000,"S")/COUNTIFS(DATOS!$G$2:$G$20000,CONFIG_METADATA!$B$4,DATOS!$D$2:$D$20000,A191),"—")</f>
        <v>—</v>
      </c>
      <c r="I191" s="15" t="str">
        <f>IFERROR(COUNTIFS(DATOS!$G$2:$G$20000,CONFIG_METADATA!$B$4,DATOS!$D$2:$D$20000,A191,DATOS!$L$2:$L$20000,"N")/COUNTIFS(DATOS!$G$2:$G$20000,CONFIG_METADATA!$B$4,DATOS!$D$2:$D$20000,A191),"—")</f>
        <v>—</v>
      </c>
      <c r="J191" t="str" cm="1">
        <f t="array" ref="J191">IFERROR(_xlfn.MODE.SNGL(IF((DATOS!$G$2:$G$20000=CONFIG_METADATA!$B$4)*(DATOS!$D$2:$D$20000=A191)*(DATOS!$L$2:$L$20000="S"),DATOS!$K$2:$K$20000)),"—")</f>
        <v>—</v>
      </c>
      <c r="K191" t="str" cm="1">
        <f t="array" ref="K191">IFERROR(_xlfn.MODE.SNGL(IF((DATOS!$G$2:$G$20000=CONFIG_METADATA!$B$4)*(DATOS!$D$2:$D$20000=A191)*(DATOS!$L$2:$L$20000="N"),DATOS!$K$2:$K$20000)),"—")</f>
        <v>—</v>
      </c>
      <c r="L191" cm="1">
        <f t="array" ref="L191">SUMPRODUCT((DATOS!$G$2:$G$20000=CONFIG_METADATA!$B$4)*(DATOS!$D$2:$D$20000=A191)*(DATOS!$K$2:$K$20000=1))</f>
        <v>0</v>
      </c>
      <c r="M191" cm="1">
        <f t="array" ref="M191">SUMPRODUCT((DATOS!$G$2:$G$20000=CONFIG_METADATA!$B$4)*(DATOS!$D$2:$D$20000=A191)*(DATOS!$K$2:$K$20000=2))</f>
        <v>0</v>
      </c>
      <c r="N191" cm="1">
        <f t="array" ref="N191">SUMPRODUCT((DATOS!$G$2:$G$20000=CONFIG_METADATA!$B$4)*(DATOS!$D$2:$D$20000=A191)*(DATOS!$K$2:$K$20000=3))</f>
        <v>0</v>
      </c>
      <c r="O191" cm="1">
        <f t="array" ref="O191">SUMPRODUCT((DATOS!$G$2:$G$20000=CONFIG_METADATA!$B$4)*(DATOS!$D$2:$D$20000=A191)*(DATOS!$K$2:$K$20000=4))</f>
        <v>0</v>
      </c>
      <c r="P191" cm="1">
        <f t="array" ref="P191">SUMPRODUCT((DATOS!$G$2:$G$20000=CONFIG_METADATA!$B$4)*(DATOS!$D$2:$D$20000=A191)*(DATOS!$K$2:$K$20000=5))</f>
        <v>0</v>
      </c>
      <c r="Q191" cm="1">
        <f t="array" ref="Q191">SUMPRODUCT((DATOS!$G$2:$G$20000=CONFIG_METADATA!$B$4)*(DATOS!$D$2:$D$20000=A191)*(DATOS!$K$2:$K$20000=6))</f>
        <v>0</v>
      </c>
      <c r="R191" cm="1">
        <f t="array" ref="R191">SUMPRODUCT((DATOS!$G$2:$G$20000=CONFIG_METADATA!$B$4)*(DATOS!$D$2:$D$20000=A191)*(DATOS!$K$2:$K$20000=7))</f>
        <v>0</v>
      </c>
      <c r="S191" cm="1">
        <f t="array" ref="S191">SUMPRODUCT((DATOS!$G$2:$G$20000=CONFIG_METADATA!$B$4)*(DATOS!$D$2:$D$20000=A191)*(DATOS!$K$2:$K$20000=8))</f>
        <v>0</v>
      </c>
      <c r="T191" cm="1">
        <f t="array" ref="T191">SUMPRODUCT((DATOS!$G$2:$G$20000=CONFIG_METADATA!$B$4)*(DATOS!$D$2:$D$20000=A191)*(DATOS!$K$2:$K$20000=9))</f>
        <v>0</v>
      </c>
      <c r="U191" cm="1">
        <f t="array" ref="U191">SUMPRODUCT((DATOS!$G$2:$G$20000=CONFIG_METADATA!$B$4)*(DATOS!$D$2:$D$20000=A191)*(DATOS!$K$2:$K$20000=10))</f>
        <v>0</v>
      </c>
    </row>
    <row r="192" spans="1:22">
      <c r="A192" s="3" t="inlineStr">
        <is>
          <t xml:space="preserve">3EEM</t>
        </is>
      </c>
      <c r="B192" s="3" t="inlineStr">
        <is>
          <t xml:space="preserve">Total Especialidad</t>
        </is>
      </c>
      <c r="C192" s="3" t="inlineStr">
        <is>
          <t xml:space="preserve">TotalEsp</t>
        </is>
      </c>
      <c r="D192">
        <f>SUMPRODUCT((DATOS!$G$2:$G$20000=CONFIG_METADATA!$B$4)*(DATOS!$D$2:$D$20000=A192)*(COUNTIFS(CONFIG_ASIGNATURAS!$B$2:$B$61,DATOS!$I$2:$I$20000,CONFIG_ASIGNATURAS!$D$2:$D$61,"Especialidad",CONFIG_ASIGNATURAS!$G$2:$G$61,"Sí")&gt;0)*1)</f>
      </c>
      <c r="E192" s="14">
        <f>IFERROR(AVERAGE(IF((DATOS!$G$2:$G$20000=CONFIG_METADATA!$B$4)*(DATOS!$D$2:$D$20000=A192)*(COUNTIFS(CONFIG_ASIGNATURAS!$B$2:$B$61,DATOS!$I$2:$I$20000,CONFIG_ASIGNATURAS!$D$2:$D$61,"Especialidad",CONFIG_ASIGNATURAS!$G$2:$G$61,"Sí")&gt;0),DATOS!$K$2:$K$20000)),"—")</f>
      </c>
      <c r="F192" s="14">
        <f>IFERROR(_xlfn.STDEV.P(IF((DATOS!$G$2:$G$20000=CONFIG_METADATA!$B$4)*(DATOS!$D$2:$D$20000=A192)*(COUNTIFS(CONFIG_ASIGNATURAS!$B$2:$B$61,DATOS!$I$2:$I$20000,CONFIG_ASIGNATURAS!$D$2:$D$61,"Especialidad",CONFIG_ASIGNATURAS!$G$2:$G$61,"Sí")&gt;0),DATOS!$K$2:$K$20000)),"—")</f>
      </c>
      <c r="G192">
        <f>IFERROR(_xlfn.MODE.SNGL(IF((DATOS!$G$2:$G$20000=CONFIG_METADATA!$B$4)*(DATOS!$D$2:$D$20000=A192)*(COUNTIFS(CONFIG_ASIGNATURAS!$B$2:$B$61,DATOS!$I$2:$I$20000,CONFIG_ASIGNATURAS!$D$2:$D$61,"Especialidad",CONFIG_ASIGNATURAS!$G$2:$G$61,"Sí")&gt;0),DATOS!$K$2:$K$20000)),"—")</f>
      </c>
      <c r="H192" s="15">
        <f>IFERROR(SUMPRODUCT((DATOS!$G$2:$G$20000=CONFIG_METADATA!$B$4)*(DATOS!$D$2:$D$20000=A192)*(COUNTIFS(CONFIG_ASIGNATURAS!$B$2:$B$61,DATOS!$I$2:$I$20000,CONFIG_ASIGNATURAS!$D$2:$D$61,"Especialidad",CONFIG_ASIGNATURAS!$G$2:$G$61,"Sí")&gt;0)*(DATOS!$L$2:$L$20000="S"))/SUMPRODUCT((DATOS!$G$2:$G$20000=CONFIG_METADATA!$B$4)*(DATOS!$D$2:$D$20000=A192)*(COUNTIFS(CONFIG_ASIGNATURAS!$B$2:$B$61,DATOS!$I$2:$I$20000,CONFIG_ASIGNATURAS!$D$2:$D$61,"Especialidad",CONFIG_ASIGNATURAS!$G$2:$G$61,"Sí")&gt;0)*1),"—")</f>
      </c>
      <c r="I192" s="15">
        <f>IFERROR(SUMPRODUCT((DATOS!$G$2:$G$20000=CONFIG_METADATA!$B$4)*(DATOS!$D$2:$D$20000=A192)*(COUNTIFS(CONFIG_ASIGNATURAS!$B$2:$B$61,DATOS!$I$2:$I$20000,CONFIG_ASIGNATURAS!$D$2:$D$61,"Especialidad",CONFIG_ASIGNATURAS!$G$2:$G$61,"Sí")&gt;0)*(DATOS!$L$2:$L$20000="N"))/SUMPRODUCT((DATOS!$G$2:$G$20000=CONFIG_METADATA!$B$4)*(DATOS!$D$2:$D$20000=A192)*(COUNTIFS(CONFIG_ASIGNATURAS!$B$2:$B$61,DATOS!$I$2:$I$20000,CONFIG_ASIGNATURAS!$D$2:$D$61,"Especialidad",CONFIG_ASIGNATURAS!$G$2:$G$61,"Sí")&gt;0)*1),"—")</f>
      </c>
      <c r="J192">
        <f>IFERROR(_xlfn.MODE.SNGL(IF((DATOS!$G$2:$G$20000=CONFIG_METADATA!$B$4)*(DATOS!$D$2:$D$20000=A192)*(COUNTIFS(CONFIG_ASIGNATURAS!$B$2:$B$61,DATOS!$I$2:$I$20000,CONFIG_ASIGNATURAS!$D$2:$D$61,"Especialidad",CONFIG_ASIGNATURAS!$G$2:$G$61,"Sí")&gt;0)*(DATOS!$L$2:$L$20000="S"),DATOS!$K$2:$K$20000)),"—")</f>
      </c>
      <c r="K192">
        <f>IFERROR(_xlfn.MODE.SNGL(IF((DATOS!$G$2:$G$20000=CONFIG_METADATA!$B$4)*(DATOS!$D$2:$D$20000=A192)*(COUNTIFS(CONFIG_ASIGNATURAS!$B$2:$B$61,DATOS!$I$2:$I$20000,CONFIG_ASIGNATURAS!$D$2:$D$61,"Especialidad",CONFIG_ASIGNATURAS!$G$2:$G$61,"Sí")&gt;0)*(DATOS!$L$2:$L$20000="N"),DATOS!$K$2:$K$20000)),"—")</f>
      </c>
      <c r="L192">
        <f>SUMPRODUCT((DATOS!$G$2:$G$20000=CONFIG_METADATA!$B$4)*(DATOS!$D$2:$D$20000=A192)*(COUNTIFS(CONFIG_ASIGNATURAS!$B$2:$B$61,DATOS!$I$2:$I$20000,CONFIG_ASIGNATURAS!$D$2:$D$61,"Especialidad",CONFIG_ASIGNATURAS!$G$2:$G$61,"Sí")&gt;0)*(DATOS!$K$2:$K$20000=1))</f>
      </c>
      <c r="M192">
        <f>SUMPRODUCT((DATOS!$G$2:$G$20000=CONFIG_METADATA!$B$4)*(DATOS!$D$2:$D$20000=A192)*(COUNTIFS(CONFIG_ASIGNATURAS!$B$2:$B$61,DATOS!$I$2:$I$20000,CONFIG_ASIGNATURAS!$D$2:$D$61,"Especialidad",CONFIG_ASIGNATURAS!$G$2:$G$61,"Sí")&gt;0)*(DATOS!$K$2:$K$20000=2))</f>
      </c>
      <c r="N192">
        <f>SUMPRODUCT((DATOS!$G$2:$G$20000=CONFIG_METADATA!$B$4)*(DATOS!$D$2:$D$20000=A192)*(COUNTIFS(CONFIG_ASIGNATURAS!$B$2:$B$61,DATOS!$I$2:$I$20000,CONFIG_ASIGNATURAS!$D$2:$D$61,"Especialidad",CONFIG_ASIGNATURAS!$G$2:$G$61,"Sí")&gt;0)*(DATOS!$K$2:$K$20000=3))</f>
      </c>
      <c r="O192">
        <f>SUMPRODUCT((DATOS!$G$2:$G$20000=CONFIG_METADATA!$B$4)*(DATOS!$D$2:$D$20000=A192)*(COUNTIFS(CONFIG_ASIGNATURAS!$B$2:$B$61,DATOS!$I$2:$I$20000,CONFIG_ASIGNATURAS!$D$2:$D$61,"Especialidad",CONFIG_ASIGNATURAS!$G$2:$G$61,"Sí")&gt;0)*(DATOS!$K$2:$K$20000=4))</f>
      </c>
      <c r="P192">
        <f>SUMPRODUCT((DATOS!$G$2:$G$20000=CONFIG_METADATA!$B$4)*(DATOS!$D$2:$D$20000=A192)*(COUNTIFS(CONFIG_ASIGNATURAS!$B$2:$B$61,DATOS!$I$2:$I$20000,CONFIG_ASIGNATURAS!$D$2:$D$61,"Especialidad",CONFIG_ASIGNATURAS!$G$2:$G$61,"Sí")&gt;0)*(DATOS!$K$2:$K$20000=5))</f>
      </c>
      <c r="Q192">
        <f>SUMPRODUCT((DATOS!$G$2:$G$20000=CONFIG_METADATA!$B$4)*(DATOS!$D$2:$D$20000=A192)*(COUNTIFS(CONFIG_ASIGNATURAS!$B$2:$B$61,DATOS!$I$2:$I$20000,CONFIG_ASIGNATURAS!$D$2:$D$61,"Especialidad",CONFIG_ASIGNATURAS!$G$2:$G$61,"Sí")&gt;0)*(DATOS!$K$2:$K$20000=6))</f>
      </c>
      <c r="R192">
        <f>SUMPRODUCT((DATOS!$G$2:$G$20000=CONFIG_METADATA!$B$4)*(DATOS!$D$2:$D$20000=A192)*(COUNTIFS(CONFIG_ASIGNATURAS!$B$2:$B$61,DATOS!$I$2:$I$20000,CONFIG_ASIGNATURAS!$D$2:$D$61,"Especialidad",CONFIG_ASIGNATURAS!$G$2:$G$61,"Sí")&gt;0)*(DATOS!$K$2:$K$20000=7))</f>
      </c>
      <c r="S192">
        <f>SUMPRODUCT((DATOS!$G$2:$G$20000=CONFIG_METADATA!$B$4)*(DATOS!$D$2:$D$20000=A192)*(COUNTIFS(CONFIG_ASIGNATURAS!$B$2:$B$61,DATOS!$I$2:$I$20000,CONFIG_ASIGNATURAS!$D$2:$D$61,"Especialidad",CONFIG_ASIGNATURAS!$G$2:$G$61,"Sí")&gt;0)*(DATOS!$K$2:$K$20000=8))</f>
      </c>
      <c r="T192">
        <f>SUMPRODUCT((DATOS!$G$2:$G$20000=CONFIG_METADATA!$B$4)*(DATOS!$D$2:$D$20000=A192)*(COUNTIFS(CONFIG_ASIGNATURAS!$B$2:$B$61,DATOS!$I$2:$I$20000,CONFIG_ASIGNATURAS!$D$2:$D$61,"Especialidad",CONFIG_ASIGNATURAS!$G$2:$G$61,"Sí")&gt;0)*(DATOS!$K$2:$K$20000=9))</f>
      </c>
      <c r="U192">
        <f>SUMPRODUCT((DATOS!$G$2:$G$20000=CONFIG_METADATA!$B$4)*(DATOS!$D$2:$D$20000=A192)*(COUNTIFS(CONFIG_ASIGNATURAS!$B$2:$B$61,DATOS!$I$2:$I$20000,CONFIG_ASIGNATURAS!$D$2:$D$61,"Especialidad",CONFIG_ASIGNATURAS!$G$2:$G$61,"Sí")&gt;0)*(DATOS!$K$2:$K$20000=10))</f>
      </c>
    </row>
    <row r="193" spans="1:22">
      <c r="A193" s="3" t="inlineStr">
        <is>
          <t xml:space="preserve">3EEM</t>
        </is>
      </c>
      <c r="B193" s="3" t="inlineStr">
        <is>
          <t xml:space="preserve">Total no Especialidad</t>
        </is>
      </c>
      <c r="C193" s="3" t="inlineStr">
        <is>
          <t xml:space="preserve">TotalNoEsp</t>
        </is>
      </c>
      <c r="D193">
        <f>SUMPRODUCT((DATOS!$G$2:$G$20000=CONFIG_METADATA!$B$4)*(DATOS!$D$2:$D$20000=A193)*(COUNTIFS(CONFIG_ASIGNATURAS!$B$2:$B$61,DATOS!$I$2:$I$20000,CONFIG_ASIGNATURAS!$D$2:$D$61,"&lt;&gt;Especialidad",CONFIG_ASIGNATURAS!$G$2:$G$61,"Sí")&gt;0)*1)</f>
      </c>
      <c r="E193" s="14">
        <f>IFERROR(AVERAGE(IF((DATOS!$G$2:$G$20000=CONFIG_METADATA!$B$4)*(DATOS!$D$2:$D$20000=A193)*(COUNTIFS(CONFIG_ASIGNATURAS!$B$2:$B$61,DATOS!$I$2:$I$20000,CONFIG_ASIGNATURAS!$D$2:$D$61,"&lt;&gt;Especialidad",CONFIG_ASIGNATURAS!$G$2:$G$61,"Sí")&gt;0),DATOS!$K$2:$K$20000)),"—")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F193" s="14">
        <f>IFERROR(_xlfn.STDEV.P(IF((DATOS!$G$2:$G$20000=CONFIG_METADATA!$B$4)*(DATOS!$D$2:$D$20000=A193)*(COUNTIFS(CONFIG_ASIGNATURAS!$B$2:$B$61,DATOS!$I$2:$I$20000,CONFIG_ASIGNATURAS!$D$2:$D$61,"&lt;&gt;Especialidad",CONFIG_ASIGNATURAS!$G$2:$G$61,"Sí")&gt;0),DATOS!$K$2:$K$20000)),"—")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G193">
        <f>IFERROR(_xlfn.MODE.SNGL(IF((DATOS!$G$2:$G$20000=CONFIG_METADATA!$B$4)*(DATOS!$D$2:$D$20000=A193)*(COUNTIFS(CONFIG_ASIGNATURAS!$B$2:$B$61,DATOS!$I$2:$I$20000,CONFIG_ASIGNATURAS!$D$2:$D$61,"&lt;&gt;Especialidad",CONFIG_ASIGNATURAS!$G$2:$G$61,"Sí")&gt;0),DATOS!$K$2:$K$20000)),"—")</f>
      </c>
      <c r="H193" s="15">
        <f>IFERROR(SUMPRODUCT((DATOS!$G$2:$G$20000=CONFIG_METADATA!$B$4)*(DATOS!$D$2:$D$20000=A193)*(COUNTIFS(CONFIG_ASIGNATURAS!$B$2:$B$61,DATOS!$I$2:$I$20000,CONFIG_ASIGNATURAS!$D$2:$D$61,"&lt;&gt;Especialidad",CONFIG_ASIGNATURAS!$G$2:$G$61,"Sí")&gt;0)*(DATOS!$L$2:$L$20000="S"))/SUMPRODUCT((DATOS!$G$2:$G$20000=CONFIG_METADATA!$B$4)*(DATOS!$D$2:$D$20000=A193)*(COUNTIFS(CONFIG_ASIGNATURAS!$B$2:$B$61,DATOS!$I$2:$I$20000,CONFIG_ASIGNATURAS!$D$2:$D$61,"&lt;&gt;Especialidad",CONFIG_ASIGNATURAS!$G$2:$G$61,"Sí")&gt;0)*1),"—")</f>
      </c>
      <c r="I193" s="15">
        <f>IFERROR(SUMPRODUCT((DATOS!$G$2:$G$20000=CONFIG_METADATA!$B$4)*(DATOS!$D$2:$D$20000=A193)*(COUNTIFS(CONFIG_ASIGNATURAS!$B$2:$B$61,DATOS!$I$2:$I$20000,CONFIG_ASIGNATURAS!$D$2:$D$61,"&lt;&gt;Especialidad",CONFIG_ASIGNATURAS!$G$2:$G$61,"Sí")&gt;0)*(DATOS!$L$2:$L$20000="N"))/SUMPRODUCT((DATOS!$G$2:$G$20000=CONFIG_METADATA!$B$4)*(DATOS!$D$2:$D$20000=A193)*(COUNTIFS(CONFIG_ASIGNATURAS!$B$2:$B$61,DATOS!$I$2:$I$20000,CONFIG_ASIGNATURAS!$D$2:$D$61,"&lt;&gt;Especialidad",CONFIG_ASIGNATURAS!$G$2:$G$61,"Sí")&gt;0)*1),"—")</f>
      </c>
      <c r="J193">
        <f>IFERROR(_xlfn.MODE.SNGL(IF((DATOS!$G$2:$G$20000=CONFIG_METADATA!$B$4)*(DATOS!$D$2:$D$20000=A193)*(COUNTIFS(CONFIG_ASIGNATURAS!$B$2:$B$61,DATOS!$I$2:$I$20000,CONFIG_ASIGNATURAS!$D$2:$D$61,"&lt;&gt;Especialidad",CONFIG_ASIGNATURAS!$G$2:$G$61,"Sí")&gt;0)*(DATOS!$L$2:$L$20000="S"),DATOS!$K$2:$K$20000)),"—")</f>
      </c>
      <c r="K193">
        <f>IFERROR(_xlfn.MODE.SNGL(IF((DATOS!$G$2:$G$20000=CONFIG_METADATA!$B$4)*(DATOS!$D$2:$D$20000=A193)*(COUNTIFS(CONFIG_ASIGNATURAS!$B$2:$B$61,DATOS!$I$2:$I$20000,CONFIG_ASIGNATURAS!$D$2:$D$61,"&lt;&gt;Especialidad",CONFIG_ASIGNATURAS!$G$2:$G$61,"Sí")&gt;0)*(DATOS!$L$2:$L$20000="N"),DATOS!$K$2:$K$20000)),"—")</f>
      </c>
      <c r="L193">
        <f>SUMPRODUCT((DATOS!$G$2:$G$20000=CONFIG_METADATA!$B$4)*(DATOS!$D$2:$D$20000=A193)*(COUNTIFS(CONFIG_ASIGNATURAS!$B$2:$B$61,DATOS!$I$2:$I$20000,CONFIG_ASIGNATURAS!$D$2:$D$61,"&lt;&gt;Especialidad",CONFIG_ASIGNATURAS!$G$2:$G$61,"Sí")&gt;0)*(DATOS!$K$2:$K$20000=1))</f>
      </c>
      <c r="M193">
        <f>SUMPRODUCT((DATOS!$G$2:$G$20000=CONFIG_METADATA!$B$4)*(DATOS!$D$2:$D$20000=A193)*(COUNTIFS(CONFIG_ASIGNATURAS!$B$2:$B$61,DATOS!$I$2:$I$20000,CONFIG_ASIGNATURAS!$D$2:$D$61,"&lt;&gt;Especialidad",CONFIG_ASIGNATURAS!$G$2:$G$61,"Sí")&gt;0)*(DATOS!$K$2:$K$20000=2))</f>
      </c>
      <c r="N193">
        <f>SUMPRODUCT((DATOS!$G$2:$G$20000=CONFIG_METADATA!$B$4)*(DATOS!$D$2:$D$20000=A193)*(COUNTIFS(CONFIG_ASIGNATURAS!$B$2:$B$61,DATOS!$I$2:$I$20000,CONFIG_ASIGNATURAS!$D$2:$D$61,"&lt;&gt;Especialidad",CONFIG_ASIGNATURAS!$G$2:$G$61,"Sí")&gt;0)*(DATOS!$K$2:$K$20000=3))</f>
      </c>
      <c r="O193">
        <f>SUMPRODUCT((DATOS!$G$2:$G$20000=CONFIG_METADATA!$B$4)*(DATOS!$D$2:$D$20000=A193)*(COUNTIFS(CONFIG_ASIGNATURAS!$B$2:$B$61,DATOS!$I$2:$I$20000,CONFIG_ASIGNATURAS!$D$2:$D$61,"&lt;&gt;Especialidad",CONFIG_ASIGNATURAS!$G$2:$G$61,"Sí")&gt;0)*(DATOS!$K$2:$K$20000=4))</f>
      </c>
      <c r="P193">
        <f>SUMPRODUCT((DATOS!$G$2:$G$20000=CONFIG_METADATA!$B$4)*(DATOS!$D$2:$D$20000=A193)*(COUNTIFS(CONFIG_ASIGNATURAS!$B$2:$B$61,DATOS!$I$2:$I$20000,CONFIG_ASIGNATURAS!$D$2:$D$61,"&lt;&gt;Especialidad",CONFIG_ASIGNATURAS!$G$2:$G$61,"Sí")&gt;0)*(DATOS!$K$2:$K$20000=5))</f>
      </c>
      <c r="Q193">
        <f>SUMPRODUCT((DATOS!$G$2:$G$20000=CONFIG_METADATA!$B$4)*(DATOS!$D$2:$D$20000=A193)*(COUNTIFS(CONFIG_ASIGNATURAS!$B$2:$B$61,DATOS!$I$2:$I$20000,CONFIG_ASIGNATURAS!$D$2:$D$61,"&lt;&gt;Especialidad",CONFIG_ASIGNATURAS!$G$2:$G$61,"Sí")&gt;0)*(DATOS!$K$2:$K$20000=6))</f>
      </c>
      <c r="R193">
        <f>SUMPRODUCT((DATOS!$G$2:$G$20000=CONFIG_METADATA!$B$4)*(DATOS!$D$2:$D$20000=A193)*(COUNTIFS(CONFIG_ASIGNATURAS!$B$2:$B$61,DATOS!$I$2:$I$20000,CONFIG_ASIGNATURAS!$D$2:$D$61,"&lt;&gt;Especialidad",CONFIG_ASIGNATURAS!$G$2:$G$61,"Sí")&gt;0)*(DATOS!$K$2:$K$20000=7))</f>
      </c>
      <c r="S193">
        <f>SUMPRODUCT((DATOS!$G$2:$G$20000=CONFIG_METADATA!$B$4)*(DATOS!$D$2:$D$20000=A193)*(COUNTIFS(CONFIG_ASIGNATURAS!$B$2:$B$61,DATOS!$I$2:$I$20000,CONFIG_ASIGNATURAS!$D$2:$D$61,"&lt;&gt;Especialidad",CONFIG_ASIGNATURAS!$G$2:$G$61,"Sí")&gt;0)*(DATOS!$K$2:$K$20000=8))</f>
      </c>
      <c r="T193">
        <f>SUMPRODUCT((DATOS!$G$2:$G$20000=CONFIG_METADATA!$B$4)*(DATOS!$D$2:$D$20000=A193)*(COUNTIFS(CONFIG_ASIGNATURAS!$B$2:$B$61,DATOS!$I$2:$I$20000,CONFIG_ASIGNATURAS!$D$2:$D$61,"&lt;&gt;Especialidad",CONFIG_ASIGNATURAS!$G$2:$G$61,"Sí")&gt;0)*(DATOS!$K$2:$K$20000=9))</f>
      </c>
      <c r="U193">
        <f>SUMPRODUCT((DATOS!$G$2:$G$20000=CONFIG_METADATA!$B$4)*(DATOS!$D$2:$D$20000=A193)*(COUNTIFS(CONFIG_ASIGNATURAS!$B$2:$B$61,DATOS!$I$2:$I$20000,CONFIG_ASIGNATURAS!$D$2:$D$61,"&lt;&gt;Especialidad",CONFIG_ASIGNATURAS!$G$2:$G$61,"Sí")&gt;0)*(DATOS!$K$2:$K$20000=10))</f>
      </c>
    </row>
    <row r="194" spans="1:22">
      <c r="A194" s="3" t="inlineStr">
        <is>
          <t xml:space="preserve">3EEM</t>
        </is>
      </c>
      <c r="B194" s="3" cm="1">
        <f t="array" ref="B194">IFERROR(INDEX(_xlfn._xlws.FILTER(CONFIG_ASIGNATURAS!$B$2:$B$61,(CONFIG_ASIGNATURAS!$G$2:$G$61="Sí")*ISNUMBER(SEARCH("3EEM",CONFIG_ASIGNATURAS!$C$2:$C$61))),1),"")</f>
      </c>
      <c r="C194" s="3">
        <f>IF(B194="","",IFERROR(IF(VLOOKUP(B194,CONFIG_ASIGNATURAS!$B$2:$F$61,5,FALSE())="Sí","Especialidad","Asignatura"),"Asignatura"))</f>
      </c>
      <c r="D194">
        <f>IF(V194="Sí",COUNTIFS(DATOS!G:G,CONFIG_METADATA!$B$4,DATOS!D:D,A194,DATOS!I:I,B194),"")</f>
        <v>0</v>
      </c>
      <c r="E194" s="14" t="str">
        <f>IF(V194="Sí",IFERROR(AVERAGEIFS(DATOS!K:K,DATOS!G:G,CONFIG_METADATA!$B$4,DATOS!D:D,A194,DATOS!I:I,B194),"—"),"")</f>
        <v>—</v>
      </c>
      <c r="F194" s="14" t="str" cm="1">
        <f t="array" ref="F194">IF(V194="Sí",IFERROR(_xlfn.STDEV.P(IF((DATOS!$G$2:$G$20000=CONFIG_METADATA!$B$4)*(DATOS!$D$2:$D$20000=A194)*(DATOS!$I$2:$I$20000=B194),DATOS!$K$2:$K$20000)),"—"),"")</f>
        <v>—</v>
      </c>
      <c r="G194" t="str" cm="1">
        <f t="array" ref="G194">IF(V194="Sí",IFERROR(_xlfn.MODE.SNGL(IF((DATOS!$G$2:$G$20000=CONFIG_METADATA!$B$4)*(DATOS!$D$2:$D$20000=A194)*(DATOS!$I$2:$I$20000=B194),DATOS!$K$2:$K$20000)),"—"),"")</f>
        <v>—</v>
      </c>
      <c r="H194" s="15" t="str">
        <f>IF(V194="Sí",IFERROR(COUNTIFS(DATOS!G:G,CONFIG_METADATA!$B$4,DATOS!D:D,A194,DATOS!I:I,B194,DATOS!L:L,"S")/COUNTIFS(DATOS!G:G,CONFIG_METADATA!$B$4,DATOS!D:D,A194,DATOS!I:I,B194),"—"),"")</f>
        <v>—</v>
      </c>
      <c r="I194" s="15" t="str">
        <f>IF(V194="Sí",IFERROR(COUNTIFS(DATOS!G:G,CONFIG_METADATA!$B$4,DATOS!D:D,A194,DATOS!I:I,B194,DATOS!L:L,"N")/COUNTIFS(DATOS!G:G,CONFIG_METADATA!$B$4,DATOS!D:D,A194,DATOS!I:I,B194),"—"),"")</f>
        <v>—</v>
      </c>
      <c r="J194" t="str" cm="1">
        <f t="array" ref="J194">IF(V194="Sí",IFERROR(_xlfn.MODE.SNGL(IF((DATOS!$G$2:$G$20000=CONFIG_METADATA!$B$4)*(DATOS!$D$2:$D$20000=A194)*(DATOS!$I$2:$I$20000=B194)*(DATOS!$L$2:$L$20000="S"),DATOS!$K$2:$K$20000)),"—"),"")</f>
        <v>—</v>
      </c>
      <c r="K194" t="str" cm="1">
        <f t="array" ref="K194">IF(V194="Sí",IFERROR(_xlfn.MODE.SNGL(IF((DATOS!$G$2:$G$20000=CONFIG_METADATA!$B$4)*(DATOS!$D$2:$D$20000=A194)*(DATOS!$I$2:$I$20000=B194)*(DATOS!$L$2:$L$20000="N"),DATOS!$K$2:$K$20000)),"—"),"")</f>
        <v>—</v>
      </c>
      <c r="L194">
        <f>IF(V194="Sí",COUNTIFS(DATOS!G:G,CONFIG_METADATA!$B$4,DATOS!D:D,A194,DATOS!I:I,B194,DATOS!K:K,1),"")</f>
        <v>0</v>
      </c>
      <c r="M194">
        <f>IF(V194="Sí",COUNTIFS(DATOS!G:G,CONFIG_METADATA!$B$4,DATOS!D:D,A194,DATOS!I:I,B194,DATOS!K:K,2),"")</f>
        <v>0</v>
      </c>
      <c r="N194">
        <f>IF(V194="Sí",COUNTIFS(DATOS!G:G,CONFIG_METADATA!$B$4,DATOS!D:D,A194,DATOS!I:I,B194,DATOS!K:K,3),"")</f>
        <v>0</v>
      </c>
      <c r="O194">
        <f>IF(V194="Sí",COUNTIFS(DATOS!G:G,CONFIG_METADATA!$B$4,DATOS!D:D,A194,DATOS!I:I,B194,DATOS!K:K,4),"")</f>
        <v>0</v>
      </c>
      <c r="P194">
        <f>IF(V194="Sí",COUNTIFS(DATOS!G:G,CONFIG_METADATA!$B$4,DATOS!D:D,A194,DATOS!I:I,B194,DATOS!K:K,5),"")</f>
        <v>0</v>
      </c>
      <c r="Q194">
        <f>IF(V194="Sí",COUNTIFS(DATOS!G:G,CONFIG_METADATA!$B$4,DATOS!D:D,A194,DATOS!I:I,B194,DATOS!K:K,6),"")</f>
        <v>0</v>
      </c>
      <c r="R194">
        <f>IF(V194="Sí",COUNTIFS(DATOS!G:G,CONFIG_METADATA!$B$4,DATOS!D:D,A194,DATOS!I:I,B194,DATOS!K:K,7),"")</f>
        <v>0</v>
      </c>
      <c r="S194">
        <f>IF(V194="Sí",COUNTIFS(DATOS!G:G,CONFIG_METADATA!$B$4,DATOS!D:D,A194,DATOS!I:I,B194,DATOS!K:K,8),"")</f>
        <v>0</v>
      </c>
      <c r="T194">
        <f>IF(V194="Sí",COUNTIFS(DATOS!G:G,CONFIG_METADATA!$B$4,DATOS!D:D,A194,DATOS!I:I,B194,DATOS!K:K,9),"")</f>
        <v>0</v>
      </c>
      <c r="U194">
        <f>IF(V194="Sí",COUNTIFS(DATOS!G:G,CONFIG_METADATA!$B$4,DATOS!D:D,A194,DATOS!I:I,B194,DATOS!K:K,10),"")</f>
        <v>0</v>
      </c>
      <c r="V194" t="str">
        <f>IFERROR(IF(ISERROR(FIND(A194,VLOOKUP(B194,CONFIG_ASIGNATURAS!B:C,2,FALSE()))),"No","Sí"),"No")</f>
        <v>Sí</v>
      </c>
    </row>
    <row r="195" spans="1:22">
      <c r="A195" s="3" t="inlineStr">
        <is>
          <t xml:space="preserve">3EEM</t>
        </is>
      </c>
      <c r="B195" s="3" cm="1">
        <f t="array" ref="B195">IFERROR(INDEX(_xlfn._xlws.FILTER(CONFIG_ASIGNATURAS!$B$2:$B$61,(CONFIG_ASIGNATURAS!$G$2:$G$61="Sí")*ISNUMBER(SEARCH("3EEM",CONFIG_ASIGNATURAS!$C$2:$C$61))),2),"")</f>
      </c>
      <c r="C195" s="3">
        <f>IF(B195="","",IFERROR(IF(VLOOKUP(B195,CONFIG_ASIGNATURAS!$B$2:$F$61,5,FALSE())="Sí","Especialidad","Asignatura"),"Asignatura"))</f>
      </c>
      <c r="D195">
        <f>IF(V195="Sí",COUNTIFS(DATOS!G:G,CONFIG_METADATA!$B$4,DATOS!D:D,A195,DATOS!I:I,B195),"")</f>
        <v>0</v>
      </c>
      <c r="E195" s="14" t="str">
        <f>IF(V195="Sí",IFERROR(AVERAGEIFS(DATOS!K:K,DATOS!G:G,CONFIG_METADATA!$B$4,DATOS!D:D,A195,DATOS!I:I,B195),"—"),"")</f>
        <v>—</v>
      </c>
      <c r="F195" s="14" t="str" cm="1">
        <f t="array" ref="F195">IF(V195="Sí",IFERROR(_xlfn.STDEV.P(IF((DATOS!$G$2:$G$20000=CONFIG_METADATA!$B$4)*(DATOS!$D$2:$D$20000=A195)*(DATOS!$I$2:$I$20000=B195),DATOS!$K$2:$K$20000)),"—"),"")</f>
        <v>—</v>
      </c>
      <c r="G195" t="str" cm="1">
        <f t="array" ref="G195">IF(V195="Sí",IFERROR(_xlfn.MODE.SNGL(IF((DATOS!$G$2:$G$20000=CONFIG_METADATA!$B$4)*(DATOS!$D$2:$D$20000=A195)*(DATOS!$I$2:$I$20000=B195),DATOS!$K$2:$K$20000)),"—"),"")</f>
        <v>—</v>
      </c>
      <c r="H195" s="15" t="str">
        <f>IF(V195="Sí",IFERROR(COUNTIFS(DATOS!G:G,CONFIG_METADATA!$B$4,DATOS!D:D,A195,DATOS!I:I,B195,DATOS!L:L,"S")/COUNTIFS(DATOS!G:G,CONFIG_METADATA!$B$4,DATOS!D:D,A195,DATOS!I:I,B195),"—"),"")</f>
        <v>—</v>
      </c>
      <c r="I195" s="15" t="str">
        <f>IF(V195="Sí",IFERROR(COUNTIFS(DATOS!G:G,CONFIG_METADATA!$B$4,DATOS!D:D,A195,DATOS!I:I,B195,DATOS!L:L,"N")/COUNTIFS(DATOS!G:G,CONFIG_METADATA!$B$4,DATOS!D:D,A195,DATOS!I:I,B195),"—"),"")</f>
        <v>—</v>
      </c>
      <c r="J195" t="str" cm="1">
        <f t="array" ref="J195">IF(V195="Sí",IFERROR(_xlfn.MODE.SNGL(IF((DATOS!$G$2:$G$20000=CONFIG_METADATA!$B$4)*(DATOS!$D$2:$D$20000=A195)*(DATOS!$I$2:$I$20000=B195)*(DATOS!$L$2:$L$20000="S"),DATOS!$K$2:$K$20000)),"—"),"")</f>
        <v>—</v>
      </c>
      <c r="K195" t="str" cm="1">
        <f t="array" ref="K195">IF(V195="Sí",IFERROR(_xlfn.MODE.SNGL(IF((DATOS!$G$2:$G$20000=CONFIG_METADATA!$B$4)*(DATOS!$D$2:$D$20000=A195)*(DATOS!$I$2:$I$20000=B195)*(DATOS!$L$2:$L$20000="N"),DATOS!$K$2:$K$20000)),"—"),"")</f>
        <v>—</v>
      </c>
      <c r="L195">
        <f>IF(V195="Sí",COUNTIFS(DATOS!G:G,CONFIG_METADATA!$B$4,DATOS!D:D,A195,DATOS!I:I,B195,DATOS!K:K,1),"")</f>
        <v>0</v>
      </c>
      <c r="M195">
        <f>IF(V195="Sí",COUNTIFS(DATOS!G:G,CONFIG_METADATA!$B$4,DATOS!D:D,A195,DATOS!I:I,B195,DATOS!K:K,2),"")</f>
        <v>0</v>
      </c>
      <c r="N195">
        <f>IF(V195="Sí",COUNTIFS(DATOS!G:G,CONFIG_METADATA!$B$4,DATOS!D:D,A195,DATOS!I:I,B195,DATOS!K:K,3),"")</f>
        <v>0</v>
      </c>
      <c r="O195">
        <f>IF(V195="Sí",COUNTIFS(DATOS!G:G,CONFIG_METADATA!$B$4,DATOS!D:D,A195,DATOS!I:I,B195,DATOS!K:K,4),"")</f>
        <v>0</v>
      </c>
      <c r="P195">
        <f>IF(V195="Sí",COUNTIFS(DATOS!G:G,CONFIG_METADATA!$B$4,DATOS!D:D,A195,DATOS!I:I,B195,DATOS!K:K,5),"")</f>
        <v>0</v>
      </c>
      <c r="Q195">
        <f>IF(V195="Sí",COUNTIFS(DATOS!G:G,CONFIG_METADATA!$B$4,DATOS!D:D,A195,DATOS!I:I,B195,DATOS!K:K,6),"")</f>
        <v>0</v>
      </c>
      <c r="R195">
        <f>IF(V195="Sí",COUNTIFS(DATOS!G:G,CONFIG_METADATA!$B$4,DATOS!D:D,A195,DATOS!I:I,B195,DATOS!K:K,7),"")</f>
        <v>0</v>
      </c>
      <c r="S195">
        <f>IF(V195="Sí",COUNTIFS(DATOS!G:G,CONFIG_METADATA!$B$4,DATOS!D:D,A195,DATOS!I:I,B195,DATOS!K:K,8),"")</f>
        <v>0</v>
      </c>
      <c r="T195">
        <f>IF(V195="Sí",COUNTIFS(DATOS!G:G,CONFIG_METADATA!$B$4,DATOS!D:D,A195,DATOS!I:I,B195,DATOS!K:K,9),"")</f>
        <v>0</v>
      </c>
      <c r="U195">
        <f>IF(V195="Sí",COUNTIFS(DATOS!G:G,CONFIG_METADATA!$B$4,DATOS!D:D,A195,DATOS!I:I,B195,DATOS!K:K,10),"")</f>
        <v>0</v>
      </c>
      <c r="V195" t="str">
        <f>IFERROR(IF(ISERROR(FIND(A195,VLOOKUP(B195,CONFIG_ASIGNATURAS!B:C,2,FALSE()))),"No","Sí"),"No")</f>
        <v>Sí</v>
      </c>
    </row>
    <row r="196" spans="1:22">
      <c r="A196" s="3" t="inlineStr">
        <is>
          <t xml:space="preserve">3EEM</t>
        </is>
      </c>
      <c r="B196" s="3" cm="1">
        <f t="array" ref="B196">IFERROR(INDEX(_xlfn._xlws.FILTER(CONFIG_ASIGNATURAS!$B$2:$B$61,(CONFIG_ASIGNATURAS!$G$2:$G$61="Sí")*ISNUMBER(SEARCH("3EEM",CONFIG_ASIGNATURAS!$C$2:$C$61))),3),"")</f>
      </c>
      <c r="C196" s="3">
        <f>IF(B196="","",IFERROR(IF(VLOOKUP(B196,CONFIG_ASIGNATURAS!$B$2:$F$61,5,FALSE())="Sí","Especialidad","Asignatura"),"Asignatura"))</f>
      </c>
      <c r="D196">
        <f>IF(V196="Sí",COUNTIFS(DATOS!G:G,CONFIG_METADATA!$B$4,DATOS!D:D,A196,DATOS!I:I,B196),"")</f>
        <v>0</v>
      </c>
      <c r="E196" s="14" t="str">
        <f>IF(V196="Sí",IFERROR(AVERAGEIFS(DATOS!K:K,DATOS!G:G,CONFIG_METADATA!$B$4,DATOS!D:D,A196,DATOS!I:I,B196),"—"),"")</f>
        <v>—</v>
      </c>
      <c r="F196" s="14" t="str" cm="1">
        <f t="array" ref="F196">IF(V196="Sí",IFERROR(_xlfn.STDEV.P(IF((DATOS!$G$2:$G$20000=CONFIG_METADATA!$B$4)*(DATOS!$D$2:$D$20000=A196)*(DATOS!$I$2:$I$20000=B196),DATOS!$K$2:$K$20000)),"—"),"")</f>
        <v>—</v>
      </c>
      <c r="G196" t="str" cm="1">
        <f t="array" ref="G196">IF(V196="Sí",IFERROR(_xlfn.MODE.SNGL(IF((DATOS!$G$2:$G$20000=CONFIG_METADATA!$B$4)*(DATOS!$D$2:$D$20000=A196)*(DATOS!$I$2:$I$20000=B196),DATOS!$K$2:$K$20000)),"—"),"")</f>
        <v>—</v>
      </c>
      <c r="H196" s="15" t="str">
        <f>IF(V196="Sí",IFERROR(COUNTIFS(DATOS!G:G,CONFIG_METADATA!$B$4,DATOS!D:D,A196,DATOS!I:I,B196,DATOS!L:L,"S")/COUNTIFS(DATOS!G:G,CONFIG_METADATA!$B$4,DATOS!D:D,A196,DATOS!I:I,B196),"—"),"")</f>
        <v>—</v>
      </c>
      <c r="I196" s="15" t="str">
        <f>IF(V196="Sí",IFERROR(COUNTIFS(DATOS!G:G,CONFIG_METADATA!$B$4,DATOS!D:D,A196,DATOS!I:I,B196,DATOS!L:L,"N")/COUNTIFS(DATOS!G:G,CONFIG_METADATA!$B$4,DATOS!D:D,A196,DATOS!I:I,B196),"—"),"")</f>
        <v>—</v>
      </c>
      <c r="J196" t="str" cm="1">
        <f t="array" ref="J196">IF(V196="Sí",IFERROR(_xlfn.MODE.SNGL(IF((DATOS!$G$2:$G$20000=CONFIG_METADATA!$B$4)*(DATOS!$D$2:$D$20000=A196)*(DATOS!$I$2:$I$20000=B196)*(DATOS!$L$2:$L$20000="S"),DATOS!$K$2:$K$20000)),"—"),"")</f>
        <v>—</v>
      </c>
      <c r="K196" t="str" cm="1">
        <f t="array" ref="K196">IF(V196="Sí",IFERROR(_xlfn.MODE.SNGL(IF((DATOS!$G$2:$G$20000=CONFIG_METADATA!$B$4)*(DATOS!$D$2:$D$20000=A196)*(DATOS!$I$2:$I$20000=B196)*(DATOS!$L$2:$L$20000="N"),DATOS!$K$2:$K$20000)),"—"),"")</f>
        <v>—</v>
      </c>
      <c r="L196">
        <f>IF(V196="Sí",COUNTIFS(DATOS!G:G,CONFIG_METADATA!$B$4,DATOS!D:D,A196,DATOS!I:I,B196,DATOS!K:K,1),"")</f>
        <v>0</v>
      </c>
      <c r="M196">
        <f>IF(V196="Sí",COUNTIFS(DATOS!G:G,CONFIG_METADATA!$B$4,DATOS!D:D,A196,DATOS!I:I,B196,DATOS!K:K,2),"")</f>
        <v>0</v>
      </c>
      <c r="N196">
        <f>IF(V196="Sí",COUNTIFS(DATOS!G:G,CONFIG_METADATA!$B$4,DATOS!D:D,A196,DATOS!I:I,B196,DATOS!K:K,3),"")</f>
        <v>0</v>
      </c>
      <c r="O196">
        <f>IF(V196="Sí",COUNTIFS(DATOS!G:G,CONFIG_METADATA!$B$4,DATOS!D:D,A196,DATOS!I:I,B196,DATOS!K:K,4),"")</f>
        <v>0</v>
      </c>
      <c r="P196">
        <f>IF(V196="Sí",COUNTIFS(DATOS!G:G,CONFIG_METADATA!$B$4,DATOS!D:D,A196,DATOS!I:I,B196,DATOS!K:K,5),"")</f>
        <v>0</v>
      </c>
      <c r="Q196">
        <f>IF(V196="Sí",COUNTIFS(DATOS!G:G,CONFIG_METADATA!$B$4,DATOS!D:D,A196,DATOS!I:I,B196,DATOS!K:K,6),"")</f>
        <v>0</v>
      </c>
      <c r="R196">
        <f>IF(V196="Sí",COUNTIFS(DATOS!G:G,CONFIG_METADATA!$B$4,DATOS!D:D,A196,DATOS!I:I,B196,DATOS!K:K,7),"")</f>
        <v>0</v>
      </c>
      <c r="S196">
        <f>IF(V196="Sí",COUNTIFS(DATOS!G:G,CONFIG_METADATA!$B$4,DATOS!D:D,A196,DATOS!I:I,B196,DATOS!K:K,8),"")</f>
        <v>0</v>
      </c>
      <c r="T196">
        <f>IF(V196="Sí",COUNTIFS(DATOS!G:G,CONFIG_METADATA!$B$4,DATOS!D:D,A196,DATOS!I:I,B196,DATOS!K:K,9),"")</f>
        <v>0</v>
      </c>
      <c r="U196">
        <f>IF(V196="Sí",COUNTIFS(DATOS!G:G,CONFIG_METADATA!$B$4,DATOS!D:D,A196,DATOS!I:I,B196,DATOS!K:K,10),"")</f>
        <v>0</v>
      </c>
      <c r="V196" t="str">
        <f>IFERROR(IF(ISERROR(FIND(A196,VLOOKUP(B196,CONFIG_ASIGNATURAS!B:C,2,FALSE()))),"No","Sí"),"No")</f>
        <v>Sí</v>
      </c>
    </row>
    <row r="197" spans="1:22">
      <c r="A197" s="3" t="inlineStr">
        <is>
          <t xml:space="preserve">3EEM</t>
        </is>
      </c>
      <c r="B197" s="3" cm="1">
        <f t="array" ref="B197">IFERROR(INDEX(_xlfn._xlws.FILTER(CONFIG_ASIGNATURAS!$B$2:$B$61,(CONFIG_ASIGNATURAS!$G$2:$G$61="Sí")*ISNUMBER(SEARCH("3EEM",CONFIG_ASIGNATURAS!$C$2:$C$61))),4),"")</f>
      </c>
      <c r="C197" s="3">
        <f>IF(B197="","",IFERROR(IF(VLOOKUP(B197,CONFIG_ASIGNATURAS!$B$2:$F$61,5,FALSE())="Sí","Especialidad","Asignatura"),"Asignatura"))</f>
      </c>
      <c r="D197">
        <f>IF(V197="Sí",COUNTIFS(DATOS!G:G,CONFIG_METADATA!$B$4,DATOS!D:D,A197,DATOS!I:I,B197),"")</f>
        <v>0</v>
      </c>
      <c r="E197" s="14" t="str">
        <f>IF(V197="Sí",IFERROR(AVERAGEIFS(DATOS!K:K,DATOS!G:G,CONFIG_METADATA!$B$4,DATOS!D:D,A197,DATOS!I:I,B197),"—"),"")</f>
        <v>—</v>
      </c>
      <c r="F197" s="14" t="str" cm="1">
        <f t="array" ref="F197">IF(V197="Sí",IFERROR(_xlfn.STDEV.P(IF((DATOS!$G$2:$G$20000=CONFIG_METADATA!$B$4)*(DATOS!$D$2:$D$20000=A197)*(DATOS!$I$2:$I$20000=B197),DATOS!$K$2:$K$20000)),"—"),"")</f>
        <v>—</v>
      </c>
      <c r="G197" t="str" cm="1">
        <f t="array" ref="G197">IF(V197="Sí",IFERROR(_xlfn.MODE.SNGL(IF((DATOS!$G$2:$G$20000=CONFIG_METADATA!$B$4)*(DATOS!$D$2:$D$20000=A197)*(DATOS!$I$2:$I$20000=B197),DATOS!$K$2:$K$20000)),"—"),"")</f>
        <v>—</v>
      </c>
      <c r="H197" s="15" t="str">
        <f>IF(V197="Sí",IFERROR(COUNTIFS(DATOS!G:G,CONFIG_METADATA!$B$4,DATOS!D:D,A197,DATOS!I:I,B197,DATOS!L:L,"S")/COUNTIFS(DATOS!G:G,CONFIG_METADATA!$B$4,DATOS!D:D,A197,DATOS!I:I,B197),"—"),"")</f>
        <v>—</v>
      </c>
      <c r="I197" s="15" t="str">
        <f>IF(V197="Sí",IFERROR(COUNTIFS(DATOS!G:G,CONFIG_METADATA!$B$4,DATOS!D:D,A197,DATOS!I:I,B197,DATOS!L:L,"N")/COUNTIFS(DATOS!G:G,CONFIG_METADATA!$B$4,DATOS!D:D,A197,DATOS!I:I,B197),"—"),"")</f>
        <v>—</v>
      </c>
      <c r="J197" t="str" cm="1">
        <f t="array" ref="J197">IF(V197="Sí",IFERROR(_xlfn.MODE.SNGL(IF((DATOS!$G$2:$G$20000=CONFIG_METADATA!$B$4)*(DATOS!$D$2:$D$20000=A197)*(DATOS!$I$2:$I$20000=B197)*(DATOS!$L$2:$L$20000="S"),DATOS!$K$2:$K$20000)),"—"),"")</f>
        <v>—</v>
      </c>
      <c r="K197" t="str" cm="1">
        <f t="array" ref="K197">IF(V197="Sí",IFERROR(_xlfn.MODE.SNGL(IF((DATOS!$G$2:$G$20000=CONFIG_METADATA!$B$4)*(DATOS!$D$2:$D$20000=A197)*(DATOS!$I$2:$I$20000=B197)*(DATOS!$L$2:$L$20000="N"),DATOS!$K$2:$K$20000)),"—"),"")</f>
        <v>—</v>
      </c>
      <c r="L197">
        <f>IF(V197="Sí",COUNTIFS(DATOS!G:G,CONFIG_METADATA!$B$4,DATOS!D:D,A197,DATOS!I:I,B197,DATOS!K:K,1),"")</f>
        <v>0</v>
      </c>
      <c r="M197">
        <f>IF(V197="Sí",COUNTIFS(DATOS!G:G,CONFIG_METADATA!$B$4,DATOS!D:D,A197,DATOS!I:I,B197,DATOS!K:K,2),"")</f>
        <v>0</v>
      </c>
      <c r="N197">
        <f>IF(V197="Sí",COUNTIFS(DATOS!G:G,CONFIG_METADATA!$B$4,DATOS!D:D,A197,DATOS!I:I,B197,DATOS!K:K,3),"")</f>
        <v>0</v>
      </c>
      <c r="O197">
        <f>IF(V197="Sí",COUNTIFS(DATOS!G:G,CONFIG_METADATA!$B$4,DATOS!D:D,A197,DATOS!I:I,B197,DATOS!K:K,4),"")</f>
        <v>0</v>
      </c>
      <c r="P197">
        <f>IF(V197="Sí",COUNTIFS(DATOS!G:G,CONFIG_METADATA!$B$4,DATOS!D:D,A197,DATOS!I:I,B197,DATOS!K:K,5),"")</f>
        <v>0</v>
      </c>
      <c r="Q197">
        <f>IF(V197="Sí",COUNTIFS(DATOS!G:G,CONFIG_METADATA!$B$4,DATOS!D:D,A197,DATOS!I:I,B197,DATOS!K:K,6),"")</f>
        <v>0</v>
      </c>
      <c r="R197">
        <f>IF(V197="Sí",COUNTIFS(DATOS!G:G,CONFIG_METADATA!$B$4,DATOS!D:D,A197,DATOS!I:I,B197,DATOS!K:K,7),"")</f>
        <v>0</v>
      </c>
      <c r="S197">
        <f>IF(V197="Sí",COUNTIFS(DATOS!G:G,CONFIG_METADATA!$B$4,DATOS!D:D,A197,DATOS!I:I,B197,DATOS!K:K,8),"")</f>
        <v>0</v>
      </c>
      <c r="T197">
        <f>IF(V197="Sí",COUNTIFS(DATOS!G:G,CONFIG_METADATA!$B$4,DATOS!D:D,A197,DATOS!I:I,B197,DATOS!K:K,9),"")</f>
        <v>0</v>
      </c>
      <c r="U197">
        <f>IF(V197="Sí",COUNTIFS(DATOS!G:G,CONFIG_METADATA!$B$4,DATOS!D:D,A197,DATOS!I:I,B197,DATOS!K:K,10),"")</f>
        <v>0</v>
      </c>
      <c r="V197" t="str">
        <f>IFERROR(IF(ISERROR(FIND(A197,VLOOKUP(B197,CONFIG_ASIGNATURAS!B:C,2,FALSE()))),"No","Sí"),"No")</f>
        <v>Sí</v>
      </c>
    </row>
    <row r="198" spans="1:22">
      <c r="A198" s="3" t="inlineStr">
        <is>
          <t xml:space="preserve">3EEM</t>
        </is>
      </c>
      <c r="B198" s="3" cm="1">
        <f t="array" ref="B198">IFERROR(INDEX(_xlfn._xlws.FILTER(CONFIG_ASIGNATURAS!$B$2:$B$61,(CONFIG_ASIGNATURAS!$G$2:$G$61="Sí")*ISNUMBER(SEARCH("3EEM",CONFIG_ASIGNATURAS!$C$2:$C$61))),5),"")</f>
      </c>
      <c r="C198" s="3">
        <f>IF(B198="","",IFERROR(IF(VLOOKUP(B198,CONFIG_ASIGNATURAS!$B$2:$F$61,5,FALSE())="Sí","Especialidad","Asignatura"),"Asignatura"))</f>
      </c>
      <c r="D198">
        <f>IF(V198="Sí",COUNTIFS(DATOS!G:G,CONFIG_METADATA!$B$4,DATOS!D:D,A198,DATOS!I:I,B198),"")</f>
        <v>0</v>
      </c>
      <c r="E198" s="14" t="str">
        <f>IF(V198="Sí",IFERROR(AVERAGEIFS(DATOS!K:K,DATOS!G:G,CONFIG_METADATA!$B$4,DATOS!D:D,A198,DATOS!I:I,B198),"—"),"")</f>
        <v>—</v>
      </c>
      <c r="F198" s="14" t="str" cm="1">
        <f t="array" ref="F198">IF(V198="Sí",IFERROR(_xlfn.STDEV.P(IF((DATOS!$G$2:$G$20000=CONFIG_METADATA!$B$4)*(DATOS!$D$2:$D$20000=A198)*(DATOS!$I$2:$I$20000=B198),DATOS!$K$2:$K$20000)),"—"),"")</f>
        <v>—</v>
      </c>
      <c r="G198" t="str" cm="1">
        <f t="array" ref="G198">IF(V198="Sí",IFERROR(_xlfn.MODE.SNGL(IF((DATOS!$G$2:$G$20000=CONFIG_METADATA!$B$4)*(DATOS!$D$2:$D$20000=A198)*(DATOS!$I$2:$I$20000=B198),DATOS!$K$2:$K$20000)),"—"),"")</f>
        <v>—</v>
      </c>
      <c r="H198" s="15" t="str">
        <f>IF(V198="Sí",IFERROR(COUNTIFS(DATOS!G:G,CONFIG_METADATA!$B$4,DATOS!D:D,A198,DATOS!I:I,B198,DATOS!L:L,"S")/COUNTIFS(DATOS!G:G,CONFIG_METADATA!$B$4,DATOS!D:D,A198,DATOS!I:I,B198),"—"),"")</f>
        <v>—</v>
      </c>
      <c r="I198" s="15" t="str">
        <f>IF(V198="Sí",IFERROR(COUNTIFS(DATOS!G:G,CONFIG_METADATA!$B$4,DATOS!D:D,A198,DATOS!I:I,B198,DATOS!L:L,"N")/COUNTIFS(DATOS!G:G,CONFIG_METADATA!$B$4,DATOS!D:D,A198,DATOS!I:I,B198),"—"),"")</f>
        <v>—</v>
      </c>
      <c r="J198" t="str" cm="1">
        <f t="array" ref="J198">IF(V198="Sí",IFERROR(_xlfn.MODE.SNGL(IF((DATOS!$G$2:$G$20000=CONFIG_METADATA!$B$4)*(DATOS!$D$2:$D$20000=A198)*(DATOS!$I$2:$I$20000=B198)*(DATOS!$L$2:$L$20000="S"),DATOS!$K$2:$K$20000)),"—"),"")</f>
        <v>—</v>
      </c>
      <c r="K198" t="str" cm="1">
        <f t="array" ref="K198">IF(V198="Sí",IFERROR(_xlfn.MODE.SNGL(IF((DATOS!$G$2:$G$20000=CONFIG_METADATA!$B$4)*(DATOS!$D$2:$D$20000=A198)*(DATOS!$I$2:$I$20000=B198)*(DATOS!$L$2:$L$20000="N"),DATOS!$K$2:$K$20000)),"—"),"")</f>
        <v>—</v>
      </c>
      <c r="L198">
        <f>IF(V198="Sí",COUNTIFS(DATOS!G:G,CONFIG_METADATA!$B$4,DATOS!D:D,A198,DATOS!I:I,B198,DATOS!K:K,1),"")</f>
        <v>0</v>
      </c>
      <c r="M198">
        <f>IF(V198="Sí",COUNTIFS(DATOS!G:G,CONFIG_METADATA!$B$4,DATOS!D:D,A198,DATOS!I:I,B198,DATOS!K:K,2),"")</f>
        <v>0</v>
      </c>
      <c r="N198">
        <f>IF(V198="Sí",COUNTIFS(DATOS!G:G,CONFIG_METADATA!$B$4,DATOS!D:D,A198,DATOS!I:I,B198,DATOS!K:K,3),"")</f>
        <v>0</v>
      </c>
      <c r="O198">
        <f>IF(V198="Sí",COUNTIFS(DATOS!G:G,CONFIG_METADATA!$B$4,DATOS!D:D,A198,DATOS!I:I,B198,DATOS!K:K,4),"")</f>
        <v>0</v>
      </c>
      <c r="P198">
        <f>IF(V198="Sí",COUNTIFS(DATOS!G:G,CONFIG_METADATA!$B$4,DATOS!D:D,A198,DATOS!I:I,B198,DATOS!K:K,5),"")</f>
        <v>0</v>
      </c>
      <c r="Q198">
        <f>IF(V198="Sí",COUNTIFS(DATOS!G:G,CONFIG_METADATA!$B$4,DATOS!D:D,A198,DATOS!I:I,B198,DATOS!K:K,6),"")</f>
        <v>0</v>
      </c>
      <c r="R198">
        <f>IF(V198="Sí",COUNTIFS(DATOS!G:G,CONFIG_METADATA!$B$4,DATOS!D:D,A198,DATOS!I:I,B198,DATOS!K:K,7),"")</f>
        <v>0</v>
      </c>
      <c r="S198">
        <f>IF(V198="Sí",COUNTIFS(DATOS!G:G,CONFIG_METADATA!$B$4,DATOS!D:D,A198,DATOS!I:I,B198,DATOS!K:K,8),"")</f>
        <v>0</v>
      </c>
      <c r="T198">
        <f>IF(V198="Sí",COUNTIFS(DATOS!G:G,CONFIG_METADATA!$B$4,DATOS!D:D,A198,DATOS!I:I,B198,DATOS!K:K,9),"")</f>
        <v>0</v>
      </c>
      <c r="U198">
        <f>IF(V198="Sí",COUNTIFS(DATOS!G:G,CONFIG_METADATA!$B$4,DATOS!D:D,A198,DATOS!I:I,B198,DATOS!K:K,10),"")</f>
        <v>0</v>
      </c>
      <c r="V198" t="str">
        <f>IFERROR(IF(ISERROR(FIND(A198,VLOOKUP(B198,CONFIG_ASIGNATURAS!B:C,2,FALSE()))),"No","Sí"),"No")</f>
        <v>Sí</v>
      </c>
    </row>
    <row r="199" spans="1:22">
      <c r="A199" s="3" t="inlineStr">
        <is>
          <t xml:space="preserve">3EEM</t>
        </is>
      </c>
      <c r="B199" s="3" cm="1">
        <f t="array" ref="B199">IFERROR(INDEX(_xlfn._xlws.FILTER(CONFIG_ASIGNATURAS!$B$2:$B$61,(CONFIG_ASIGNATURAS!$G$2:$G$61="Sí")*ISNUMBER(SEARCH("3EEM",CONFIG_ASIGNATURAS!$C$2:$C$61))),6),"")</f>
      </c>
      <c r="C199" s="3">
        <f>IF(B199="","",IFERROR(IF(VLOOKUP(B199,CONFIG_ASIGNATURAS!$B$2:$F$61,5,FALSE())="Sí","Especialidad","Asignatura"),"Asignatura"))</f>
      </c>
      <c r="D199">
        <f>IF(V199="Sí",COUNTIFS(DATOS!G:G,CONFIG_METADATA!$B$4,DATOS!D:D,A199,DATOS!I:I,B199),"")</f>
        <v>0</v>
      </c>
      <c r="E199" s="14" t="str">
        <f>IF(V199="Sí",IFERROR(AVERAGEIFS(DATOS!K:K,DATOS!G:G,CONFIG_METADATA!$B$4,DATOS!D:D,A199,DATOS!I:I,B199),"—"),"")</f>
        <v>—</v>
      </c>
      <c r="F199" s="14" t="str" cm="1">
        <f t="array" ref="F199">IF(V199="Sí",IFERROR(_xlfn.STDEV.P(IF((DATOS!$G$2:$G$20000=CONFIG_METADATA!$B$4)*(DATOS!$D$2:$D$20000=A199)*(DATOS!$I$2:$I$20000=B199),DATOS!$K$2:$K$20000)),"—"),"")</f>
        <v>—</v>
      </c>
      <c r="G199" t="str" cm="1">
        <f t="array" ref="G199">IF(V199="Sí",IFERROR(_xlfn.MODE.SNGL(IF((DATOS!$G$2:$G$20000=CONFIG_METADATA!$B$4)*(DATOS!$D$2:$D$20000=A199)*(DATOS!$I$2:$I$20000=B199),DATOS!$K$2:$K$20000)),"—"),"")</f>
        <v>—</v>
      </c>
      <c r="H199" s="15" t="str">
        <f>IF(V199="Sí",IFERROR(COUNTIFS(DATOS!G:G,CONFIG_METADATA!$B$4,DATOS!D:D,A199,DATOS!I:I,B199,DATOS!L:L,"S")/COUNTIFS(DATOS!G:G,CONFIG_METADATA!$B$4,DATOS!D:D,A199,DATOS!I:I,B199),"—"),"")</f>
        <v>—</v>
      </c>
      <c r="I199" s="15" t="str">
        <f>IF(V199="Sí",IFERROR(COUNTIFS(DATOS!G:G,CONFIG_METADATA!$B$4,DATOS!D:D,A199,DATOS!I:I,B199,DATOS!L:L,"N")/COUNTIFS(DATOS!G:G,CONFIG_METADATA!$B$4,DATOS!D:D,A199,DATOS!I:I,B199),"—"),"")</f>
        <v>—</v>
      </c>
      <c r="J199" t="str" cm="1">
        <f t="array" ref="J199">IF(V199="Sí",IFERROR(_xlfn.MODE.SNGL(IF((DATOS!$G$2:$G$20000=CONFIG_METADATA!$B$4)*(DATOS!$D$2:$D$20000=A199)*(DATOS!$I$2:$I$20000=B199)*(DATOS!$L$2:$L$20000="S"),DATOS!$K$2:$K$20000)),"—"),"")</f>
        <v>—</v>
      </c>
      <c r="K199" t="str" cm="1">
        <f t="array" ref="K199">IF(V199="Sí",IFERROR(_xlfn.MODE.SNGL(IF((DATOS!$G$2:$G$20000=CONFIG_METADATA!$B$4)*(DATOS!$D$2:$D$20000=A199)*(DATOS!$I$2:$I$20000=B199)*(DATOS!$L$2:$L$20000="N"),DATOS!$K$2:$K$20000)),"—"),"")</f>
        <v>—</v>
      </c>
      <c r="L199">
        <f>IF(V199="Sí",COUNTIFS(DATOS!G:G,CONFIG_METADATA!$B$4,DATOS!D:D,A199,DATOS!I:I,B199,DATOS!K:K,1),"")</f>
        <v>0</v>
      </c>
      <c r="M199">
        <f>IF(V199="Sí",COUNTIFS(DATOS!G:G,CONFIG_METADATA!$B$4,DATOS!D:D,A199,DATOS!I:I,B199,DATOS!K:K,2),"")</f>
        <v>0</v>
      </c>
      <c r="N199">
        <f>IF(V199="Sí",COUNTIFS(DATOS!G:G,CONFIG_METADATA!$B$4,DATOS!D:D,A199,DATOS!I:I,B199,DATOS!K:K,3),"")</f>
        <v>0</v>
      </c>
      <c r="O199">
        <f>IF(V199="Sí",COUNTIFS(DATOS!G:G,CONFIG_METADATA!$B$4,DATOS!D:D,A199,DATOS!I:I,B199,DATOS!K:K,4),"")</f>
        <v>0</v>
      </c>
      <c r="P199">
        <f>IF(V199="Sí",COUNTIFS(DATOS!G:G,CONFIG_METADATA!$B$4,DATOS!D:D,A199,DATOS!I:I,B199,DATOS!K:K,5),"")</f>
        <v>0</v>
      </c>
      <c r="Q199">
        <f>IF(V199="Sí",COUNTIFS(DATOS!G:G,CONFIG_METADATA!$B$4,DATOS!D:D,A199,DATOS!I:I,B199,DATOS!K:K,6),"")</f>
        <v>0</v>
      </c>
      <c r="R199">
        <f>IF(V199="Sí",COUNTIFS(DATOS!G:G,CONFIG_METADATA!$B$4,DATOS!D:D,A199,DATOS!I:I,B199,DATOS!K:K,7),"")</f>
        <v>0</v>
      </c>
      <c r="S199">
        <f>IF(V199="Sí",COUNTIFS(DATOS!G:G,CONFIG_METADATA!$B$4,DATOS!D:D,A199,DATOS!I:I,B199,DATOS!K:K,8),"")</f>
        <v>0</v>
      </c>
      <c r="T199">
        <f>IF(V199="Sí",COUNTIFS(DATOS!G:G,CONFIG_METADATA!$B$4,DATOS!D:D,A199,DATOS!I:I,B199,DATOS!K:K,9),"")</f>
        <v>0</v>
      </c>
      <c r="U199">
        <f>IF(V199="Sí",COUNTIFS(DATOS!G:G,CONFIG_METADATA!$B$4,DATOS!D:D,A199,DATOS!I:I,B199,DATOS!K:K,10),"")</f>
        <v>0</v>
      </c>
      <c r="V199" t="str">
        <f>IFERROR(IF(ISERROR(FIND(A199,VLOOKUP(B199,CONFIG_ASIGNATURAS!B:C,2,FALSE()))),"No","Sí"),"No")</f>
        <v>Sí</v>
      </c>
    </row>
    <row r="200" spans="1:22">
      <c r="A200" s="3" t="inlineStr">
        <is>
          <t xml:space="preserve">3EEM</t>
        </is>
      </c>
      <c r="B200" s="3" cm="1">
        <f t="array" ref="B200">IFERROR(INDEX(_xlfn._xlws.FILTER(CONFIG_ASIGNATURAS!$B$2:$B$61,(CONFIG_ASIGNATURAS!$G$2:$G$61="Sí")*ISNUMBER(SEARCH("3EEM",CONFIG_ASIGNATURAS!$C$2:$C$61))),7),"")</f>
      </c>
      <c r="C200" s="3">
        <f>IF(B200="","",IFERROR(IF(VLOOKUP(B200,CONFIG_ASIGNATURAS!$B$2:$F$61,5,FALSE())="Sí","Especialidad","Asignatura"),"Asignatura"))</f>
      </c>
      <c r="D200">
        <f>IF(V200="Sí",COUNTIFS(DATOS!G:G,CONFIG_METADATA!$B$4,DATOS!D:D,A200,DATOS!I:I,B200),"")</f>
        <v>0</v>
      </c>
      <c r="E200" s="14" t="str">
        <f>IF(V200="Sí",IFERROR(AVERAGEIFS(DATOS!K:K,DATOS!G:G,CONFIG_METADATA!$B$4,DATOS!D:D,A200,DATOS!I:I,B200),"—"),"")</f>
        <v>—</v>
      </c>
      <c r="F200" s="14" t="str" cm="1">
        <f t="array" ref="F200">IF(V200="Sí",IFERROR(_xlfn.STDEV.P(IF((DATOS!$G$2:$G$20000=CONFIG_METADATA!$B$4)*(DATOS!$D$2:$D$20000=A200)*(DATOS!$I$2:$I$20000=B200),DATOS!$K$2:$K$20000)),"—"),"")</f>
        <v>—</v>
      </c>
      <c r="G200" t="str" cm="1">
        <f t="array" ref="G200">IF(V200="Sí",IFERROR(_xlfn.MODE.SNGL(IF((DATOS!$G$2:$G$20000=CONFIG_METADATA!$B$4)*(DATOS!$D$2:$D$20000=A200)*(DATOS!$I$2:$I$20000=B200),DATOS!$K$2:$K$20000)),"—"),"")</f>
        <v>—</v>
      </c>
      <c r="H200" s="15" t="str">
        <f>IF(V200="Sí",IFERROR(COUNTIFS(DATOS!G:G,CONFIG_METADATA!$B$4,DATOS!D:D,A200,DATOS!I:I,B200,DATOS!L:L,"S")/COUNTIFS(DATOS!G:G,CONFIG_METADATA!$B$4,DATOS!D:D,A200,DATOS!I:I,B200),"—"),"")</f>
        <v>—</v>
      </c>
      <c r="I200" s="15" t="str">
        <f>IF(V200="Sí",IFERROR(COUNTIFS(DATOS!G:G,CONFIG_METADATA!$B$4,DATOS!D:D,A200,DATOS!I:I,B200,DATOS!L:L,"N")/COUNTIFS(DATOS!G:G,CONFIG_METADATA!$B$4,DATOS!D:D,A200,DATOS!I:I,B200),"—"),"")</f>
        <v>—</v>
      </c>
      <c r="J200" t="str" cm="1">
        <f t="array" ref="J200">IF(V200="Sí",IFERROR(_xlfn.MODE.SNGL(IF((DATOS!$G$2:$G$20000=CONFIG_METADATA!$B$4)*(DATOS!$D$2:$D$20000=A200)*(DATOS!$I$2:$I$20000=B200)*(DATOS!$L$2:$L$20000="S"),DATOS!$K$2:$K$20000)),"—"),"")</f>
        <v>—</v>
      </c>
      <c r="K200" t="str" cm="1">
        <f t="array" ref="K200">IF(V200="Sí",IFERROR(_xlfn.MODE.SNGL(IF((DATOS!$G$2:$G$20000=CONFIG_METADATA!$B$4)*(DATOS!$D$2:$D$20000=A200)*(DATOS!$I$2:$I$20000=B200)*(DATOS!$L$2:$L$20000="N"),DATOS!$K$2:$K$20000)),"—"),"")</f>
        <v>—</v>
      </c>
      <c r="L200">
        <f>IF(V200="Sí",COUNTIFS(DATOS!G:G,CONFIG_METADATA!$B$4,DATOS!D:D,A200,DATOS!I:I,B200,DATOS!K:K,1),"")</f>
        <v>0</v>
      </c>
      <c r="M200">
        <f>IF(V200="Sí",COUNTIFS(DATOS!G:G,CONFIG_METADATA!$B$4,DATOS!D:D,A200,DATOS!I:I,B200,DATOS!K:K,2),"")</f>
        <v>0</v>
      </c>
      <c r="N200">
        <f>IF(V200="Sí",COUNTIFS(DATOS!G:G,CONFIG_METADATA!$B$4,DATOS!D:D,A200,DATOS!I:I,B200,DATOS!K:K,3),"")</f>
        <v>0</v>
      </c>
      <c r="O200">
        <f>IF(V200="Sí",COUNTIFS(DATOS!G:G,CONFIG_METADATA!$B$4,DATOS!D:D,A200,DATOS!I:I,B200,DATOS!K:K,4),"")</f>
        <v>0</v>
      </c>
      <c r="P200">
        <f>IF(V200="Sí",COUNTIFS(DATOS!G:G,CONFIG_METADATA!$B$4,DATOS!D:D,A200,DATOS!I:I,B200,DATOS!K:K,5),"")</f>
        <v>0</v>
      </c>
      <c r="Q200">
        <f>IF(V200="Sí",COUNTIFS(DATOS!G:G,CONFIG_METADATA!$B$4,DATOS!D:D,A200,DATOS!I:I,B200,DATOS!K:K,6),"")</f>
        <v>0</v>
      </c>
      <c r="R200">
        <f>IF(V200="Sí",COUNTIFS(DATOS!G:G,CONFIG_METADATA!$B$4,DATOS!D:D,A200,DATOS!I:I,B200,DATOS!K:K,7),"")</f>
        <v>0</v>
      </c>
      <c r="S200">
        <f>IF(V200="Sí",COUNTIFS(DATOS!G:G,CONFIG_METADATA!$B$4,DATOS!D:D,A200,DATOS!I:I,B200,DATOS!K:K,8),"")</f>
        <v>0</v>
      </c>
      <c r="T200">
        <f>IF(V200="Sí",COUNTIFS(DATOS!G:G,CONFIG_METADATA!$B$4,DATOS!D:D,A200,DATOS!I:I,B200,DATOS!K:K,9),"")</f>
        <v>0</v>
      </c>
      <c r="U200">
        <f>IF(V200="Sí",COUNTIFS(DATOS!G:G,CONFIG_METADATA!$B$4,DATOS!D:D,A200,DATOS!I:I,B200,DATOS!K:K,10),"")</f>
        <v>0</v>
      </c>
      <c r="V200" t="str">
        <f>IFERROR(IF(ISERROR(FIND(A200,VLOOKUP(B200,CONFIG_ASIGNATURAS!B:C,2,FALSE()))),"No","Sí"),"No")</f>
        <v>Sí</v>
      </c>
    </row>
    <row r="201" spans="1:22">
      <c r="A201" s="3" t="inlineStr">
        <is>
          <t xml:space="preserve">3EEM</t>
        </is>
      </c>
      <c r="B201" s="3" cm="1">
        <f t="array" ref="B201">IFERROR(INDEX(_xlfn._xlws.FILTER(CONFIG_ASIGNATURAS!$B$2:$B$61,(CONFIG_ASIGNATURAS!$G$2:$G$61="Sí")*ISNUMBER(SEARCH("3EEM",CONFIG_ASIGNATURAS!$C$2:$C$61))),8),"")</f>
      </c>
      <c r="C201" s="3">
        <f>IF(B201="","",IFERROR(IF(VLOOKUP(B201,CONFIG_ASIGNATURAS!$B$2:$F$61,5,FALSE())="Sí","Especialidad","Asignatura"),"Asignatura"))</f>
      </c>
      <c r="D201">
        <f>IF(V201="Sí",COUNTIFS(DATOS!G:G,CONFIG_METADATA!$B$4,DATOS!D:D,A201,DATOS!I:I,B201),"")</f>
        <v>0</v>
      </c>
      <c r="E201" s="14" t="str">
        <f>IF(V201="Sí",IFERROR(AVERAGEIFS(DATOS!K:K,DATOS!G:G,CONFIG_METADATA!$B$4,DATOS!D:D,A201,DATOS!I:I,B201),"—"),"")</f>
        <v>—</v>
      </c>
      <c r="F201" s="14" t="str" cm="1">
        <f t="array" ref="F201">IF(V201="Sí",IFERROR(_xlfn.STDEV.P(IF((DATOS!$G$2:$G$20000=CONFIG_METADATA!$B$4)*(DATOS!$D$2:$D$20000=A201)*(DATOS!$I$2:$I$20000=B201),DATOS!$K$2:$K$20000)),"—"),"")</f>
        <v>—</v>
      </c>
      <c r="G201" t="str" cm="1">
        <f t="array" ref="G201">IF(V201="Sí",IFERROR(_xlfn.MODE.SNGL(IF((DATOS!$G$2:$G$20000=CONFIG_METADATA!$B$4)*(DATOS!$D$2:$D$20000=A201)*(DATOS!$I$2:$I$20000=B201),DATOS!$K$2:$K$20000)),"—"),"")</f>
        <v>—</v>
      </c>
      <c r="H201" s="15" t="str">
        <f>IF(V201="Sí",IFERROR(COUNTIFS(DATOS!G:G,CONFIG_METADATA!$B$4,DATOS!D:D,A201,DATOS!I:I,B201,DATOS!L:L,"S")/COUNTIFS(DATOS!G:G,CONFIG_METADATA!$B$4,DATOS!D:D,A201,DATOS!I:I,B201),"—"),"")</f>
        <v>—</v>
      </c>
      <c r="I201" s="15" t="str">
        <f>IF(V201="Sí",IFERROR(COUNTIFS(DATOS!G:G,CONFIG_METADATA!$B$4,DATOS!D:D,A201,DATOS!I:I,B201,DATOS!L:L,"N")/COUNTIFS(DATOS!G:G,CONFIG_METADATA!$B$4,DATOS!D:D,A201,DATOS!I:I,B201),"—"),"")</f>
        <v>—</v>
      </c>
      <c r="J201" t="str" cm="1">
        <f t="array" ref="J201">IF(V201="Sí",IFERROR(_xlfn.MODE.SNGL(IF((DATOS!$G$2:$G$20000=CONFIG_METADATA!$B$4)*(DATOS!$D$2:$D$20000=A201)*(DATOS!$I$2:$I$20000=B201)*(DATOS!$L$2:$L$20000="S"),DATOS!$K$2:$K$20000)),"—"),"")</f>
        <v>—</v>
      </c>
      <c r="K201" t="str" cm="1">
        <f t="array" ref="K201">IF(V201="Sí",IFERROR(_xlfn.MODE.SNGL(IF((DATOS!$G$2:$G$20000=CONFIG_METADATA!$B$4)*(DATOS!$D$2:$D$20000=A201)*(DATOS!$I$2:$I$20000=B201)*(DATOS!$L$2:$L$20000="N"),DATOS!$K$2:$K$20000)),"—"),"")</f>
        <v>—</v>
      </c>
      <c r="L201">
        <f>IF(V201="Sí",COUNTIFS(DATOS!G:G,CONFIG_METADATA!$B$4,DATOS!D:D,A201,DATOS!I:I,B201,DATOS!K:K,1),"")</f>
        <v>0</v>
      </c>
      <c r="M201">
        <f>IF(V201="Sí",COUNTIFS(DATOS!G:G,CONFIG_METADATA!$B$4,DATOS!D:D,A201,DATOS!I:I,B201,DATOS!K:K,2),"")</f>
        <v>0</v>
      </c>
      <c r="N201">
        <f>IF(V201="Sí",COUNTIFS(DATOS!G:G,CONFIG_METADATA!$B$4,DATOS!D:D,A201,DATOS!I:I,B201,DATOS!K:K,3),"")</f>
        <v>0</v>
      </c>
      <c r="O201">
        <f>IF(V201="Sí",COUNTIFS(DATOS!G:G,CONFIG_METADATA!$B$4,DATOS!D:D,A201,DATOS!I:I,B201,DATOS!K:K,4),"")</f>
        <v>0</v>
      </c>
      <c r="P201">
        <f>IF(V201="Sí",COUNTIFS(DATOS!G:G,CONFIG_METADATA!$B$4,DATOS!D:D,A201,DATOS!I:I,B201,DATOS!K:K,5),"")</f>
        <v>0</v>
      </c>
      <c r="Q201">
        <f>IF(V201="Sí",COUNTIFS(DATOS!G:G,CONFIG_METADATA!$B$4,DATOS!D:D,A201,DATOS!I:I,B201,DATOS!K:K,6),"")</f>
        <v>0</v>
      </c>
      <c r="R201">
        <f>IF(V201="Sí",COUNTIFS(DATOS!G:G,CONFIG_METADATA!$B$4,DATOS!D:D,A201,DATOS!I:I,B201,DATOS!K:K,7),"")</f>
        <v>0</v>
      </c>
      <c r="S201">
        <f>IF(V201="Sí",COUNTIFS(DATOS!G:G,CONFIG_METADATA!$B$4,DATOS!D:D,A201,DATOS!I:I,B201,DATOS!K:K,8),"")</f>
        <v>0</v>
      </c>
      <c r="T201">
        <f>IF(V201="Sí",COUNTIFS(DATOS!G:G,CONFIG_METADATA!$B$4,DATOS!D:D,A201,DATOS!I:I,B201,DATOS!K:K,9),"")</f>
        <v>0</v>
      </c>
      <c r="U201">
        <f>IF(V201="Sí",COUNTIFS(DATOS!G:G,CONFIG_METADATA!$B$4,DATOS!D:D,A201,DATOS!I:I,B201,DATOS!K:K,10),"")</f>
        <v>0</v>
      </c>
      <c r="V201" t="str">
        <f>IFERROR(IF(ISERROR(FIND(A201,VLOOKUP(B201,CONFIG_ASIGNATURAS!B:C,2,FALSE()))),"No","Sí"),"No")</f>
        <v>Sí</v>
      </c>
    </row>
    <row r="202" spans="1:22">
      <c r="A202" s="3" t="inlineStr">
        <is>
          <t xml:space="preserve">3EEM</t>
        </is>
      </c>
      <c r="B202" s="3" cm="1">
        <f t="array" ref="B202">IFERROR(INDEX(_xlfn._xlws.FILTER(CONFIG_ASIGNATURAS!$B$2:$B$61,(CONFIG_ASIGNATURAS!$G$2:$G$61="Sí")*ISNUMBER(SEARCH("3EEM",CONFIG_ASIGNATURAS!$C$2:$C$61))),9),"")</f>
      </c>
      <c r="C202" s="3">
        <f>IF(B202="","",IFERROR(IF(VLOOKUP(B202,CONFIG_ASIGNATURAS!$B$2:$F$61,5,FALSE())="Sí","Especialidad","Asignatura"),"Asignatura"))</f>
      </c>
      <c r="D202">
        <f>IF(V202="Sí",COUNTIFS(DATOS!G:G,CONFIG_METADATA!$B$4,DATOS!D:D,A202,DATOS!I:I,B202),"")</f>
        <v>0</v>
      </c>
      <c r="E202" s="14" t="str">
        <f>IF(V202="Sí",IFERROR(AVERAGEIFS(DATOS!K:K,DATOS!G:G,CONFIG_METADATA!$B$4,DATOS!D:D,A202,DATOS!I:I,B202),"—"),"")</f>
        <v>—</v>
      </c>
      <c r="F202" s="14" t="str" cm="1">
        <f t="array" ref="F202">IF(V202="Sí",IFERROR(_xlfn.STDEV.P(IF((DATOS!$G$2:$G$20000=CONFIG_METADATA!$B$4)*(DATOS!$D$2:$D$20000=A202)*(DATOS!$I$2:$I$20000=B202),DATOS!$K$2:$K$20000)),"—"),"")</f>
        <v>—</v>
      </c>
      <c r="G202" t="str" cm="1">
        <f t="array" ref="G202">IF(V202="Sí",IFERROR(_xlfn.MODE.SNGL(IF((DATOS!$G$2:$G$20000=CONFIG_METADATA!$B$4)*(DATOS!$D$2:$D$20000=A202)*(DATOS!$I$2:$I$20000=B202),DATOS!$K$2:$K$20000)),"—"),"")</f>
        <v>—</v>
      </c>
      <c r="H202" s="15" t="str">
        <f>IF(V202="Sí",IFERROR(COUNTIFS(DATOS!G:G,CONFIG_METADATA!$B$4,DATOS!D:D,A202,DATOS!I:I,B202,DATOS!L:L,"S")/COUNTIFS(DATOS!G:G,CONFIG_METADATA!$B$4,DATOS!D:D,A202,DATOS!I:I,B202),"—"),"")</f>
        <v>—</v>
      </c>
      <c r="I202" s="15" t="str">
        <f>IF(V202="Sí",IFERROR(COUNTIFS(DATOS!G:G,CONFIG_METADATA!$B$4,DATOS!D:D,A202,DATOS!I:I,B202,DATOS!L:L,"N")/COUNTIFS(DATOS!G:G,CONFIG_METADATA!$B$4,DATOS!D:D,A202,DATOS!I:I,B202),"—"),"")</f>
        <v>—</v>
      </c>
      <c r="J202" t="str" cm="1">
        <f t="array" ref="J202">IF(V202="Sí",IFERROR(_xlfn.MODE.SNGL(IF((DATOS!$G$2:$G$20000=CONFIG_METADATA!$B$4)*(DATOS!$D$2:$D$20000=A202)*(DATOS!$I$2:$I$20000=B202)*(DATOS!$L$2:$L$20000="S"),DATOS!$K$2:$K$20000)),"—"),"")</f>
        <v>—</v>
      </c>
      <c r="K202" t="str" cm="1">
        <f t="array" ref="K202">IF(V202="Sí",IFERROR(_xlfn.MODE.SNGL(IF((DATOS!$G$2:$G$20000=CONFIG_METADATA!$B$4)*(DATOS!$D$2:$D$20000=A202)*(DATOS!$I$2:$I$20000=B202)*(DATOS!$L$2:$L$20000="N"),DATOS!$K$2:$K$20000)),"—"),"")</f>
        <v>—</v>
      </c>
      <c r="L202">
        <f>IF(V202="Sí",COUNTIFS(DATOS!G:G,CONFIG_METADATA!$B$4,DATOS!D:D,A202,DATOS!I:I,B202,DATOS!K:K,1),"")</f>
        <v>0</v>
      </c>
      <c r="M202">
        <f>IF(V202="Sí",COUNTIFS(DATOS!G:G,CONFIG_METADATA!$B$4,DATOS!D:D,A202,DATOS!I:I,B202,DATOS!K:K,2),"")</f>
        <v>0</v>
      </c>
      <c r="N202">
        <f>IF(V202="Sí",COUNTIFS(DATOS!G:G,CONFIG_METADATA!$B$4,DATOS!D:D,A202,DATOS!I:I,B202,DATOS!K:K,3),"")</f>
        <v>0</v>
      </c>
      <c r="O202">
        <f>IF(V202="Sí",COUNTIFS(DATOS!G:G,CONFIG_METADATA!$B$4,DATOS!D:D,A202,DATOS!I:I,B202,DATOS!K:K,4),"")</f>
        <v>0</v>
      </c>
      <c r="P202">
        <f>IF(V202="Sí",COUNTIFS(DATOS!G:G,CONFIG_METADATA!$B$4,DATOS!D:D,A202,DATOS!I:I,B202,DATOS!K:K,5),"")</f>
        <v>0</v>
      </c>
      <c r="Q202">
        <f>IF(V202="Sí",COUNTIFS(DATOS!G:G,CONFIG_METADATA!$B$4,DATOS!D:D,A202,DATOS!I:I,B202,DATOS!K:K,6),"")</f>
        <v>0</v>
      </c>
      <c r="R202">
        <f>IF(V202="Sí",COUNTIFS(DATOS!G:G,CONFIG_METADATA!$B$4,DATOS!D:D,A202,DATOS!I:I,B202,DATOS!K:K,7),"")</f>
        <v>0</v>
      </c>
      <c r="S202">
        <f>IF(V202="Sí",COUNTIFS(DATOS!G:G,CONFIG_METADATA!$B$4,DATOS!D:D,A202,DATOS!I:I,B202,DATOS!K:K,8),"")</f>
        <v>0</v>
      </c>
      <c r="T202">
        <f>IF(V202="Sí",COUNTIFS(DATOS!G:G,CONFIG_METADATA!$B$4,DATOS!D:D,A202,DATOS!I:I,B202,DATOS!K:K,9),"")</f>
        <v>0</v>
      </c>
      <c r="U202">
        <f>IF(V202="Sí",COUNTIFS(DATOS!G:G,CONFIG_METADATA!$B$4,DATOS!D:D,A202,DATOS!I:I,B202,DATOS!K:K,10),"")</f>
        <v>0</v>
      </c>
      <c r="V202" t="str">
        <f>IFERROR(IF(ISERROR(FIND(A202,VLOOKUP(B202,CONFIG_ASIGNATURAS!B:C,2,FALSE()))),"No","Sí"),"No")</f>
        <v>Sí</v>
      </c>
    </row>
    <row r="203" spans="1:22">
      <c r="A203" s="3" t="inlineStr">
        <is>
          <t xml:space="preserve">3EEM</t>
        </is>
      </c>
      <c r="B203" s="3" cm="1">
        <f t="array" ref="B203">IFERROR(INDEX(_xlfn._xlws.FILTER(CONFIG_ASIGNATURAS!$B$2:$B$61,(CONFIG_ASIGNATURAS!$G$2:$G$61="Sí")*ISNUMBER(SEARCH("3EEM",CONFIG_ASIGNATURAS!$C$2:$C$61))),10),"")</f>
      </c>
      <c r="C203" s="3">
        <f>IF(B203="","",IFERROR(IF(VLOOKUP(B203,CONFIG_ASIGNATURAS!$B$2:$F$61,5,FALSE())="Sí","Especialidad","Asignatura"),"Asignatura"))</f>
      </c>
      <c r="D203">
        <f>IF(V203="Sí",COUNTIFS(DATOS!G:G,CONFIG_METADATA!$B$4,DATOS!D:D,A203,DATOS!I:I,B203),"")</f>
        <v>0</v>
      </c>
      <c r="E203" s="14" t="str">
        <f>IF(V203="Sí",IFERROR(AVERAGEIFS(DATOS!K:K,DATOS!G:G,CONFIG_METADATA!$B$4,DATOS!D:D,A203,DATOS!I:I,B203),"—"),"")</f>
        <v>—</v>
      </c>
      <c r="F203" s="14" t="str" cm="1">
        <f t="array" ref="F203">IF(V203="Sí",IFERROR(_xlfn.STDEV.P(IF((DATOS!$G$2:$G$20000=CONFIG_METADATA!$B$4)*(DATOS!$D$2:$D$20000=A203)*(DATOS!$I$2:$I$20000=B203),DATOS!$K$2:$K$20000)),"—"),"")</f>
        <v>—</v>
      </c>
      <c r="G203" t="str" cm="1">
        <f t="array" ref="G203">IF(V203="Sí",IFERROR(_xlfn.MODE.SNGL(IF((DATOS!$G$2:$G$20000=CONFIG_METADATA!$B$4)*(DATOS!$D$2:$D$20000=A203)*(DATOS!$I$2:$I$20000=B203),DATOS!$K$2:$K$20000)),"—"),"")</f>
        <v>—</v>
      </c>
      <c r="H203" s="15" t="str">
        <f>IF(V203="Sí",IFERROR(COUNTIFS(DATOS!G:G,CONFIG_METADATA!$B$4,DATOS!D:D,A203,DATOS!I:I,B203,DATOS!L:L,"S")/COUNTIFS(DATOS!G:G,CONFIG_METADATA!$B$4,DATOS!D:D,A203,DATOS!I:I,B203),"—"),"")</f>
        <v>—</v>
      </c>
      <c r="I203" s="15" t="str">
        <f>IF(V203="Sí",IFERROR(COUNTIFS(DATOS!G:G,CONFIG_METADATA!$B$4,DATOS!D:D,A203,DATOS!I:I,B203,DATOS!L:L,"N")/COUNTIFS(DATOS!G:G,CONFIG_METADATA!$B$4,DATOS!D:D,A203,DATOS!I:I,B203),"—"),"")</f>
        <v>—</v>
      </c>
      <c r="J203" t="str" cm="1">
        <f t="array" ref="J203">IF(V203="Sí",IFERROR(_xlfn.MODE.SNGL(IF((DATOS!$G$2:$G$20000=CONFIG_METADATA!$B$4)*(DATOS!$D$2:$D$20000=A203)*(DATOS!$I$2:$I$20000=B203)*(DATOS!$L$2:$L$20000="S"),DATOS!$K$2:$K$20000)),"—"),"")</f>
        <v>—</v>
      </c>
      <c r="K203" t="str" cm="1">
        <f t="array" ref="K203">IF(V203="Sí",IFERROR(_xlfn.MODE.SNGL(IF((DATOS!$G$2:$G$20000=CONFIG_METADATA!$B$4)*(DATOS!$D$2:$D$20000=A203)*(DATOS!$I$2:$I$20000=B203)*(DATOS!$L$2:$L$20000="N"),DATOS!$K$2:$K$20000)),"—"),"")</f>
        <v>—</v>
      </c>
      <c r="L203">
        <f>IF(V203="Sí",COUNTIFS(DATOS!G:G,CONFIG_METADATA!$B$4,DATOS!D:D,A203,DATOS!I:I,B203,DATOS!K:K,1),"")</f>
        <v>0</v>
      </c>
      <c r="M203">
        <f>IF(V203="Sí",COUNTIFS(DATOS!G:G,CONFIG_METADATA!$B$4,DATOS!D:D,A203,DATOS!I:I,B203,DATOS!K:K,2),"")</f>
        <v>0</v>
      </c>
      <c r="N203">
        <f>IF(V203="Sí",COUNTIFS(DATOS!G:G,CONFIG_METADATA!$B$4,DATOS!D:D,A203,DATOS!I:I,B203,DATOS!K:K,3),"")</f>
        <v>0</v>
      </c>
      <c r="O203">
        <f>IF(V203="Sí",COUNTIFS(DATOS!G:G,CONFIG_METADATA!$B$4,DATOS!D:D,A203,DATOS!I:I,B203,DATOS!K:K,4),"")</f>
        <v>0</v>
      </c>
      <c r="P203">
        <f>IF(V203="Sí",COUNTIFS(DATOS!G:G,CONFIG_METADATA!$B$4,DATOS!D:D,A203,DATOS!I:I,B203,DATOS!K:K,5),"")</f>
        <v>0</v>
      </c>
      <c r="Q203">
        <f>IF(V203="Sí",COUNTIFS(DATOS!G:G,CONFIG_METADATA!$B$4,DATOS!D:D,A203,DATOS!I:I,B203,DATOS!K:K,6),"")</f>
        <v>0</v>
      </c>
      <c r="R203">
        <f>IF(V203="Sí",COUNTIFS(DATOS!G:G,CONFIG_METADATA!$B$4,DATOS!D:D,A203,DATOS!I:I,B203,DATOS!K:K,7),"")</f>
        <v>0</v>
      </c>
      <c r="S203">
        <f>IF(V203="Sí",COUNTIFS(DATOS!G:G,CONFIG_METADATA!$B$4,DATOS!D:D,A203,DATOS!I:I,B203,DATOS!K:K,8),"")</f>
        <v>0</v>
      </c>
      <c r="T203">
        <f>IF(V203="Sí",COUNTIFS(DATOS!G:G,CONFIG_METADATA!$B$4,DATOS!D:D,A203,DATOS!I:I,B203,DATOS!K:K,9),"")</f>
        <v>0</v>
      </c>
      <c r="U203">
        <f>IF(V203="Sí",COUNTIFS(DATOS!G:G,CONFIG_METADATA!$B$4,DATOS!D:D,A203,DATOS!I:I,B203,DATOS!K:K,10),"")</f>
        <v>0</v>
      </c>
      <c r="V203" t="str">
        <f>IFERROR(IF(ISERROR(FIND(A203,VLOOKUP(B203,CONFIG_ASIGNATURAS!B:C,2,FALSE()))),"No","Sí"),"No")</f>
        <v>Sí</v>
      </c>
    </row>
    <row r="204" spans="1:22">
      <c r="A204" s="3" t="inlineStr">
        <is>
          <t xml:space="preserve">3EEM</t>
        </is>
      </c>
      <c r="B204" s="3" cm="1">
        <f t="array" ref="B204">IFERROR(INDEX(_xlfn._xlws.FILTER(CONFIG_ASIGNATURAS!$B$2:$B$61,(CONFIG_ASIGNATURAS!$G$2:$G$61="Sí")*ISNUMBER(SEARCH("3EEM",CONFIG_ASIGNATURAS!$C$2:$C$61))),11),"")</f>
      </c>
      <c r="C204" s="3">
        <f>IF(B204="","",IFERROR(IF(VLOOKUP(B204,CONFIG_ASIGNATURAS!$B$2:$F$61,5,FALSE())="Sí","Especialidad","Asignatura"),"Asignatura"))</f>
      </c>
      <c r="D204">
        <f>IF(V204="Sí",COUNTIFS(DATOS!G:G,CONFIG_METADATA!$B$4,DATOS!D:D,A204,DATOS!I:I,B204),"")</f>
        <v>0</v>
      </c>
      <c r="E204" s="14" t="str">
        <f>IF(V204="Sí",IFERROR(AVERAGEIFS(DATOS!K:K,DATOS!G:G,CONFIG_METADATA!$B$4,DATOS!D:D,A204,DATOS!I:I,B204),"—"),"")</f>
        <v>—</v>
      </c>
      <c r="F204" s="14" t="str" cm="1">
        <f t="array" ref="F204">IF(V204="Sí",IFERROR(_xlfn.STDEV.P(IF((DATOS!$G$2:$G$20000=CONFIG_METADATA!$B$4)*(DATOS!$D$2:$D$20000=A204)*(DATOS!$I$2:$I$20000=B204),DATOS!$K$2:$K$20000)),"—"),"")</f>
        <v>—</v>
      </c>
      <c r="G204" t="str" cm="1">
        <f t="array" ref="G204">IF(V204="Sí",IFERROR(_xlfn.MODE.SNGL(IF((DATOS!$G$2:$G$20000=CONFIG_METADATA!$B$4)*(DATOS!$D$2:$D$20000=A204)*(DATOS!$I$2:$I$20000=B204),DATOS!$K$2:$K$20000)),"—"),"")</f>
        <v>—</v>
      </c>
      <c r="H204" s="15" t="str">
        <f>IF(V204="Sí",IFERROR(COUNTIFS(DATOS!G:G,CONFIG_METADATA!$B$4,DATOS!D:D,A204,DATOS!I:I,B204,DATOS!L:L,"S")/COUNTIFS(DATOS!G:G,CONFIG_METADATA!$B$4,DATOS!D:D,A204,DATOS!I:I,B204),"—"),"")</f>
        <v>—</v>
      </c>
      <c r="I204" s="15" t="str">
        <f>IF(V204="Sí",IFERROR(COUNTIFS(DATOS!G:G,CONFIG_METADATA!$B$4,DATOS!D:D,A204,DATOS!I:I,B204,DATOS!L:L,"N")/COUNTIFS(DATOS!G:G,CONFIG_METADATA!$B$4,DATOS!D:D,A204,DATOS!I:I,B204),"—"),"")</f>
        <v>—</v>
      </c>
      <c r="J204" t="str" cm="1">
        <f t="array" ref="J204">IF(V204="Sí",IFERROR(_xlfn.MODE.SNGL(IF((DATOS!$G$2:$G$20000=CONFIG_METADATA!$B$4)*(DATOS!$D$2:$D$20000=A204)*(DATOS!$I$2:$I$20000=B204)*(DATOS!$L$2:$L$20000="S"),DATOS!$K$2:$K$20000)),"—"),"")</f>
        <v>—</v>
      </c>
      <c r="K204" t="str" cm="1">
        <f t="array" ref="K204">IF(V204="Sí",IFERROR(_xlfn.MODE.SNGL(IF((DATOS!$G$2:$G$20000=CONFIG_METADATA!$B$4)*(DATOS!$D$2:$D$20000=A204)*(DATOS!$I$2:$I$20000=B204)*(DATOS!$L$2:$L$20000="N"),DATOS!$K$2:$K$20000)),"—"),"")</f>
        <v>—</v>
      </c>
      <c r="L204">
        <f>IF(V204="Sí",COUNTIFS(DATOS!G:G,CONFIG_METADATA!$B$4,DATOS!D:D,A204,DATOS!I:I,B204,DATOS!K:K,1),"")</f>
        <v>0</v>
      </c>
      <c r="M204">
        <f>IF(V204="Sí",COUNTIFS(DATOS!G:G,CONFIG_METADATA!$B$4,DATOS!D:D,A204,DATOS!I:I,B204,DATOS!K:K,2),"")</f>
        <v>0</v>
      </c>
      <c r="N204">
        <f>IF(V204="Sí",COUNTIFS(DATOS!G:G,CONFIG_METADATA!$B$4,DATOS!D:D,A204,DATOS!I:I,B204,DATOS!K:K,3),"")</f>
        <v>0</v>
      </c>
      <c r="O204">
        <f>IF(V204="Sí",COUNTIFS(DATOS!G:G,CONFIG_METADATA!$B$4,DATOS!D:D,A204,DATOS!I:I,B204,DATOS!K:K,4),"")</f>
        <v>0</v>
      </c>
      <c r="P204">
        <f>IF(V204="Sí",COUNTIFS(DATOS!G:G,CONFIG_METADATA!$B$4,DATOS!D:D,A204,DATOS!I:I,B204,DATOS!K:K,5),"")</f>
        <v>0</v>
      </c>
      <c r="Q204">
        <f>IF(V204="Sí",COUNTIFS(DATOS!G:G,CONFIG_METADATA!$B$4,DATOS!D:D,A204,DATOS!I:I,B204,DATOS!K:K,6),"")</f>
        <v>0</v>
      </c>
      <c r="R204">
        <f>IF(V204="Sí",COUNTIFS(DATOS!G:G,CONFIG_METADATA!$B$4,DATOS!D:D,A204,DATOS!I:I,B204,DATOS!K:K,7),"")</f>
        <v>0</v>
      </c>
      <c r="S204">
        <f>IF(V204="Sí",COUNTIFS(DATOS!G:G,CONFIG_METADATA!$B$4,DATOS!D:D,A204,DATOS!I:I,B204,DATOS!K:K,8),"")</f>
        <v>0</v>
      </c>
      <c r="T204">
        <f>IF(V204="Sí",COUNTIFS(DATOS!G:G,CONFIG_METADATA!$B$4,DATOS!D:D,A204,DATOS!I:I,B204,DATOS!K:K,9),"")</f>
        <v>0</v>
      </c>
      <c r="U204">
        <f>IF(V204="Sí",COUNTIFS(DATOS!G:G,CONFIG_METADATA!$B$4,DATOS!D:D,A204,DATOS!I:I,B204,DATOS!K:K,10),"")</f>
        <v>0</v>
      </c>
      <c r="V204" t="str">
        <f>IFERROR(IF(ISERROR(FIND(A204,VLOOKUP(B204,CONFIG_ASIGNATURAS!B:C,2,FALSE()))),"No","Sí"),"No")</f>
        <v>Sí</v>
      </c>
    </row>
    <row r="205" spans="1:22">
      <c r="A205" s="3" t="inlineStr">
        <is>
          <t xml:space="preserve">3EEM</t>
        </is>
      </c>
      <c r="B205" s="3" cm="1">
        <f t="array" ref="B205">IFERROR(INDEX(_xlfn._xlws.FILTER(CONFIG_ASIGNATURAS!$B$2:$B$61,(CONFIG_ASIGNATURAS!$G$2:$G$61="Sí")*ISNUMBER(SEARCH("3EEM",CONFIG_ASIGNATURAS!$C$2:$C$61))),12),"")</f>
      </c>
      <c r="C205" s="3">
        <f>IF(B205="","",IFERROR(IF(VLOOKUP(B205,CONFIG_ASIGNATURAS!$B$2:$F$61,5,FALSE())="Sí","Especialidad","Asignatura"),"Asignatura"))</f>
      </c>
      <c r="D205">
        <f>IF(V205="Sí",COUNTIFS(DATOS!G:G,CONFIG_METADATA!$B$4,DATOS!D:D,A205,DATOS!I:I,B205),"")</f>
        <v>0</v>
      </c>
      <c r="E205" s="14" t="str">
        <f>IF(V205="Sí",IFERROR(AVERAGEIFS(DATOS!K:K,DATOS!G:G,CONFIG_METADATA!$B$4,DATOS!D:D,A205,DATOS!I:I,B205),"—"),"")</f>
        <v>—</v>
      </c>
      <c r="F205" s="14" t="str" cm="1">
        <f t="array" ref="F205">IF(V205="Sí",IFERROR(_xlfn.STDEV.P(IF((DATOS!$G$2:$G$20000=CONFIG_METADATA!$B$4)*(DATOS!$D$2:$D$20000=A205)*(DATOS!$I$2:$I$20000=B205),DATOS!$K$2:$K$20000)),"—"),"")</f>
        <v>—</v>
      </c>
      <c r="G205" t="str" cm="1">
        <f t="array" ref="G205">IF(V205="Sí",IFERROR(_xlfn.MODE.SNGL(IF((DATOS!$G$2:$G$20000=CONFIG_METADATA!$B$4)*(DATOS!$D$2:$D$20000=A205)*(DATOS!$I$2:$I$20000=B205),DATOS!$K$2:$K$20000)),"—"),"")</f>
        <v>—</v>
      </c>
      <c r="H205" s="15" t="str">
        <f>IF(V205="Sí",IFERROR(COUNTIFS(DATOS!G:G,CONFIG_METADATA!$B$4,DATOS!D:D,A205,DATOS!I:I,B205,DATOS!L:L,"S")/COUNTIFS(DATOS!G:G,CONFIG_METADATA!$B$4,DATOS!D:D,A205,DATOS!I:I,B205),"—"),"")</f>
        <v>—</v>
      </c>
      <c r="I205" s="15" t="str">
        <f>IF(V205="Sí",IFERROR(COUNTIFS(DATOS!G:G,CONFIG_METADATA!$B$4,DATOS!D:D,A205,DATOS!I:I,B205,DATOS!L:L,"N")/COUNTIFS(DATOS!G:G,CONFIG_METADATA!$B$4,DATOS!D:D,A205,DATOS!I:I,B205),"—"),"")</f>
        <v>—</v>
      </c>
      <c r="J205" t="str" cm="1">
        <f t="array" ref="J205">IF(V205="Sí",IFERROR(_xlfn.MODE.SNGL(IF((DATOS!$G$2:$G$20000=CONFIG_METADATA!$B$4)*(DATOS!$D$2:$D$20000=A205)*(DATOS!$I$2:$I$20000=B205)*(DATOS!$L$2:$L$20000="S"),DATOS!$K$2:$K$20000)),"—"),"")</f>
        <v>—</v>
      </c>
      <c r="K205" t="str" cm="1">
        <f t="array" ref="K205">IF(V205="Sí",IFERROR(_xlfn.MODE.SNGL(IF((DATOS!$G$2:$G$20000=CONFIG_METADATA!$B$4)*(DATOS!$D$2:$D$20000=A205)*(DATOS!$I$2:$I$20000=B205)*(DATOS!$L$2:$L$20000="N"),DATOS!$K$2:$K$20000)),"—"),"")</f>
        <v>—</v>
      </c>
      <c r="L205">
        <f>IF(V205="Sí",COUNTIFS(DATOS!G:G,CONFIG_METADATA!$B$4,DATOS!D:D,A205,DATOS!I:I,B205,DATOS!K:K,1),"")</f>
        <v>0</v>
      </c>
      <c r="M205">
        <f>IF(V205="Sí",COUNTIFS(DATOS!G:G,CONFIG_METADATA!$B$4,DATOS!D:D,A205,DATOS!I:I,B205,DATOS!K:K,2),"")</f>
        <v>0</v>
      </c>
      <c r="N205">
        <f>IF(V205="Sí",COUNTIFS(DATOS!G:G,CONFIG_METADATA!$B$4,DATOS!D:D,A205,DATOS!I:I,B205,DATOS!K:K,3),"")</f>
        <v>0</v>
      </c>
      <c r="O205">
        <f>IF(V205="Sí",COUNTIFS(DATOS!G:G,CONFIG_METADATA!$B$4,DATOS!D:D,A205,DATOS!I:I,B205,DATOS!K:K,4),"")</f>
        <v>0</v>
      </c>
      <c r="P205">
        <f>IF(V205="Sí",COUNTIFS(DATOS!G:G,CONFIG_METADATA!$B$4,DATOS!D:D,A205,DATOS!I:I,B205,DATOS!K:K,5),"")</f>
        <v>0</v>
      </c>
      <c r="Q205">
        <f>IF(V205="Sí",COUNTIFS(DATOS!G:G,CONFIG_METADATA!$B$4,DATOS!D:D,A205,DATOS!I:I,B205,DATOS!K:K,6),"")</f>
        <v>0</v>
      </c>
      <c r="R205">
        <f>IF(V205="Sí",COUNTIFS(DATOS!G:G,CONFIG_METADATA!$B$4,DATOS!D:D,A205,DATOS!I:I,B205,DATOS!K:K,7),"")</f>
        <v>0</v>
      </c>
      <c r="S205">
        <f>IF(V205="Sí",COUNTIFS(DATOS!G:G,CONFIG_METADATA!$B$4,DATOS!D:D,A205,DATOS!I:I,B205,DATOS!K:K,8),"")</f>
        <v>0</v>
      </c>
      <c r="T205">
        <f>IF(V205="Sí",COUNTIFS(DATOS!G:G,CONFIG_METADATA!$B$4,DATOS!D:D,A205,DATOS!I:I,B205,DATOS!K:K,9),"")</f>
        <v>0</v>
      </c>
      <c r="U205">
        <f>IF(V205="Sí",COUNTIFS(DATOS!G:G,CONFIG_METADATA!$B$4,DATOS!D:D,A205,DATOS!I:I,B205,DATOS!K:K,10),"")</f>
        <v>0</v>
      </c>
      <c r="V205" t="str">
        <f>IFERROR(IF(ISERROR(FIND(A205,VLOOKUP(B205,CONFIG_ASIGNATURAS!B:C,2,FALSE()))),"No","Sí"),"No")</f>
        <v>Sí</v>
      </c>
    </row>
    <row r="206" spans="1:22">
      <c r="A206" s="3" t="inlineStr">
        <is>
          <t xml:space="preserve">3EEM</t>
        </is>
      </c>
      <c r="B206" s="3" cm="1">
        <f t="array" ref="B206">IFERROR(INDEX(_xlfn._xlws.FILTER(CONFIG_ASIGNATURAS!$B$2:$B$61,(CONFIG_ASIGNATURAS!$G$2:$G$61="Sí")*ISNUMBER(SEARCH("3EEM",CONFIG_ASIGNATURAS!$C$2:$C$61))),13),"")</f>
      </c>
      <c r="C206" s="3">
        <f>IF(B206="","",IFERROR(IF(VLOOKUP(B206,CONFIG_ASIGNATURAS!$B$2:$F$61,5,FALSE())="Sí","Especialidad","Asignatura"),"Asignatura"))</f>
      </c>
      <c r="D206">
        <f>IF(V206="Sí",COUNTIFS(DATOS!G:G,CONFIG_METADATA!$B$4,DATOS!D:D,A206,DATOS!I:I,B206),"")</f>
        <v>0</v>
      </c>
      <c r="E206" s="14" t="str">
        <f>IF(V206="Sí",IFERROR(AVERAGEIFS(DATOS!K:K,DATOS!G:G,CONFIG_METADATA!$B$4,DATOS!D:D,A206,DATOS!I:I,B206),"—"),"")</f>
        <v>—</v>
      </c>
      <c r="F206" s="14" t="str" cm="1">
        <f t="array" ref="F206">IF(V206="Sí",IFERROR(_xlfn.STDEV.P(IF((DATOS!$G$2:$G$20000=CONFIG_METADATA!$B$4)*(DATOS!$D$2:$D$20000=A206)*(DATOS!$I$2:$I$20000=B206),DATOS!$K$2:$K$20000)),"—"),"")</f>
        <v>—</v>
      </c>
      <c r="G206" t="str" cm="1">
        <f t="array" ref="G206">IF(V206="Sí",IFERROR(_xlfn.MODE.SNGL(IF((DATOS!$G$2:$G$20000=CONFIG_METADATA!$B$4)*(DATOS!$D$2:$D$20000=A206)*(DATOS!$I$2:$I$20000=B206),DATOS!$K$2:$K$20000)),"—"),"")</f>
        <v>—</v>
      </c>
      <c r="H206" s="15" t="str">
        <f>IF(V206="Sí",IFERROR(COUNTIFS(DATOS!G:G,CONFIG_METADATA!$B$4,DATOS!D:D,A206,DATOS!I:I,B206,DATOS!L:L,"S")/COUNTIFS(DATOS!G:G,CONFIG_METADATA!$B$4,DATOS!D:D,A206,DATOS!I:I,B206),"—"),"")</f>
        <v>—</v>
      </c>
      <c r="I206" s="15" t="str">
        <f>IF(V206="Sí",IFERROR(COUNTIFS(DATOS!G:G,CONFIG_METADATA!$B$4,DATOS!D:D,A206,DATOS!I:I,B206,DATOS!L:L,"N")/COUNTIFS(DATOS!G:G,CONFIG_METADATA!$B$4,DATOS!D:D,A206,DATOS!I:I,B206),"—"),"")</f>
        <v>—</v>
      </c>
      <c r="J206" t="str" cm="1">
        <f t="array" ref="J206">IF(V206="Sí",IFERROR(_xlfn.MODE.SNGL(IF((DATOS!$G$2:$G$20000=CONFIG_METADATA!$B$4)*(DATOS!$D$2:$D$20000=A206)*(DATOS!$I$2:$I$20000=B206)*(DATOS!$L$2:$L$20000="S"),DATOS!$K$2:$K$20000)),"—"),"")</f>
        <v>—</v>
      </c>
      <c r="K206" t="str" cm="1">
        <f t="array" ref="K206">IF(V206="Sí",IFERROR(_xlfn.MODE.SNGL(IF((DATOS!$G$2:$G$20000=CONFIG_METADATA!$B$4)*(DATOS!$D$2:$D$20000=A206)*(DATOS!$I$2:$I$20000=B206)*(DATOS!$L$2:$L$20000="N"),DATOS!$K$2:$K$20000)),"—"),"")</f>
        <v>—</v>
      </c>
      <c r="L206">
        <f>IF(V206="Sí",COUNTIFS(DATOS!G:G,CONFIG_METADATA!$B$4,DATOS!D:D,A206,DATOS!I:I,B206,DATOS!K:K,1),"")</f>
        <v>0</v>
      </c>
      <c r="M206">
        <f>IF(V206="Sí",COUNTIFS(DATOS!G:G,CONFIG_METADATA!$B$4,DATOS!D:D,A206,DATOS!I:I,B206,DATOS!K:K,2),"")</f>
        <v>0</v>
      </c>
      <c r="N206">
        <f>IF(V206="Sí",COUNTIFS(DATOS!G:G,CONFIG_METADATA!$B$4,DATOS!D:D,A206,DATOS!I:I,B206,DATOS!K:K,3),"")</f>
        <v>0</v>
      </c>
      <c r="O206">
        <f>IF(V206="Sí",COUNTIFS(DATOS!G:G,CONFIG_METADATA!$B$4,DATOS!D:D,A206,DATOS!I:I,B206,DATOS!K:K,4),"")</f>
        <v>0</v>
      </c>
      <c r="P206">
        <f>IF(V206="Sí",COUNTIFS(DATOS!G:G,CONFIG_METADATA!$B$4,DATOS!D:D,A206,DATOS!I:I,B206,DATOS!K:K,5),"")</f>
        <v>0</v>
      </c>
      <c r="Q206">
        <f>IF(V206="Sí",COUNTIFS(DATOS!G:G,CONFIG_METADATA!$B$4,DATOS!D:D,A206,DATOS!I:I,B206,DATOS!K:K,6),"")</f>
        <v>0</v>
      </c>
      <c r="R206">
        <f>IF(V206="Sí",COUNTIFS(DATOS!G:G,CONFIG_METADATA!$B$4,DATOS!D:D,A206,DATOS!I:I,B206,DATOS!K:K,7),"")</f>
        <v>0</v>
      </c>
      <c r="S206">
        <f>IF(V206="Sí",COUNTIFS(DATOS!G:G,CONFIG_METADATA!$B$4,DATOS!D:D,A206,DATOS!I:I,B206,DATOS!K:K,8),"")</f>
        <v>0</v>
      </c>
      <c r="T206">
        <f>IF(V206="Sí",COUNTIFS(DATOS!G:G,CONFIG_METADATA!$B$4,DATOS!D:D,A206,DATOS!I:I,B206,DATOS!K:K,9),"")</f>
        <v>0</v>
      </c>
      <c r="U206">
        <f>IF(V206="Sí",COUNTIFS(DATOS!G:G,CONFIG_METADATA!$B$4,DATOS!D:D,A206,DATOS!I:I,B206,DATOS!K:K,10),"")</f>
        <v>0</v>
      </c>
      <c r="V206" t="str">
        <f>IFERROR(IF(ISERROR(FIND(A206,VLOOKUP(B206,CONFIG_ASIGNATURAS!B:C,2,FALSE()))),"No","Sí"),"No")</f>
        <v>Sí</v>
      </c>
    </row>
    <row r="207" spans="1:22">
      <c r="A207" s="3" t="inlineStr">
        <is>
          <t xml:space="preserve">3EEM</t>
        </is>
      </c>
      <c r="B207" s="3" cm="1">
        <f t="array" ref="B207">IFERROR(INDEX(_xlfn._xlws.FILTER(CONFIG_ASIGNATURAS!$B$2:$B$61,(CONFIG_ASIGNATURAS!$G$2:$G$61="Sí")*ISNUMBER(SEARCH("3EEM",CONFIG_ASIGNATURAS!$C$2:$C$61))),14),"")</f>
      </c>
      <c r="C207" s="3">
        <f>IF(B207="","",IFERROR(IF(VLOOKUP(B207,CONFIG_ASIGNATURAS!$B$2:$F$61,5,FALSE())="Sí","Especialidad","Asignatura"),"Asignatura"))</f>
      </c>
      <c r="D207">
        <f>IF(V207="Sí",COUNTIFS(DATOS!G:G,CONFIG_METADATA!$B$4,DATOS!D:D,A207,DATOS!I:I,B207),"")</f>
        <v>0</v>
      </c>
      <c r="E207" s="14" t="str">
        <f>IF(V207="Sí",IFERROR(AVERAGEIFS(DATOS!K:K,DATOS!G:G,CONFIG_METADATA!$B$4,DATOS!D:D,A207,DATOS!I:I,B207),"—"),"")</f>
        <v>—</v>
      </c>
      <c r="F207" s="14" t="str" cm="1">
        <f t="array" ref="F207">IF(V207="Sí",IFERROR(_xlfn.STDEV.P(IF((DATOS!$G$2:$G$20000=CONFIG_METADATA!$B$4)*(DATOS!$D$2:$D$20000=A207)*(DATOS!$I$2:$I$20000=B207),DATOS!$K$2:$K$20000)),"—"),"")</f>
        <v>—</v>
      </c>
      <c r="G207" t="str" cm="1">
        <f t="array" ref="G207">IF(V207="Sí",IFERROR(_xlfn.MODE.SNGL(IF((DATOS!$G$2:$G$20000=CONFIG_METADATA!$B$4)*(DATOS!$D$2:$D$20000=A207)*(DATOS!$I$2:$I$20000=B207),DATOS!$K$2:$K$20000)),"—"),"")</f>
        <v>—</v>
      </c>
      <c r="H207" s="15" t="str">
        <f>IF(V207="Sí",IFERROR(COUNTIFS(DATOS!G:G,CONFIG_METADATA!$B$4,DATOS!D:D,A207,DATOS!I:I,B207,DATOS!L:L,"S")/COUNTIFS(DATOS!G:G,CONFIG_METADATA!$B$4,DATOS!D:D,A207,DATOS!I:I,B207),"—"),"")</f>
        <v>—</v>
      </c>
      <c r="I207" s="15" t="str">
        <f>IF(V207="Sí",IFERROR(COUNTIFS(DATOS!G:G,CONFIG_METADATA!$B$4,DATOS!D:D,A207,DATOS!I:I,B207,DATOS!L:L,"N")/COUNTIFS(DATOS!G:G,CONFIG_METADATA!$B$4,DATOS!D:D,A207,DATOS!I:I,B207),"—"),"")</f>
        <v>—</v>
      </c>
      <c r="J207" t="str" cm="1">
        <f t="array" ref="J207">IF(V207="Sí",IFERROR(_xlfn.MODE.SNGL(IF((DATOS!$G$2:$G$20000=CONFIG_METADATA!$B$4)*(DATOS!$D$2:$D$20000=A207)*(DATOS!$I$2:$I$20000=B207)*(DATOS!$L$2:$L$20000="S"),DATOS!$K$2:$K$20000)),"—"),"")</f>
        <v>—</v>
      </c>
      <c r="K207" t="str" cm="1">
        <f t="array" ref="K207">IF(V207="Sí",IFERROR(_xlfn.MODE.SNGL(IF((DATOS!$G$2:$G$20000=CONFIG_METADATA!$B$4)*(DATOS!$D$2:$D$20000=A207)*(DATOS!$I$2:$I$20000=B207)*(DATOS!$L$2:$L$20000="N"),DATOS!$K$2:$K$20000)),"—"),"")</f>
        <v>—</v>
      </c>
      <c r="L207">
        <f>IF(V207="Sí",COUNTIFS(DATOS!G:G,CONFIG_METADATA!$B$4,DATOS!D:D,A207,DATOS!I:I,B207,DATOS!K:K,1),"")</f>
        <v>0</v>
      </c>
      <c r="M207">
        <f>IF(V207="Sí",COUNTIFS(DATOS!G:G,CONFIG_METADATA!$B$4,DATOS!D:D,A207,DATOS!I:I,B207,DATOS!K:K,2),"")</f>
        <v>0</v>
      </c>
      <c r="N207">
        <f>IF(V207="Sí",COUNTIFS(DATOS!G:G,CONFIG_METADATA!$B$4,DATOS!D:D,A207,DATOS!I:I,B207,DATOS!K:K,3),"")</f>
        <v>0</v>
      </c>
      <c r="O207">
        <f>IF(V207="Sí",COUNTIFS(DATOS!G:G,CONFIG_METADATA!$B$4,DATOS!D:D,A207,DATOS!I:I,B207,DATOS!K:K,4),"")</f>
        <v>0</v>
      </c>
      <c r="P207">
        <f>IF(V207="Sí",COUNTIFS(DATOS!G:G,CONFIG_METADATA!$B$4,DATOS!D:D,A207,DATOS!I:I,B207,DATOS!K:K,5),"")</f>
        <v>0</v>
      </c>
      <c r="Q207">
        <f>IF(V207="Sí",COUNTIFS(DATOS!G:G,CONFIG_METADATA!$B$4,DATOS!D:D,A207,DATOS!I:I,B207,DATOS!K:K,6),"")</f>
        <v>0</v>
      </c>
      <c r="R207">
        <f>IF(V207="Sí",COUNTIFS(DATOS!G:G,CONFIG_METADATA!$B$4,DATOS!D:D,A207,DATOS!I:I,B207,DATOS!K:K,7),"")</f>
        <v>0</v>
      </c>
      <c r="S207">
        <f>IF(V207="Sí",COUNTIFS(DATOS!G:G,CONFIG_METADATA!$B$4,DATOS!D:D,A207,DATOS!I:I,B207,DATOS!K:K,8),"")</f>
        <v>0</v>
      </c>
      <c r="T207">
        <f>IF(V207="Sí",COUNTIFS(DATOS!G:G,CONFIG_METADATA!$B$4,DATOS!D:D,A207,DATOS!I:I,B207,DATOS!K:K,9),"")</f>
        <v>0</v>
      </c>
      <c r="U207">
        <f>IF(V207="Sí",COUNTIFS(DATOS!G:G,CONFIG_METADATA!$B$4,DATOS!D:D,A207,DATOS!I:I,B207,DATOS!K:K,10),"")</f>
        <v>0</v>
      </c>
      <c r="V207" t="str">
        <f>IFERROR(IF(ISERROR(FIND(A207,VLOOKUP(B207,CONFIG_ASIGNATURAS!B:C,2,FALSE()))),"No","Sí"),"No")</f>
        <v>Sí</v>
      </c>
    </row>
    <row r="208" spans="1:22">
      <c r="A208" s="3" t="inlineStr">
        <is>
          <t xml:space="preserve">3EEM</t>
        </is>
      </c>
      <c r="B208" s="3" cm="1">
        <f t="array" ref="B208">IFERROR(INDEX(_xlfn._xlws.FILTER(CONFIG_ASIGNATURAS!$B$2:$B$61,(CONFIG_ASIGNATURAS!$G$2:$G$61="Sí")*ISNUMBER(SEARCH("3EEM",CONFIG_ASIGNATURAS!$C$2:$C$61))),15),"")</f>
      </c>
      <c r="C208" s="3">
        <f>IF(B208="","",IFERROR(IF(VLOOKUP(B208,CONFIG_ASIGNATURAS!$B$2:$F$61,5,FALSE())="Sí","Especialidad","Asignatura"),"Asignatura"))</f>
      </c>
      <c r="D208">
        <f>IF(V208="Sí",COUNTIFS(DATOS!G:G,CONFIG_METADATA!$B$4,DATOS!D:D,A208,DATOS!I:I,B208),"")</f>
        <v>0</v>
      </c>
      <c r="E208" s="14" t="str">
        <f>IF(V208="Sí",IFERROR(AVERAGEIFS(DATOS!K:K,DATOS!G:G,CONFIG_METADATA!$B$4,DATOS!D:D,A208,DATOS!I:I,B208),"—"),"")</f>
        <v>—</v>
      </c>
      <c r="F208" s="14" t="str" cm="1">
        <f t="array" ref="F208">IF(V208="Sí",IFERROR(_xlfn.STDEV.P(IF((DATOS!$G$2:$G$20000=CONFIG_METADATA!$B$4)*(DATOS!$D$2:$D$20000=A208)*(DATOS!$I$2:$I$20000=B208),DATOS!$K$2:$K$20000)),"—"),"")</f>
        <v>—</v>
      </c>
      <c r="G208" t="str" cm="1">
        <f t="array" ref="G208">IF(V208="Sí",IFERROR(_xlfn.MODE.SNGL(IF((DATOS!$G$2:$G$20000=CONFIG_METADATA!$B$4)*(DATOS!$D$2:$D$20000=A208)*(DATOS!$I$2:$I$20000=B208),DATOS!$K$2:$K$20000)),"—"),"")</f>
        <v>—</v>
      </c>
      <c r="H208" s="15" t="str">
        <f>IF(V208="Sí",IFERROR(COUNTIFS(DATOS!G:G,CONFIG_METADATA!$B$4,DATOS!D:D,A208,DATOS!I:I,B208,DATOS!L:L,"S")/COUNTIFS(DATOS!G:G,CONFIG_METADATA!$B$4,DATOS!D:D,A208,DATOS!I:I,B208),"—"),"")</f>
        <v>—</v>
      </c>
      <c r="I208" s="15" t="str">
        <f>IF(V208="Sí",IFERROR(COUNTIFS(DATOS!G:G,CONFIG_METADATA!$B$4,DATOS!D:D,A208,DATOS!I:I,B208,DATOS!L:L,"N")/COUNTIFS(DATOS!G:G,CONFIG_METADATA!$B$4,DATOS!D:D,A208,DATOS!I:I,B208),"—"),"")</f>
        <v>—</v>
      </c>
      <c r="J208" t="str" cm="1">
        <f t="array" ref="J208">IF(V208="Sí",IFERROR(_xlfn.MODE.SNGL(IF((DATOS!$G$2:$G$20000=CONFIG_METADATA!$B$4)*(DATOS!$D$2:$D$20000=A208)*(DATOS!$I$2:$I$20000=B208)*(DATOS!$L$2:$L$20000="S"),DATOS!$K$2:$K$20000)),"—"),"")</f>
        <v>—</v>
      </c>
      <c r="K208" t="str" cm="1">
        <f t="array" ref="K208">IF(V208="Sí",IFERROR(_xlfn.MODE.SNGL(IF((DATOS!$G$2:$G$20000=CONFIG_METADATA!$B$4)*(DATOS!$D$2:$D$20000=A208)*(DATOS!$I$2:$I$20000=B208)*(DATOS!$L$2:$L$20000="N"),DATOS!$K$2:$K$20000)),"—"),"")</f>
        <v>—</v>
      </c>
      <c r="L208">
        <f>IF(V208="Sí",COUNTIFS(DATOS!G:G,CONFIG_METADATA!$B$4,DATOS!D:D,A208,DATOS!I:I,B208,DATOS!K:K,1),"")</f>
        <v>0</v>
      </c>
      <c r="M208">
        <f>IF(V208="Sí",COUNTIFS(DATOS!G:G,CONFIG_METADATA!$B$4,DATOS!D:D,A208,DATOS!I:I,B208,DATOS!K:K,2),"")</f>
        <v>0</v>
      </c>
      <c r="N208">
        <f>IF(V208="Sí",COUNTIFS(DATOS!G:G,CONFIG_METADATA!$B$4,DATOS!D:D,A208,DATOS!I:I,B208,DATOS!K:K,3),"")</f>
        <v>0</v>
      </c>
      <c r="O208">
        <f>IF(V208="Sí",COUNTIFS(DATOS!G:G,CONFIG_METADATA!$B$4,DATOS!D:D,A208,DATOS!I:I,B208,DATOS!K:K,4),"")</f>
        <v>0</v>
      </c>
      <c r="P208">
        <f>IF(V208="Sí",COUNTIFS(DATOS!G:G,CONFIG_METADATA!$B$4,DATOS!D:D,A208,DATOS!I:I,B208,DATOS!K:K,5),"")</f>
        <v>0</v>
      </c>
      <c r="Q208">
        <f>IF(V208="Sí",COUNTIFS(DATOS!G:G,CONFIG_METADATA!$B$4,DATOS!D:D,A208,DATOS!I:I,B208,DATOS!K:K,6),"")</f>
        <v>0</v>
      </c>
      <c r="R208">
        <f>IF(V208="Sí",COUNTIFS(DATOS!G:G,CONFIG_METADATA!$B$4,DATOS!D:D,A208,DATOS!I:I,B208,DATOS!K:K,7),"")</f>
        <v>0</v>
      </c>
      <c r="S208">
        <f>IF(V208="Sí",COUNTIFS(DATOS!G:G,CONFIG_METADATA!$B$4,DATOS!D:D,A208,DATOS!I:I,B208,DATOS!K:K,8),"")</f>
        <v>0</v>
      </c>
      <c r="T208">
        <f>IF(V208="Sí",COUNTIFS(DATOS!G:G,CONFIG_METADATA!$B$4,DATOS!D:D,A208,DATOS!I:I,B208,DATOS!K:K,9),"")</f>
        <v>0</v>
      </c>
      <c r="U208">
        <f>IF(V208="Sí",COUNTIFS(DATOS!G:G,CONFIG_METADATA!$B$4,DATOS!D:D,A208,DATOS!I:I,B208,DATOS!K:K,10),"")</f>
        <v>0</v>
      </c>
      <c r="V208" t="str">
        <f>IFERROR(IF(ISERROR(FIND(A208,VLOOKUP(B208,CONFIG_ASIGNATURAS!B:C,2,FALSE()))),"No","Sí"),"No")</f>
        <v>Sí</v>
      </c>
    </row>
    <row r="209" spans="1:22">
      <c r="A209" s="3" t="inlineStr">
        <is>
          <t xml:space="preserve">3EEM</t>
        </is>
      </c>
      <c r="B209" s="3" cm="1">
        <f t="array" ref="B209">IFERROR(INDEX(_xlfn._xlws.FILTER(CONFIG_ASIGNATURAS!$B$2:$B$61,(CONFIG_ASIGNATURAS!$G$2:$G$61="Sí")*ISNUMBER(SEARCH("3EEM",CONFIG_ASIGNATURAS!$C$2:$C$61))),16),"")</f>
      </c>
      <c r="C209" s="3">
        <f>IF(B209="","",IFERROR(IF(VLOOKUP(B209,CONFIG_ASIGNATURAS!$B$2:$F$61,5,FALSE())="Sí","Especialidad","Asignatura"),"Asignatura"))</f>
      </c>
      <c r="D209">
        <f>IF(V209="Sí",COUNTIFS(DATOS!G:G,CONFIG_METADATA!$B$4,DATOS!D:D,A209,DATOS!I:I,B209),"")</f>
        <v>0</v>
      </c>
      <c r="E209" s="14" t="str">
        <f>IF(V209="Sí",IFERROR(AVERAGEIFS(DATOS!K:K,DATOS!G:G,CONFIG_METADATA!$B$4,DATOS!D:D,A209,DATOS!I:I,B209),"—"),"")</f>
        <v>—</v>
      </c>
      <c r="F209" s="14" t="str" cm="1">
        <f t="array" ref="F209">IF(V209="Sí",IFERROR(_xlfn.STDEV.P(IF((DATOS!$G$2:$G$20000=CONFIG_METADATA!$B$4)*(DATOS!$D$2:$D$20000=A209)*(DATOS!$I$2:$I$20000=B209),DATOS!$K$2:$K$20000)),"—"),"")</f>
        <v>—</v>
      </c>
      <c r="G209" t="str" cm="1">
        <f t="array" ref="G209">IF(V209="Sí",IFERROR(_xlfn.MODE.SNGL(IF((DATOS!$G$2:$G$20000=CONFIG_METADATA!$B$4)*(DATOS!$D$2:$D$20000=A209)*(DATOS!$I$2:$I$20000=B209),DATOS!$K$2:$K$20000)),"—"),"")</f>
        <v>—</v>
      </c>
      <c r="H209" s="15" t="str">
        <f>IF(V209="Sí",IFERROR(COUNTIFS(DATOS!G:G,CONFIG_METADATA!$B$4,DATOS!D:D,A209,DATOS!I:I,B209,DATOS!L:L,"S")/COUNTIFS(DATOS!G:G,CONFIG_METADATA!$B$4,DATOS!D:D,A209,DATOS!I:I,B209),"—"),"")</f>
        <v>—</v>
      </c>
      <c r="I209" s="15" t="str">
        <f>IF(V209="Sí",IFERROR(COUNTIFS(DATOS!G:G,CONFIG_METADATA!$B$4,DATOS!D:D,A209,DATOS!I:I,B209,DATOS!L:L,"N")/COUNTIFS(DATOS!G:G,CONFIG_METADATA!$B$4,DATOS!D:D,A209,DATOS!I:I,B209),"—"),"")</f>
        <v>—</v>
      </c>
      <c r="J209" t="str" cm="1">
        <f t="array" ref="J209">IF(V209="Sí",IFERROR(_xlfn.MODE.SNGL(IF((DATOS!$G$2:$G$20000=CONFIG_METADATA!$B$4)*(DATOS!$D$2:$D$20000=A209)*(DATOS!$I$2:$I$20000=B209)*(DATOS!$L$2:$L$20000="S"),DATOS!$K$2:$K$20000)),"—"),"")</f>
        <v>—</v>
      </c>
      <c r="K209" t="str" cm="1">
        <f t="array" ref="K209">IF(V209="Sí",IFERROR(_xlfn.MODE.SNGL(IF((DATOS!$G$2:$G$20000=CONFIG_METADATA!$B$4)*(DATOS!$D$2:$D$20000=A209)*(DATOS!$I$2:$I$20000=B209)*(DATOS!$L$2:$L$20000="N"),DATOS!$K$2:$K$20000)),"—"),"")</f>
        <v>—</v>
      </c>
      <c r="L209">
        <f>IF(V209="Sí",COUNTIFS(DATOS!G:G,CONFIG_METADATA!$B$4,DATOS!D:D,A209,DATOS!I:I,B209,DATOS!K:K,1),"")</f>
        <v>0</v>
      </c>
      <c r="M209">
        <f>IF(V209="Sí",COUNTIFS(DATOS!G:G,CONFIG_METADATA!$B$4,DATOS!D:D,A209,DATOS!I:I,B209,DATOS!K:K,2),"")</f>
        <v>0</v>
      </c>
      <c r="N209">
        <f>IF(V209="Sí",COUNTIFS(DATOS!G:G,CONFIG_METADATA!$B$4,DATOS!D:D,A209,DATOS!I:I,B209,DATOS!K:K,3),"")</f>
        <v>0</v>
      </c>
      <c r="O209">
        <f>IF(V209="Sí",COUNTIFS(DATOS!G:G,CONFIG_METADATA!$B$4,DATOS!D:D,A209,DATOS!I:I,B209,DATOS!K:K,4),"")</f>
        <v>0</v>
      </c>
      <c r="P209">
        <f>IF(V209="Sí",COUNTIFS(DATOS!G:G,CONFIG_METADATA!$B$4,DATOS!D:D,A209,DATOS!I:I,B209,DATOS!K:K,5),"")</f>
        <v>0</v>
      </c>
      <c r="Q209">
        <f>IF(V209="Sí",COUNTIFS(DATOS!G:G,CONFIG_METADATA!$B$4,DATOS!D:D,A209,DATOS!I:I,B209,DATOS!K:K,6),"")</f>
        <v>0</v>
      </c>
      <c r="R209">
        <f>IF(V209="Sí",COUNTIFS(DATOS!G:G,CONFIG_METADATA!$B$4,DATOS!D:D,A209,DATOS!I:I,B209,DATOS!K:K,7),"")</f>
        <v>0</v>
      </c>
      <c r="S209">
        <f>IF(V209="Sí",COUNTIFS(DATOS!G:G,CONFIG_METADATA!$B$4,DATOS!D:D,A209,DATOS!I:I,B209,DATOS!K:K,8),"")</f>
        <v>0</v>
      </c>
      <c r="T209">
        <f>IF(V209="Sí",COUNTIFS(DATOS!G:G,CONFIG_METADATA!$B$4,DATOS!D:D,A209,DATOS!I:I,B209,DATOS!K:K,9),"")</f>
        <v>0</v>
      </c>
      <c r="U209">
        <f>IF(V209="Sí",COUNTIFS(DATOS!G:G,CONFIG_METADATA!$B$4,DATOS!D:D,A209,DATOS!I:I,B209,DATOS!K:K,10),"")</f>
        <v>0</v>
      </c>
      <c r="V209" t="str">
        <f>IFERROR(IF(ISERROR(FIND(A209,VLOOKUP(B209,CONFIG_ASIGNATURAS!B:C,2,FALSE()))),"No","Sí"),"No")</f>
        <v>Sí</v>
      </c>
    </row>
    <row r="210" spans="1:22">
      <c r="A210" s="3" t="inlineStr">
        <is>
          <t xml:space="preserve">3EEM</t>
        </is>
      </c>
      <c r="B210" s="3" cm="1">
        <f t="array" ref="B210">IFERROR(INDEX(_xlfn._xlws.FILTER(CONFIG_ASIGNATURAS!$B$2:$B$61,(CONFIG_ASIGNATURAS!$G$2:$G$61="Sí")*ISNUMBER(SEARCH("3EEM",CONFIG_ASIGNATURAS!$C$2:$C$61))),17),"")</f>
      </c>
      <c r="C210" s="3">
        <f>IF(B210="","",IFERROR(IF(VLOOKUP(B210,CONFIG_ASIGNATURAS!$B$2:$F$61,5,FALSE())="Sí","Especialidad","Asignatura"),"Asignatura"))</f>
      </c>
      <c r="D210">
        <f>IF(V210="Sí",COUNTIFS(DATOS!G:G,CONFIG_METADATA!$B$4,DATOS!D:D,A210,DATOS!I:I,B210),"")</f>
        <v>0</v>
      </c>
      <c r="E210" s="14" t="str">
        <f>IF(V210="Sí",IFERROR(AVERAGEIFS(DATOS!K:K,DATOS!G:G,CONFIG_METADATA!$B$4,DATOS!D:D,A210,DATOS!I:I,B210),"—"),"")</f>
        <v>—</v>
      </c>
      <c r="F210" s="14" t="str" cm="1">
        <f t="array" ref="F210">IF(V210="Sí",IFERROR(_xlfn.STDEV.P(IF((DATOS!$G$2:$G$20000=CONFIG_METADATA!$B$4)*(DATOS!$D$2:$D$20000=A210)*(DATOS!$I$2:$I$20000=B210),DATOS!$K$2:$K$20000)),"—"),"")</f>
        <v>—</v>
      </c>
      <c r="G210" t="str" cm="1">
        <f t="array" ref="G210">IF(V210="Sí",IFERROR(_xlfn.MODE.SNGL(IF((DATOS!$G$2:$G$20000=CONFIG_METADATA!$B$4)*(DATOS!$D$2:$D$20000=A210)*(DATOS!$I$2:$I$20000=B210),DATOS!$K$2:$K$20000)),"—"),"")</f>
        <v>—</v>
      </c>
      <c r="H210" s="15" t="str">
        <f>IF(V210="Sí",IFERROR(COUNTIFS(DATOS!G:G,CONFIG_METADATA!$B$4,DATOS!D:D,A210,DATOS!I:I,B210,DATOS!L:L,"S")/COUNTIFS(DATOS!G:G,CONFIG_METADATA!$B$4,DATOS!D:D,A210,DATOS!I:I,B210),"—"),"")</f>
        <v>—</v>
      </c>
      <c r="I210" s="15" t="str">
        <f>IF(V210="Sí",IFERROR(COUNTIFS(DATOS!G:G,CONFIG_METADATA!$B$4,DATOS!D:D,A210,DATOS!I:I,B210,DATOS!L:L,"N")/COUNTIFS(DATOS!G:G,CONFIG_METADATA!$B$4,DATOS!D:D,A210,DATOS!I:I,B210),"—"),"")</f>
        <v>—</v>
      </c>
      <c r="J210" t="str" cm="1">
        <f t="array" ref="J210">IF(V210="Sí",IFERROR(_xlfn.MODE.SNGL(IF((DATOS!$G$2:$G$20000=CONFIG_METADATA!$B$4)*(DATOS!$D$2:$D$20000=A210)*(DATOS!$I$2:$I$20000=B210)*(DATOS!$L$2:$L$20000="S"),DATOS!$K$2:$K$20000)),"—"),"")</f>
        <v>—</v>
      </c>
      <c r="K210" t="str" cm="1">
        <f t="array" ref="K210">IF(V210="Sí",IFERROR(_xlfn.MODE.SNGL(IF((DATOS!$G$2:$G$20000=CONFIG_METADATA!$B$4)*(DATOS!$D$2:$D$20000=A210)*(DATOS!$I$2:$I$20000=B210)*(DATOS!$L$2:$L$20000="N"),DATOS!$K$2:$K$20000)),"—"),"")</f>
        <v>—</v>
      </c>
      <c r="L210">
        <f>IF(V210="Sí",COUNTIFS(DATOS!G:G,CONFIG_METADATA!$B$4,DATOS!D:D,A210,DATOS!I:I,B210,DATOS!K:K,1),"")</f>
        <v>0</v>
      </c>
      <c r="M210">
        <f>IF(V210="Sí",COUNTIFS(DATOS!G:G,CONFIG_METADATA!$B$4,DATOS!D:D,A210,DATOS!I:I,B210,DATOS!K:K,2),"")</f>
        <v>0</v>
      </c>
      <c r="N210">
        <f>IF(V210="Sí",COUNTIFS(DATOS!G:G,CONFIG_METADATA!$B$4,DATOS!D:D,A210,DATOS!I:I,B210,DATOS!K:K,3),"")</f>
        <v>0</v>
      </c>
      <c r="O210">
        <f>IF(V210="Sí",COUNTIFS(DATOS!G:G,CONFIG_METADATA!$B$4,DATOS!D:D,A210,DATOS!I:I,B210,DATOS!K:K,4),"")</f>
        <v>0</v>
      </c>
      <c r="P210">
        <f>IF(V210="Sí",COUNTIFS(DATOS!G:G,CONFIG_METADATA!$B$4,DATOS!D:D,A210,DATOS!I:I,B210,DATOS!K:K,5),"")</f>
        <v>0</v>
      </c>
      <c r="Q210">
        <f>IF(V210="Sí",COUNTIFS(DATOS!G:G,CONFIG_METADATA!$B$4,DATOS!D:D,A210,DATOS!I:I,B210,DATOS!K:K,6),"")</f>
        <v>0</v>
      </c>
      <c r="R210">
        <f>IF(V210="Sí",COUNTIFS(DATOS!G:G,CONFIG_METADATA!$B$4,DATOS!D:D,A210,DATOS!I:I,B210,DATOS!K:K,7),"")</f>
        <v>0</v>
      </c>
      <c r="S210">
        <f>IF(V210="Sí",COUNTIFS(DATOS!G:G,CONFIG_METADATA!$B$4,DATOS!D:D,A210,DATOS!I:I,B210,DATOS!K:K,8),"")</f>
        <v>0</v>
      </c>
      <c r="T210">
        <f>IF(V210="Sí",COUNTIFS(DATOS!G:G,CONFIG_METADATA!$B$4,DATOS!D:D,A210,DATOS!I:I,B210,DATOS!K:K,9),"")</f>
        <v>0</v>
      </c>
      <c r="U210">
        <f>IF(V210="Sí",COUNTIFS(DATOS!G:G,CONFIG_METADATA!$B$4,DATOS!D:D,A210,DATOS!I:I,B210,DATOS!K:K,10),"")</f>
        <v>0</v>
      </c>
      <c r="V210" t="str">
        <f>IFERROR(IF(ISERROR(FIND(A210,VLOOKUP(B210,CONFIG_ASIGNATURAS!B:C,2,FALSE()))),"No","Sí"),"No")</f>
        <v>Sí</v>
      </c>
    </row>
    <row r="211" spans="1:22">
      <c r="A211" s="3" t="inlineStr">
        <is>
          <t xml:space="preserve">3EEM</t>
        </is>
      </c>
      <c r="B211" s="3" cm="1">
        <f t="array" ref="B211">IFERROR(INDEX(_xlfn._xlws.FILTER(CONFIG_ASIGNATURAS!$B$2:$B$61,(CONFIG_ASIGNATURAS!$G$2:$G$61="Sí")*ISNUMBER(SEARCH("3EEM",CONFIG_ASIGNATURAS!$C$2:$C$61))),18),"")</f>
      </c>
      <c r="C211" s="3">
        <f>IF(B211="","",IFERROR(IF(VLOOKUP(B211,CONFIG_ASIGNATURAS!$B$2:$F$61,5,FALSE())="Sí","Especialidad","Asignatura"),"Asignatura"))</f>
      </c>
      <c r="D211">
        <f>IF(V211="Sí",COUNTIFS(DATOS!G:G,CONFIG_METADATA!$B$4,DATOS!D:D,A211,DATOS!I:I,B211),"")</f>
        <v>0</v>
      </c>
      <c r="E211" s="14" t="str">
        <f>IF(V211="Sí",IFERROR(AVERAGEIFS(DATOS!K:K,DATOS!G:G,CONFIG_METADATA!$B$4,DATOS!D:D,A211,DATOS!I:I,B211),"—"),"")</f>
        <v>—</v>
      </c>
      <c r="F211" s="14" t="str" cm="1">
        <f t="array" ref="F211">IF(V211="Sí",IFERROR(_xlfn.STDEV.P(IF((DATOS!$G$2:$G$20000=CONFIG_METADATA!$B$4)*(DATOS!$D$2:$D$20000=A211)*(DATOS!$I$2:$I$20000=B211),DATOS!$K$2:$K$20000)),"—"),"")</f>
        <v>—</v>
      </c>
      <c r="G211" t="str" cm="1">
        <f t="array" ref="G211">IF(V211="Sí",IFERROR(_xlfn.MODE.SNGL(IF((DATOS!$G$2:$G$20000=CONFIG_METADATA!$B$4)*(DATOS!$D$2:$D$20000=A211)*(DATOS!$I$2:$I$20000=B211),DATOS!$K$2:$K$20000)),"—"),"")</f>
        <v>—</v>
      </c>
      <c r="H211" s="15" t="str">
        <f>IF(V211="Sí",IFERROR(COUNTIFS(DATOS!G:G,CONFIG_METADATA!$B$4,DATOS!D:D,A211,DATOS!I:I,B211,DATOS!L:L,"S")/COUNTIFS(DATOS!G:G,CONFIG_METADATA!$B$4,DATOS!D:D,A211,DATOS!I:I,B211),"—"),"")</f>
        <v>—</v>
      </c>
      <c r="I211" s="15" t="str">
        <f>IF(V211="Sí",IFERROR(COUNTIFS(DATOS!G:G,CONFIG_METADATA!$B$4,DATOS!D:D,A211,DATOS!I:I,B211,DATOS!L:L,"N")/COUNTIFS(DATOS!G:G,CONFIG_METADATA!$B$4,DATOS!D:D,A211,DATOS!I:I,B211),"—"),"")</f>
        <v>—</v>
      </c>
      <c r="J211" t="str" cm="1">
        <f t="array" ref="J211">IF(V211="Sí",IFERROR(_xlfn.MODE.SNGL(IF((DATOS!$G$2:$G$20000=CONFIG_METADATA!$B$4)*(DATOS!$D$2:$D$20000=A211)*(DATOS!$I$2:$I$20000=B211)*(DATOS!$L$2:$L$20000="S"),DATOS!$K$2:$K$20000)),"—"),"")</f>
        <v>—</v>
      </c>
      <c r="K211" t="str" cm="1">
        <f t="array" ref="K211">IF(V211="Sí",IFERROR(_xlfn.MODE.SNGL(IF((DATOS!$G$2:$G$20000=CONFIG_METADATA!$B$4)*(DATOS!$D$2:$D$20000=A211)*(DATOS!$I$2:$I$20000=B211)*(DATOS!$L$2:$L$20000="N"),DATOS!$K$2:$K$20000)),"—"),"")</f>
        <v>—</v>
      </c>
      <c r="L211">
        <f>IF(V211="Sí",COUNTIFS(DATOS!G:G,CONFIG_METADATA!$B$4,DATOS!D:D,A211,DATOS!I:I,B211,DATOS!K:K,1),"")</f>
        <v>0</v>
      </c>
      <c r="M211">
        <f>IF(V211="Sí",COUNTIFS(DATOS!G:G,CONFIG_METADATA!$B$4,DATOS!D:D,A211,DATOS!I:I,B211,DATOS!K:K,2),"")</f>
        <v>0</v>
      </c>
      <c r="N211">
        <f>IF(V211="Sí",COUNTIFS(DATOS!G:G,CONFIG_METADATA!$B$4,DATOS!D:D,A211,DATOS!I:I,B211,DATOS!K:K,3),"")</f>
        <v>0</v>
      </c>
      <c r="O211">
        <f>IF(V211="Sí",COUNTIFS(DATOS!G:G,CONFIG_METADATA!$B$4,DATOS!D:D,A211,DATOS!I:I,B211,DATOS!K:K,4),"")</f>
        <v>0</v>
      </c>
      <c r="P211">
        <f>IF(V211="Sí",COUNTIFS(DATOS!G:G,CONFIG_METADATA!$B$4,DATOS!D:D,A211,DATOS!I:I,B211,DATOS!K:K,5),"")</f>
        <v>0</v>
      </c>
      <c r="Q211">
        <f>IF(V211="Sí",COUNTIFS(DATOS!G:G,CONFIG_METADATA!$B$4,DATOS!D:D,A211,DATOS!I:I,B211,DATOS!K:K,6),"")</f>
        <v>0</v>
      </c>
      <c r="R211">
        <f>IF(V211="Sí",COUNTIFS(DATOS!G:G,CONFIG_METADATA!$B$4,DATOS!D:D,A211,DATOS!I:I,B211,DATOS!K:K,7),"")</f>
        <v>0</v>
      </c>
      <c r="S211">
        <f>IF(V211="Sí",COUNTIFS(DATOS!G:G,CONFIG_METADATA!$B$4,DATOS!D:D,A211,DATOS!I:I,B211,DATOS!K:K,8),"")</f>
        <v>0</v>
      </c>
      <c r="T211">
        <f>IF(V211="Sí",COUNTIFS(DATOS!G:G,CONFIG_METADATA!$B$4,DATOS!D:D,A211,DATOS!I:I,B211,DATOS!K:K,9),"")</f>
        <v>0</v>
      </c>
      <c r="U211">
        <f>IF(V211="Sí",COUNTIFS(DATOS!G:G,CONFIG_METADATA!$B$4,DATOS!D:D,A211,DATOS!I:I,B211,DATOS!K:K,10),"")</f>
        <v>0</v>
      </c>
      <c r="V211" t="str">
        <f>IFERROR(IF(ISERROR(FIND(A211,VLOOKUP(B211,CONFIG_ASIGNATURAS!B:C,2,FALSE()))),"No","Sí"),"No")</f>
        <v>Sí</v>
      </c>
    </row>
    <row r="212" spans="1:22">
      <c r="A212" s="3" t="inlineStr">
        <is>
          <t xml:space="preserve">3EEM</t>
        </is>
      </c>
      <c r="B212" s="3" cm="1">
        <f t="array" ref="B212">IFERROR(INDEX(_xlfn._xlws.FILTER(CONFIG_ASIGNATURAS!$B$2:$B$61,(CONFIG_ASIGNATURAS!$G$2:$G$61="Sí")*ISNUMBER(SEARCH("3EEM",CONFIG_ASIGNATURAS!$C$2:$C$61))),19),"")</f>
      </c>
      <c r="C212" s="3">
        <f>IF(B212="","",IFERROR(IF(VLOOKUP(B212,CONFIG_ASIGNATURAS!$B$2:$F$61,5,FALSE())="Sí","Especialidad","Asignatura"),"Asignatura"))</f>
      </c>
      <c r="D212">
        <f>IF(V212="Sí",COUNTIFS(DATOS!G:G,CONFIG_METADATA!$B$4,DATOS!D:D,A212,DATOS!I:I,B212),"")</f>
        <v>0</v>
      </c>
      <c r="E212" s="14" t="str">
        <f>IF(V212="Sí",IFERROR(AVERAGEIFS(DATOS!K:K,DATOS!G:G,CONFIG_METADATA!$B$4,DATOS!D:D,A212,DATOS!I:I,B212),"—"),"")</f>
        <v>—</v>
      </c>
      <c r="F212" s="14" t="str" cm="1">
        <f t="array" ref="F212">IF(V212="Sí",IFERROR(_xlfn.STDEV.P(IF((DATOS!$G$2:$G$20000=CONFIG_METADATA!$B$4)*(DATOS!$D$2:$D$20000=A212)*(DATOS!$I$2:$I$20000=B212),DATOS!$K$2:$K$20000)),"—"),"")</f>
        <v>—</v>
      </c>
      <c r="G212" t="str" cm="1">
        <f t="array" ref="G212">IF(V212="Sí",IFERROR(_xlfn.MODE.SNGL(IF((DATOS!$G$2:$G$20000=CONFIG_METADATA!$B$4)*(DATOS!$D$2:$D$20000=A212)*(DATOS!$I$2:$I$20000=B212),DATOS!$K$2:$K$20000)),"—"),"")</f>
        <v>—</v>
      </c>
      <c r="H212" s="15" t="str">
        <f>IF(V212="Sí",IFERROR(COUNTIFS(DATOS!G:G,CONFIG_METADATA!$B$4,DATOS!D:D,A212,DATOS!I:I,B212,DATOS!L:L,"S")/COUNTIFS(DATOS!G:G,CONFIG_METADATA!$B$4,DATOS!D:D,A212,DATOS!I:I,B212),"—"),"")</f>
        <v>—</v>
      </c>
      <c r="I212" s="15" t="str">
        <f>IF(V212="Sí",IFERROR(COUNTIFS(DATOS!G:G,CONFIG_METADATA!$B$4,DATOS!D:D,A212,DATOS!I:I,B212,DATOS!L:L,"N")/COUNTIFS(DATOS!G:G,CONFIG_METADATA!$B$4,DATOS!D:D,A212,DATOS!I:I,B212),"—"),"")</f>
        <v>—</v>
      </c>
      <c r="J212" t="str" cm="1">
        <f t="array" ref="J212">IF(V212="Sí",IFERROR(_xlfn.MODE.SNGL(IF((DATOS!$G$2:$G$20000=CONFIG_METADATA!$B$4)*(DATOS!$D$2:$D$20000=A212)*(DATOS!$I$2:$I$20000=B212)*(DATOS!$L$2:$L$20000="S"),DATOS!$K$2:$K$20000)),"—"),"")</f>
        <v>—</v>
      </c>
      <c r="K212" t="str" cm="1">
        <f t="array" ref="K212">IF(V212="Sí",IFERROR(_xlfn.MODE.SNGL(IF((DATOS!$G$2:$G$20000=CONFIG_METADATA!$B$4)*(DATOS!$D$2:$D$20000=A212)*(DATOS!$I$2:$I$20000=B212)*(DATOS!$L$2:$L$20000="N"),DATOS!$K$2:$K$20000)),"—"),"")</f>
        <v>—</v>
      </c>
      <c r="L212">
        <f>IF(V212="Sí",COUNTIFS(DATOS!G:G,CONFIG_METADATA!$B$4,DATOS!D:D,A212,DATOS!I:I,B212,DATOS!K:K,1),"")</f>
        <v>0</v>
      </c>
      <c r="M212">
        <f>IF(V212="Sí",COUNTIFS(DATOS!G:G,CONFIG_METADATA!$B$4,DATOS!D:D,A212,DATOS!I:I,B212,DATOS!K:K,2),"")</f>
        <v>0</v>
      </c>
      <c r="N212">
        <f>IF(V212="Sí",COUNTIFS(DATOS!G:G,CONFIG_METADATA!$B$4,DATOS!D:D,A212,DATOS!I:I,B212,DATOS!K:K,3),"")</f>
        <v>0</v>
      </c>
      <c r="O212">
        <f>IF(V212="Sí",COUNTIFS(DATOS!G:G,CONFIG_METADATA!$B$4,DATOS!D:D,A212,DATOS!I:I,B212,DATOS!K:K,4),"")</f>
        <v>0</v>
      </c>
      <c r="P212">
        <f>IF(V212="Sí",COUNTIFS(DATOS!G:G,CONFIG_METADATA!$B$4,DATOS!D:D,A212,DATOS!I:I,B212,DATOS!K:K,5),"")</f>
        <v>0</v>
      </c>
      <c r="Q212">
        <f>IF(V212="Sí",COUNTIFS(DATOS!G:G,CONFIG_METADATA!$B$4,DATOS!D:D,A212,DATOS!I:I,B212,DATOS!K:K,6),"")</f>
        <v>0</v>
      </c>
      <c r="R212">
        <f>IF(V212="Sí",COUNTIFS(DATOS!G:G,CONFIG_METADATA!$B$4,DATOS!D:D,A212,DATOS!I:I,B212,DATOS!K:K,7),"")</f>
        <v>0</v>
      </c>
      <c r="S212">
        <f>IF(V212="Sí",COUNTIFS(DATOS!G:G,CONFIG_METADATA!$B$4,DATOS!D:D,A212,DATOS!I:I,B212,DATOS!K:K,8),"")</f>
        <v>0</v>
      </c>
      <c r="T212">
        <f>IF(V212="Sí",COUNTIFS(DATOS!G:G,CONFIG_METADATA!$B$4,DATOS!D:D,A212,DATOS!I:I,B212,DATOS!K:K,9),"")</f>
        <v>0</v>
      </c>
      <c r="U212">
        <f>IF(V212="Sí",COUNTIFS(DATOS!G:G,CONFIG_METADATA!$B$4,DATOS!D:D,A212,DATOS!I:I,B212,DATOS!K:K,10),"")</f>
        <v>0</v>
      </c>
      <c r="V212" t="str">
        <f>IFERROR(IF(ISERROR(FIND(A212,VLOOKUP(B212,CONFIG_ASIGNATURAS!B:C,2,FALSE()))),"No","Sí"),"No")</f>
        <v>Sí</v>
      </c>
    </row>
    <row r="213" spans="1:22">
      <c r="A213" s="3" t="inlineStr">
        <is>
          <t xml:space="preserve">3EEM</t>
        </is>
      </c>
      <c r="B213" s="3" cm="1">
        <f t="array" ref="B213">IFERROR(INDEX(_xlfn._xlws.FILTER(CONFIG_ASIGNATURAS!$B$2:$B$61,(CONFIG_ASIGNATURAS!$G$2:$G$61="Sí")*ISNUMBER(SEARCH("3EEM",CONFIG_ASIGNATURAS!$C$2:$C$61))),20),"")</f>
      </c>
      <c r="C213" s="3">
        <f>IF(B213="","",IFERROR(IF(VLOOKUP(B213,CONFIG_ASIGNATURAS!$B$2:$F$61,5,FALSE())="Sí","Especialidad","Asignatura"),"Asignatura"))</f>
      </c>
      <c r="D213">
        <f>IF(V213="Sí",COUNTIFS(DATOS!G:G,CONFIG_METADATA!$B$4,DATOS!D:D,A213,DATOS!I:I,B213),"")</f>
        <v>0</v>
      </c>
      <c r="E213" s="14" t="str">
        <f>IF(V213="Sí",IFERROR(AVERAGEIFS(DATOS!K:K,DATOS!G:G,CONFIG_METADATA!$B$4,DATOS!D:D,A213,DATOS!I:I,B213),"—"),"")</f>
        <v>—</v>
      </c>
      <c r="F213" s="14" t="str" cm="1">
        <f t="array" ref="F213">IF(V213="Sí",IFERROR(_xlfn.STDEV.P(IF((DATOS!$G$2:$G$20000=CONFIG_METADATA!$B$4)*(DATOS!$D$2:$D$20000=A213)*(DATOS!$I$2:$I$20000=B213),DATOS!$K$2:$K$20000)),"—"),"")</f>
        <v>—</v>
      </c>
      <c r="G213" t="str" cm="1">
        <f t="array" ref="G213">IF(V213="Sí",IFERROR(_xlfn.MODE.SNGL(IF((DATOS!$G$2:$G$20000=CONFIG_METADATA!$B$4)*(DATOS!$D$2:$D$20000=A213)*(DATOS!$I$2:$I$20000=B213),DATOS!$K$2:$K$20000)),"—"),"")</f>
        <v>—</v>
      </c>
      <c r="H213" s="15" t="str">
        <f>IF(V213="Sí",IFERROR(COUNTIFS(DATOS!G:G,CONFIG_METADATA!$B$4,DATOS!D:D,A213,DATOS!I:I,B213,DATOS!L:L,"S")/COUNTIFS(DATOS!G:G,CONFIG_METADATA!$B$4,DATOS!D:D,A213,DATOS!I:I,B213),"—"),"")</f>
        <v>—</v>
      </c>
      <c r="I213" s="15" t="str">
        <f>IF(V213="Sí",IFERROR(COUNTIFS(DATOS!G:G,CONFIG_METADATA!$B$4,DATOS!D:D,A213,DATOS!I:I,B213,DATOS!L:L,"N")/COUNTIFS(DATOS!G:G,CONFIG_METADATA!$B$4,DATOS!D:D,A213,DATOS!I:I,B213),"—"),"")</f>
        <v>—</v>
      </c>
      <c r="J213" t="str" cm="1">
        <f t="array" ref="J213">IF(V213="Sí",IFERROR(_xlfn.MODE.SNGL(IF((DATOS!$G$2:$G$20000=CONFIG_METADATA!$B$4)*(DATOS!$D$2:$D$20000=A213)*(DATOS!$I$2:$I$20000=B213)*(DATOS!$L$2:$L$20000="S"),DATOS!$K$2:$K$20000)),"—"),"")</f>
        <v>—</v>
      </c>
      <c r="K213" t="str" cm="1">
        <f t="array" ref="K213">IF(V213="Sí",IFERROR(_xlfn.MODE.SNGL(IF((DATOS!$G$2:$G$20000=CONFIG_METADATA!$B$4)*(DATOS!$D$2:$D$20000=A213)*(DATOS!$I$2:$I$20000=B213)*(DATOS!$L$2:$L$20000="N"),DATOS!$K$2:$K$20000)),"—"),"")</f>
        <v>—</v>
      </c>
      <c r="L213">
        <f>IF(V213="Sí",COUNTIFS(DATOS!G:G,CONFIG_METADATA!$B$4,DATOS!D:D,A213,DATOS!I:I,B213,DATOS!K:K,1),"")</f>
        <v>0</v>
      </c>
      <c r="M213">
        <f>IF(V213="Sí",COUNTIFS(DATOS!G:G,CONFIG_METADATA!$B$4,DATOS!D:D,A213,DATOS!I:I,B213,DATOS!K:K,2),"")</f>
        <v>0</v>
      </c>
      <c r="N213">
        <f>IF(V213="Sí",COUNTIFS(DATOS!G:G,CONFIG_METADATA!$B$4,DATOS!D:D,A213,DATOS!I:I,B213,DATOS!K:K,3),"")</f>
        <v>0</v>
      </c>
      <c r="O213">
        <f>IF(V213="Sí",COUNTIFS(DATOS!G:G,CONFIG_METADATA!$B$4,DATOS!D:D,A213,DATOS!I:I,B213,DATOS!K:K,4),"")</f>
        <v>0</v>
      </c>
      <c r="P213">
        <f>IF(V213="Sí",COUNTIFS(DATOS!G:G,CONFIG_METADATA!$B$4,DATOS!D:D,A213,DATOS!I:I,B213,DATOS!K:K,5),"")</f>
        <v>0</v>
      </c>
      <c r="Q213">
        <f>IF(V213="Sí",COUNTIFS(DATOS!G:G,CONFIG_METADATA!$B$4,DATOS!D:D,A213,DATOS!I:I,B213,DATOS!K:K,6),"")</f>
        <v>0</v>
      </c>
      <c r="R213">
        <f>IF(V213="Sí",COUNTIFS(DATOS!G:G,CONFIG_METADATA!$B$4,DATOS!D:D,A213,DATOS!I:I,B213,DATOS!K:K,7),"")</f>
        <v>0</v>
      </c>
      <c r="S213">
        <f>IF(V213="Sí",COUNTIFS(DATOS!G:G,CONFIG_METADATA!$B$4,DATOS!D:D,A213,DATOS!I:I,B213,DATOS!K:K,8),"")</f>
        <v>0</v>
      </c>
      <c r="T213">
        <f>IF(V213="Sí",COUNTIFS(DATOS!G:G,CONFIG_METADATA!$B$4,DATOS!D:D,A213,DATOS!I:I,B213,DATOS!K:K,9),"")</f>
        <v>0</v>
      </c>
      <c r="U213">
        <f>IF(V213="Sí",COUNTIFS(DATOS!G:G,CONFIG_METADATA!$B$4,DATOS!D:D,A213,DATOS!I:I,B213,DATOS!K:K,10),"")</f>
        <v>0</v>
      </c>
      <c r="V213" t="str">
        <f>IFERROR(IF(ISERROR(FIND(A213,VLOOKUP(B213,CONFIG_ASIGNATURAS!B:C,2,FALSE()))),"No","Sí"),"No")</f>
        <v>Sí</v>
      </c>
    </row>
    <row r="214" spans="1:22">
      <c r="A214" s="3" t="inlineStr">
        <is>
          <t xml:space="preserve">3EEM</t>
        </is>
      </c>
      <c r="B214" s="3" cm="1">
        <f t="array" ref="B214">IFERROR(INDEX(_xlfn._xlws.FILTER(CONFIG_ASIGNATURAS!$B$2:$B$61,(CONFIG_ASIGNATURAS!$G$2:$G$61="Sí")*ISNUMBER(SEARCH("3EEM",CONFIG_ASIGNATURAS!$C$2:$C$61))),21),"")</f>
      </c>
      <c r="C214" s="3">
        <f>IF(B214="","",IFERROR(IF(VLOOKUP(B214,CONFIG_ASIGNATURAS!$B$2:$F$61,5,FALSE())="Sí","Especialidad","Asignatura"),"Asignatura"))</f>
      </c>
      <c r="D214">
        <f>IF(V214="Sí",COUNTIFS(DATOS!G:G,CONFIG_METADATA!$B$4,DATOS!D:D,A214,DATOS!I:I,B214),"")</f>
        <v>0</v>
      </c>
      <c r="E214" s="14" t="str">
        <f>IF(V214="Sí",IFERROR(AVERAGEIFS(DATOS!K:K,DATOS!G:G,CONFIG_METADATA!$B$4,DATOS!D:D,A214,DATOS!I:I,B214),"—"),"")</f>
        <v>—</v>
      </c>
      <c r="F214" s="14" t="str" cm="1">
        <f t="array" ref="F214">IF(V214="Sí",IFERROR(_xlfn.STDEV.P(IF((DATOS!$G$2:$G$20000=CONFIG_METADATA!$B$4)*(DATOS!$D$2:$D$20000=A214)*(DATOS!$I$2:$I$20000=B214),DATOS!$K$2:$K$20000)),"—"),"")</f>
        <v>—</v>
      </c>
      <c r="G214" t="str" cm="1">
        <f t="array" ref="G214">IF(V214="Sí",IFERROR(_xlfn.MODE.SNGL(IF((DATOS!$G$2:$G$20000=CONFIG_METADATA!$B$4)*(DATOS!$D$2:$D$20000=A214)*(DATOS!$I$2:$I$20000=B214),DATOS!$K$2:$K$20000)),"—"),"")</f>
        <v>—</v>
      </c>
      <c r="H214" s="15" t="str">
        <f>IF(V214="Sí",IFERROR(COUNTIFS(DATOS!G:G,CONFIG_METADATA!$B$4,DATOS!D:D,A214,DATOS!I:I,B214,DATOS!L:L,"S")/COUNTIFS(DATOS!G:G,CONFIG_METADATA!$B$4,DATOS!D:D,A214,DATOS!I:I,B214),"—"),"")</f>
        <v>—</v>
      </c>
      <c r="I214" s="15" t="str">
        <f>IF(V214="Sí",IFERROR(COUNTIFS(DATOS!G:G,CONFIG_METADATA!$B$4,DATOS!D:D,A214,DATOS!I:I,B214,DATOS!L:L,"N")/COUNTIFS(DATOS!G:G,CONFIG_METADATA!$B$4,DATOS!D:D,A214,DATOS!I:I,B214),"—"),"")</f>
        <v>—</v>
      </c>
      <c r="J214" t="str" cm="1">
        <f t="array" ref="J214">IF(V214="Sí",IFERROR(_xlfn.MODE.SNGL(IF((DATOS!$G$2:$G$20000=CONFIG_METADATA!$B$4)*(DATOS!$D$2:$D$20000=A214)*(DATOS!$I$2:$I$20000=B214)*(DATOS!$L$2:$L$20000="S"),DATOS!$K$2:$K$20000)),"—"),"")</f>
        <v>—</v>
      </c>
      <c r="K214" t="str" cm="1">
        <f t="array" ref="K214">IF(V214="Sí",IFERROR(_xlfn.MODE.SNGL(IF((DATOS!$G$2:$G$20000=CONFIG_METADATA!$B$4)*(DATOS!$D$2:$D$20000=A214)*(DATOS!$I$2:$I$20000=B214)*(DATOS!$L$2:$L$20000="N"),DATOS!$K$2:$K$20000)),"—"),"")</f>
        <v>—</v>
      </c>
      <c r="L214">
        <f>IF(V214="Sí",COUNTIFS(DATOS!G:G,CONFIG_METADATA!$B$4,DATOS!D:D,A214,DATOS!I:I,B214,DATOS!K:K,1),"")</f>
        <v>0</v>
      </c>
      <c r="M214">
        <f>IF(V214="Sí",COUNTIFS(DATOS!G:G,CONFIG_METADATA!$B$4,DATOS!D:D,A214,DATOS!I:I,B214,DATOS!K:K,2),"")</f>
        <v>0</v>
      </c>
      <c r="N214">
        <f>IF(V214="Sí",COUNTIFS(DATOS!G:G,CONFIG_METADATA!$B$4,DATOS!D:D,A214,DATOS!I:I,B214,DATOS!K:K,3),"")</f>
        <v>0</v>
      </c>
      <c r="O214">
        <f>IF(V214="Sí",COUNTIFS(DATOS!G:G,CONFIG_METADATA!$B$4,DATOS!D:D,A214,DATOS!I:I,B214,DATOS!K:K,4),"")</f>
        <v>0</v>
      </c>
      <c r="P214">
        <f>IF(V214="Sí",COUNTIFS(DATOS!G:G,CONFIG_METADATA!$B$4,DATOS!D:D,A214,DATOS!I:I,B214,DATOS!K:K,5),"")</f>
        <v>0</v>
      </c>
      <c r="Q214">
        <f>IF(V214="Sí",COUNTIFS(DATOS!G:G,CONFIG_METADATA!$B$4,DATOS!D:D,A214,DATOS!I:I,B214,DATOS!K:K,6),"")</f>
        <v>0</v>
      </c>
      <c r="R214">
        <f>IF(V214="Sí",COUNTIFS(DATOS!G:G,CONFIG_METADATA!$B$4,DATOS!D:D,A214,DATOS!I:I,B214,DATOS!K:K,7),"")</f>
        <v>0</v>
      </c>
      <c r="S214">
        <f>IF(V214="Sí",COUNTIFS(DATOS!G:G,CONFIG_METADATA!$B$4,DATOS!D:D,A214,DATOS!I:I,B214,DATOS!K:K,8),"")</f>
        <v>0</v>
      </c>
      <c r="T214">
        <f>IF(V214="Sí",COUNTIFS(DATOS!G:G,CONFIG_METADATA!$B$4,DATOS!D:D,A214,DATOS!I:I,B214,DATOS!K:K,9),"")</f>
        <v>0</v>
      </c>
      <c r="U214">
        <f>IF(V214="Sí",COUNTIFS(DATOS!G:G,CONFIG_METADATA!$B$4,DATOS!D:D,A214,DATOS!I:I,B214,DATOS!K:K,10),"")</f>
        <v>0</v>
      </c>
      <c r="V214" t="str">
        <f>IFERROR(IF(ISERROR(FIND(A214,VLOOKUP(B214,CONFIG_ASIGNATURAS!B:C,2,FALSE()))),"No","Sí"),"No")</f>
        <v>Sí</v>
      </c>
    </row>
    <row r="215" spans="1:22">
      <c r="A215" s="3" t="inlineStr">
        <is>
          <t xml:space="preserve">3EEM</t>
        </is>
      </c>
      <c r="B215" s="3" cm="1">
        <f t="array" ref="B215">IFERROR(INDEX(_xlfn._xlws.FILTER(CONFIG_ASIGNATURAS!$B$2:$B$61,(CONFIG_ASIGNATURAS!$G$2:$G$61="Sí")*ISNUMBER(SEARCH("3EEM",CONFIG_ASIGNATURAS!$C$2:$C$61))),22),"")</f>
      </c>
      <c r="C215" s="3">
        <f>IF(B215="","",IFERROR(IF(VLOOKUP(B215,CONFIG_ASIGNATURAS!$B$2:$F$61,5,FALSE())="Sí","Especialidad","Asignatura"),"Asignatura"))</f>
      </c>
      <c r="D215">
        <f>IF(V215="Sí",COUNTIFS(DATOS!G:G,CONFIG_METADATA!$B$4,DATOS!D:D,A215,DATOS!I:I,B215),"")</f>
        <v>0</v>
      </c>
      <c r="E215" s="14" t="str">
        <f>IF(V215="Sí",IFERROR(AVERAGEIFS(DATOS!K:K,DATOS!G:G,CONFIG_METADATA!$B$4,DATOS!D:D,A215,DATOS!I:I,B215),"—"),"")</f>
        <v>—</v>
      </c>
      <c r="F215" s="14" t="str" cm="1">
        <f t="array" ref="F215">IF(V215="Sí",IFERROR(_xlfn.STDEV.P(IF((DATOS!$G$2:$G$20000=CONFIG_METADATA!$B$4)*(DATOS!$D$2:$D$20000=A215)*(DATOS!$I$2:$I$20000=B215),DATOS!$K$2:$K$20000)),"—"),"")</f>
        <v>—</v>
      </c>
      <c r="G215" t="str" cm="1">
        <f t="array" ref="G215">IF(V215="Sí",IFERROR(_xlfn.MODE.SNGL(IF((DATOS!$G$2:$G$20000=CONFIG_METADATA!$B$4)*(DATOS!$D$2:$D$20000=A215)*(DATOS!$I$2:$I$20000=B215),DATOS!$K$2:$K$20000)),"—"),"")</f>
        <v>—</v>
      </c>
      <c r="H215" s="15" t="str">
        <f>IF(V215="Sí",IFERROR(COUNTIFS(DATOS!G:G,CONFIG_METADATA!$B$4,DATOS!D:D,A215,DATOS!I:I,B215,DATOS!L:L,"S")/COUNTIFS(DATOS!G:G,CONFIG_METADATA!$B$4,DATOS!D:D,A215,DATOS!I:I,B215),"—"),"")</f>
        <v>—</v>
      </c>
      <c r="I215" s="15" t="str">
        <f>IF(V215="Sí",IFERROR(COUNTIFS(DATOS!G:G,CONFIG_METADATA!$B$4,DATOS!D:D,A215,DATOS!I:I,B215,DATOS!L:L,"N")/COUNTIFS(DATOS!G:G,CONFIG_METADATA!$B$4,DATOS!D:D,A215,DATOS!I:I,B215),"—"),"")</f>
        <v>—</v>
      </c>
      <c r="J215" t="str" cm="1">
        <f t="array" ref="J215">IF(V215="Sí",IFERROR(_xlfn.MODE.SNGL(IF((DATOS!$G$2:$G$20000=CONFIG_METADATA!$B$4)*(DATOS!$D$2:$D$20000=A215)*(DATOS!$I$2:$I$20000=B215)*(DATOS!$L$2:$L$20000="S"),DATOS!$K$2:$K$20000)),"—"),"")</f>
        <v>—</v>
      </c>
      <c r="K215" t="str" cm="1">
        <f t="array" ref="K215">IF(V215="Sí",IFERROR(_xlfn.MODE.SNGL(IF((DATOS!$G$2:$G$20000=CONFIG_METADATA!$B$4)*(DATOS!$D$2:$D$20000=A215)*(DATOS!$I$2:$I$20000=B215)*(DATOS!$L$2:$L$20000="N"),DATOS!$K$2:$K$20000)),"—"),"")</f>
        <v>—</v>
      </c>
      <c r="L215">
        <f>IF(V215="Sí",COUNTIFS(DATOS!G:G,CONFIG_METADATA!$B$4,DATOS!D:D,A215,DATOS!I:I,B215,DATOS!K:K,1),"")</f>
        <v>0</v>
      </c>
      <c r="M215">
        <f>IF(V215="Sí",COUNTIFS(DATOS!G:G,CONFIG_METADATA!$B$4,DATOS!D:D,A215,DATOS!I:I,B215,DATOS!K:K,2),"")</f>
        <v>0</v>
      </c>
      <c r="N215">
        <f>IF(V215="Sí",COUNTIFS(DATOS!G:G,CONFIG_METADATA!$B$4,DATOS!D:D,A215,DATOS!I:I,B215,DATOS!K:K,3),"")</f>
        <v>0</v>
      </c>
      <c r="O215">
        <f>IF(V215="Sí",COUNTIFS(DATOS!G:G,CONFIG_METADATA!$B$4,DATOS!D:D,A215,DATOS!I:I,B215,DATOS!K:K,4),"")</f>
        <v>0</v>
      </c>
      <c r="P215">
        <f>IF(V215="Sí",COUNTIFS(DATOS!G:G,CONFIG_METADATA!$B$4,DATOS!D:D,A215,DATOS!I:I,B215,DATOS!K:K,5),"")</f>
        <v>0</v>
      </c>
      <c r="Q215">
        <f>IF(V215="Sí",COUNTIFS(DATOS!G:G,CONFIG_METADATA!$B$4,DATOS!D:D,A215,DATOS!I:I,B215,DATOS!K:K,6),"")</f>
        <v>0</v>
      </c>
      <c r="R215">
        <f>IF(V215="Sí",COUNTIFS(DATOS!G:G,CONFIG_METADATA!$B$4,DATOS!D:D,A215,DATOS!I:I,B215,DATOS!K:K,7),"")</f>
        <v>0</v>
      </c>
      <c r="S215">
        <f>IF(V215="Sí",COUNTIFS(DATOS!G:G,CONFIG_METADATA!$B$4,DATOS!D:D,A215,DATOS!I:I,B215,DATOS!K:K,8),"")</f>
        <v>0</v>
      </c>
      <c r="T215">
        <f>IF(V215="Sí",COUNTIFS(DATOS!G:G,CONFIG_METADATA!$B$4,DATOS!D:D,A215,DATOS!I:I,B215,DATOS!K:K,9),"")</f>
        <v>0</v>
      </c>
      <c r="U215">
        <f>IF(V215="Sí",COUNTIFS(DATOS!G:G,CONFIG_METADATA!$B$4,DATOS!D:D,A215,DATOS!I:I,B215,DATOS!K:K,10),"")</f>
        <v>0</v>
      </c>
      <c r="V215" t="str">
        <f>IFERROR(IF(ISERROR(FIND(A215,VLOOKUP(B215,CONFIG_ASIGNATURAS!B:C,2,FALSE()))),"No","Sí"),"No")</f>
        <v>Sí</v>
      </c>
    </row>
    <row r="216" spans="1:22">
      <c r="A216" s="3" t="inlineStr">
        <is>
          <t xml:space="preserve">3EEM</t>
        </is>
      </c>
      <c r="B216" s="3" cm="1">
        <f t="array" ref="B216">IFERROR(INDEX(_xlfn._xlws.FILTER(CONFIG_ASIGNATURAS!$B$2:$B$61,(CONFIG_ASIGNATURAS!$G$2:$G$61="Sí")*ISNUMBER(SEARCH("3EEM",CONFIG_ASIGNATURAS!$C$2:$C$61))),23),"")</f>
      </c>
      <c r="C216" s="3">
        <f>IF(B216="","",IFERROR(IF(VLOOKUP(B216,CONFIG_ASIGNATURAS!$B$2:$F$61,5,FALSE())="Sí","Especialidad","Asignatura"),"Asignatura"))</f>
      </c>
      <c r="D216">
        <f>IF(V216="Sí",COUNTIFS(DATOS!G:G,CONFIG_METADATA!$B$4,DATOS!D:D,A216,DATOS!I:I,B216),"")</f>
        <v>0</v>
      </c>
      <c r="E216" s="14" t="str">
        <f>IF(V216="Sí",IFERROR(AVERAGEIFS(DATOS!K:K,DATOS!G:G,CONFIG_METADATA!$B$4,DATOS!D:D,A216,DATOS!I:I,B216),"—"),"")</f>
        <v>—</v>
      </c>
      <c r="F216" s="14" t="str" cm="1">
        <f t="array" ref="F216">IF(V216="Sí",IFERROR(_xlfn.STDEV.P(IF((DATOS!$G$2:$G$20000=CONFIG_METADATA!$B$4)*(DATOS!$D$2:$D$20000=A216)*(DATOS!$I$2:$I$20000=B216),DATOS!$K$2:$K$20000)),"—"),"")</f>
        <v>—</v>
      </c>
      <c r="G216" t="str" cm="1">
        <f t="array" ref="G216">IF(V216="Sí",IFERROR(_xlfn.MODE.SNGL(IF((DATOS!$G$2:$G$20000=CONFIG_METADATA!$B$4)*(DATOS!$D$2:$D$20000=A216)*(DATOS!$I$2:$I$20000=B216),DATOS!$K$2:$K$20000)),"—"),"")</f>
        <v>—</v>
      </c>
      <c r="H216" s="15" t="str">
        <f>IF(V216="Sí",IFERROR(COUNTIFS(DATOS!G:G,CONFIG_METADATA!$B$4,DATOS!D:D,A216,DATOS!I:I,B216,DATOS!L:L,"S")/COUNTIFS(DATOS!G:G,CONFIG_METADATA!$B$4,DATOS!D:D,A216,DATOS!I:I,B216),"—"),"")</f>
        <v>—</v>
      </c>
      <c r="I216" s="15" t="str">
        <f>IF(V216="Sí",IFERROR(COUNTIFS(DATOS!G:G,CONFIG_METADATA!$B$4,DATOS!D:D,A216,DATOS!I:I,B216,DATOS!L:L,"N")/COUNTIFS(DATOS!G:G,CONFIG_METADATA!$B$4,DATOS!D:D,A216,DATOS!I:I,B216),"—"),"")</f>
        <v>—</v>
      </c>
      <c r="J216" t="str" cm="1">
        <f t="array" ref="J216">IF(V216="Sí",IFERROR(_xlfn.MODE.SNGL(IF((DATOS!$G$2:$G$20000=CONFIG_METADATA!$B$4)*(DATOS!$D$2:$D$20000=A216)*(DATOS!$I$2:$I$20000=B216)*(DATOS!$L$2:$L$20000="S"),DATOS!$K$2:$K$20000)),"—"),"")</f>
        <v>—</v>
      </c>
      <c r="K216" t="str" cm="1">
        <f t="array" ref="K216">IF(V216="Sí",IFERROR(_xlfn.MODE.SNGL(IF((DATOS!$G$2:$G$20000=CONFIG_METADATA!$B$4)*(DATOS!$D$2:$D$20000=A216)*(DATOS!$I$2:$I$20000=B216)*(DATOS!$L$2:$L$20000="N"),DATOS!$K$2:$K$20000)),"—"),"")</f>
        <v>—</v>
      </c>
      <c r="L216">
        <f>IF(V216="Sí",COUNTIFS(DATOS!G:G,CONFIG_METADATA!$B$4,DATOS!D:D,A216,DATOS!I:I,B216,DATOS!K:K,1),"")</f>
        <v>0</v>
      </c>
      <c r="M216">
        <f>IF(V216="Sí",COUNTIFS(DATOS!G:G,CONFIG_METADATA!$B$4,DATOS!D:D,A216,DATOS!I:I,B216,DATOS!K:K,2),"")</f>
        <v>0</v>
      </c>
      <c r="N216">
        <f>IF(V216="Sí",COUNTIFS(DATOS!G:G,CONFIG_METADATA!$B$4,DATOS!D:D,A216,DATOS!I:I,B216,DATOS!K:K,3),"")</f>
        <v>0</v>
      </c>
      <c r="O216">
        <f>IF(V216="Sí",COUNTIFS(DATOS!G:G,CONFIG_METADATA!$B$4,DATOS!D:D,A216,DATOS!I:I,B216,DATOS!K:K,4),"")</f>
        <v>0</v>
      </c>
      <c r="P216">
        <f>IF(V216="Sí",COUNTIFS(DATOS!G:G,CONFIG_METADATA!$B$4,DATOS!D:D,A216,DATOS!I:I,B216,DATOS!K:K,5),"")</f>
        <v>0</v>
      </c>
      <c r="Q216">
        <f>IF(V216="Sí",COUNTIFS(DATOS!G:G,CONFIG_METADATA!$B$4,DATOS!D:D,A216,DATOS!I:I,B216,DATOS!K:K,6),"")</f>
        <v>0</v>
      </c>
      <c r="R216">
        <f>IF(V216="Sí",COUNTIFS(DATOS!G:G,CONFIG_METADATA!$B$4,DATOS!D:D,A216,DATOS!I:I,B216,DATOS!K:K,7),"")</f>
        <v>0</v>
      </c>
      <c r="S216">
        <f>IF(V216="Sí",COUNTIFS(DATOS!G:G,CONFIG_METADATA!$B$4,DATOS!D:D,A216,DATOS!I:I,B216,DATOS!K:K,8),"")</f>
        <v>0</v>
      </c>
      <c r="T216">
        <f>IF(V216="Sí",COUNTIFS(DATOS!G:G,CONFIG_METADATA!$B$4,DATOS!D:D,A216,DATOS!I:I,B216,DATOS!K:K,9),"")</f>
        <v>0</v>
      </c>
      <c r="U216">
        <f>IF(V216="Sí",COUNTIFS(DATOS!G:G,CONFIG_METADATA!$B$4,DATOS!D:D,A216,DATOS!I:I,B216,DATOS!K:K,10),"")</f>
        <v>0</v>
      </c>
      <c r="V216" t="str">
        <f>IFERROR(IF(ISERROR(FIND(A216,VLOOKUP(B216,CONFIG_ASIGNATURAS!B:C,2,FALSE()))),"No","Sí"),"No")</f>
        <v>Sí</v>
      </c>
    </row>
    <row r="217" spans="1:22">
      <c r="A217" s="3" t="inlineStr">
        <is>
          <t xml:space="preserve">3EEM</t>
        </is>
      </c>
      <c r="B217" s="3" cm="1">
        <f t="array" ref="B217">IFERROR(INDEX(_xlfn._xlws.FILTER(CONFIG_ASIGNATURAS!$B$2:$B$61,(CONFIG_ASIGNATURAS!$G$2:$G$61="Sí")*ISNUMBER(SEARCH("3EEM",CONFIG_ASIGNATURAS!$C$2:$C$61))),24),"")</f>
      </c>
      <c r="C217" s="3">
        <f>IF(B217="","",IFERROR(IF(VLOOKUP(B217,CONFIG_ASIGNATURAS!$B$2:$F$61,5,FALSE())="Sí","Especialidad","Asignatura"),"Asignatura"))</f>
      </c>
      <c r="D217">
        <f>IF(V217="Sí",COUNTIFS(DATOS!G:G,CONFIG_METADATA!$B$4,DATOS!D:D,A217,DATOS!I:I,B217),"")</f>
        <v>0</v>
      </c>
      <c r="E217" s="14" t="str">
        <f>IF(V217="Sí",IFERROR(AVERAGEIFS(DATOS!K:K,DATOS!G:G,CONFIG_METADATA!$B$4,DATOS!D:D,A217,DATOS!I:I,B217),"—"),"")</f>
        <v>—</v>
      </c>
      <c r="F217" s="14" t="str" cm="1">
        <f t="array" ref="F217">IF(V217="Sí",IFERROR(_xlfn.STDEV.P(IF((DATOS!$G$2:$G$20000=CONFIG_METADATA!$B$4)*(DATOS!$D$2:$D$20000=A217)*(DATOS!$I$2:$I$20000=B217),DATOS!$K$2:$K$20000)),"—"),"")</f>
        <v>—</v>
      </c>
      <c r="G217" t="str" cm="1">
        <f t="array" ref="G217">IF(V217="Sí",IFERROR(_xlfn.MODE.SNGL(IF((DATOS!$G$2:$G$20000=CONFIG_METADATA!$B$4)*(DATOS!$D$2:$D$20000=A217)*(DATOS!$I$2:$I$20000=B217),DATOS!$K$2:$K$20000)),"—"),"")</f>
        <v>—</v>
      </c>
      <c r="H217" s="15" t="str">
        <f>IF(V217="Sí",IFERROR(COUNTIFS(DATOS!G:G,CONFIG_METADATA!$B$4,DATOS!D:D,A217,DATOS!I:I,B217,DATOS!L:L,"S")/COUNTIFS(DATOS!G:G,CONFIG_METADATA!$B$4,DATOS!D:D,A217,DATOS!I:I,B217),"—"),"")</f>
        <v>—</v>
      </c>
      <c r="I217" s="15" t="str">
        <f>IF(V217="Sí",IFERROR(COUNTIFS(DATOS!G:G,CONFIG_METADATA!$B$4,DATOS!D:D,A217,DATOS!I:I,B217,DATOS!L:L,"N")/COUNTIFS(DATOS!G:G,CONFIG_METADATA!$B$4,DATOS!D:D,A217,DATOS!I:I,B217),"—"),"")</f>
        <v>—</v>
      </c>
      <c r="J217" t="str" cm="1">
        <f t="array" ref="J217">IF(V217="Sí",IFERROR(_xlfn.MODE.SNGL(IF((DATOS!$G$2:$G$20000=CONFIG_METADATA!$B$4)*(DATOS!$D$2:$D$20000=A217)*(DATOS!$I$2:$I$20000=B217)*(DATOS!$L$2:$L$20000="S"),DATOS!$K$2:$K$20000)),"—"),"")</f>
        <v>—</v>
      </c>
      <c r="K217" t="str" cm="1">
        <f t="array" ref="K217">IF(V217="Sí",IFERROR(_xlfn.MODE.SNGL(IF((DATOS!$G$2:$G$20000=CONFIG_METADATA!$B$4)*(DATOS!$D$2:$D$20000=A217)*(DATOS!$I$2:$I$20000=B217)*(DATOS!$L$2:$L$20000="N"),DATOS!$K$2:$K$20000)),"—"),"")</f>
        <v>—</v>
      </c>
      <c r="L217">
        <f>IF(V217="Sí",COUNTIFS(DATOS!G:G,CONFIG_METADATA!$B$4,DATOS!D:D,A217,DATOS!I:I,B217,DATOS!K:K,1),"")</f>
        <v>0</v>
      </c>
      <c r="M217">
        <f>IF(V217="Sí",COUNTIFS(DATOS!G:G,CONFIG_METADATA!$B$4,DATOS!D:D,A217,DATOS!I:I,B217,DATOS!K:K,2),"")</f>
        <v>0</v>
      </c>
      <c r="N217">
        <f>IF(V217="Sí",COUNTIFS(DATOS!G:G,CONFIG_METADATA!$B$4,DATOS!D:D,A217,DATOS!I:I,B217,DATOS!K:K,3),"")</f>
        <v>0</v>
      </c>
      <c r="O217">
        <f>IF(V217="Sí",COUNTIFS(DATOS!G:G,CONFIG_METADATA!$B$4,DATOS!D:D,A217,DATOS!I:I,B217,DATOS!K:K,4),"")</f>
        <v>0</v>
      </c>
      <c r="P217">
        <f>IF(V217="Sí",COUNTIFS(DATOS!G:G,CONFIG_METADATA!$B$4,DATOS!D:D,A217,DATOS!I:I,B217,DATOS!K:K,5),"")</f>
        <v>0</v>
      </c>
      <c r="Q217">
        <f>IF(V217="Sí",COUNTIFS(DATOS!G:G,CONFIG_METADATA!$B$4,DATOS!D:D,A217,DATOS!I:I,B217,DATOS!K:K,6),"")</f>
        <v>0</v>
      </c>
      <c r="R217">
        <f>IF(V217="Sí",COUNTIFS(DATOS!G:G,CONFIG_METADATA!$B$4,DATOS!D:D,A217,DATOS!I:I,B217,DATOS!K:K,7),"")</f>
        <v>0</v>
      </c>
      <c r="S217">
        <f>IF(V217="Sí",COUNTIFS(DATOS!G:G,CONFIG_METADATA!$B$4,DATOS!D:D,A217,DATOS!I:I,B217,DATOS!K:K,8),"")</f>
        <v>0</v>
      </c>
      <c r="T217">
        <f>IF(V217="Sí",COUNTIFS(DATOS!G:G,CONFIG_METADATA!$B$4,DATOS!D:D,A217,DATOS!I:I,B217,DATOS!K:K,9),"")</f>
        <v>0</v>
      </c>
      <c r="U217">
        <f>IF(V217="Sí",COUNTIFS(DATOS!G:G,CONFIG_METADATA!$B$4,DATOS!D:D,A217,DATOS!I:I,B217,DATOS!K:K,10),"")</f>
        <v>0</v>
      </c>
      <c r="V217" t="str">
        <f>IFERROR(IF(ISERROR(FIND(A217,VLOOKUP(B217,CONFIG_ASIGNATURAS!B:C,2,FALSE()))),"No","Sí"),"No")</f>
        <v>Sí</v>
      </c>
    </row>
    <row r="218" spans="1:22">
      <c r="A218" s="3" t="inlineStr">
        <is>
          <t xml:space="preserve">3EEM</t>
        </is>
      </c>
      <c r="B218" s="3" cm="1">
        <f t="array" ref="B218">IFERROR(INDEX(_xlfn._xlws.FILTER(CONFIG_ASIGNATURAS!$B$2:$B$61,(CONFIG_ASIGNATURAS!$G$2:$G$61="Sí")*ISNUMBER(SEARCH("3EEM",CONFIG_ASIGNATURAS!$C$2:$C$61))),25),"")</f>
      </c>
      <c r="C218" s="3">
        <f>IF(B218="","",IFERROR(IF(VLOOKUP(B218,CONFIG_ASIGNATURAS!$B$2:$F$61,5,FALSE())="Sí","Especialidad","Asignatura"),"Asignatura"))</f>
      </c>
      <c r="D218">
        <f>IF(V218="Sí",COUNTIFS(DATOS!G:G,CONFIG_METADATA!$B$4,DATOS!D:D,A218,DATOS!I:I,B218),"")</f>
        <v>0</v>
      </c>
      <c r="E218" s="14" t="str">
        <f>IF(V218="Sí",IFERROR(AVERAGEIFS(DATOS!K:K,DATOS!G:G,CONFIG_METADATA!$B$4,DATOS!D:D,A218,DATOS!I:I,B218),"—"),"")</f>
        <v>—</v>
      </c>
      <c r="F218" s="14" t="str" cm="1">
        <f t="array" ref="F218">IF(V218="Sí",IFERROR(_xlfn.STDEV.P(IF((DATOS!$G$2:$G$20000=CONFIG_METADATA!$B$4)*(DATOS!$D$2:$D$20000=A218)*(DATOS!$I$2:$I$20000=B218),DATOS!$K$2:$K$20000)),"—"),"")</f>
        <v>—</v>
      </c>
      <c r="G218" t="str" cm="1">
        <f t="array" ref="G218">IF(V218="Sí",IFERROR(_xlfn.MODE.SNGL(IF((DATOS!$G$2:$G$20000=CONFIG_METADATA!$B$4)*(DATOS!$D$2:$D$20000=A218)*(DATOS!$I$2:$I$20000=B218),DATOS!$K$2:$K$20000)),"—"),"")</f>
        <v>—</v>
      </c>
      <c r="H218" s="15" t="str">
        <f>IF(V218="Sí",IFERROR(COUNTIFS(DATOS!G:G,CONFIG_METADATA!$B$4,DATOS!D:D,A218,DATOS!I:I,B218,DATOS!L:L,"S")/COUNTIFS(DATOS!G:G,CONFIG_METADATA!$B$4,DATOS!D:D,A218,DATOS!I:I,B218),"—"),"")</f>
        <v>—</v>
      </c>
      <c r="I218" s="15" t="str">
        <f>IF(V218="Sí",IFERROR(COUNTIFS(DATOS!G:G,CONFIG_METADATA!$B$4,DATOS!D:D,A218,DATOS!I:I,B218,DATOS!L:L,"N")/COUNTIFS(DATOS!G:G,CONFIG_METADATA!$B$4,DATOS!D:D,A218,DATOS!I:I,B218),"—"),"")</f>
        <v>—</v>
      </c>
      <c r="J218" t="str" cm="1">
        <f t="array" ref="J218">IF(V218="Sí",IFERROR(_xlfn.MODE.SNGL(IF((DATOS!$G$2:$G$20000=CONFIG_METADATA!$B$4)*(DATOS!$D$2:$D$20000=A218)*(DATOS!$I$2:$I$20000=B218)*(DATOS!$L$2:$L$20000="S"),DATOS!$K$2:$K$20000)),"—"),"")</f>
        <v>—</v>
      </c>
      <c r="K218" t="str" cm="1">
        <f t="array" ref="K218">IF(V218="Sí",IFERROR(_xlfn.MODE.SNGL(IF((DATOS!$G$2:$G$20000=CONFIG_METADATA!$B$4)*(DATOS!$D$2:$D$20000=A218)*(DATOS!$I$2:$I$20000=B218)*(DATOS!$L$2:$L$20000="N"),DATOS!$K$2:$K$20000)),"—"),"")</f>
        <v>—</v>
      </c>
      <c r="L218">
        <f>IF(V218="Sí",COUNTIFS(DATOS!G:G,CONFIG_METADATA!$B$4,DATOS!D:D,A218,DATOS!I:I,B218,DATOS!K:K,1),"")</f>
        <v>0</v>
      </c>
      <c r="M218">
        <f>IF(V218="Sí",COUNTIFS(DATOS!G:G,CONFIG_METADATA!$B$4,DATOS!D:D,A218,DATOS!I:I,B218,DATOS!K:K,2),"")</f>
        <v>0</v>
      </c>
      <c r="N218">
        <f>IF(V218="Sí",COUNTIFS(DATOS!G:G,CONFIG_METADATA!$B$4,DATOS!D:D,A218,DATOS!I:I,B218,DATOS!K:K,3),"")</f>
        <v>0</v>
      </c>
      <c r="O218">
        <f>IF(V218="Sí",COUNTIFS(DATOS!G:G,CONFIG_METADATA!$B$4,DATOS!D:D,A218,DATOS!I:I,B218,DATOS!K:K,4),"")</f>
        <v>0</v>
      </c>
      <c r="P218">
        <f>IF(V218="Sí",COUNTIFS(DATOS!G:G,CONFIG_METADATA!$B$4,DATOS!D:D,A218,DATOS!I:I,B218,DATOS!K:K,5),"")</f>
        <v>0</v>
      </c>
      <c r="Q218">
        <f>IF(V218="Sí",COUNTIFS(DATOS!G:G,CONFIG_METADATA!$B$4,DATOS!D:D,A218,DATOS!I:I,B218,DATOS!K:K,6),"")</f>
        <v>0</v>
      </c>
      <c r="R218">
        <f>IF(V218="Sí",COUNTIFS(DATOS!G:G,CONFIG_METADATA!$B$4,DATOS!D:D,A218,DATOS!I:I,B218,DATOS!K:K,7),"")</f>
        <v>0</v>
      </c>
      <c r="S218">
        <f>IF(V218="Sí",COUNTIFS(DATOS!G:G,CONFIG_METADATA!$B$4,DATOS!D:D,A218,DATOS!I:I,B218,DATOS!K:K,8),"")</f>
        <v>0</v>
      </c>
      <c r="T218">
        <f>IF(V218="Sí",COUNTIFS(DATOS!G:G,CONFIG_METADATA!$B$4,DATOS!D:D,A218,DATOS!I:I,B218,DATOS!K:K,9),"")</f>
        <v>0</v>
      </c>
      <c r="U218">
        <f>IF(V218="Sí",COUNTIFS(DATOS!G:G,CONFIG_METADATA!$B$4,DATOS!D:D,A218,DATOS!I:I,B218,DATOS!K:K,10),"")</f>
        <v>0</v>
      </c>
      <c r="V218" t="str">
        <f>IFERROR(IF(ISERROR(FIND(A218,VLOOKUP(B218,CONFIG_ASIGNATURAS!B:C,2,FALSE()))),"No","Sí"),"No")</f>
        <v>Sí</v>
      </c>
    </row>
    <row r="219" spans="1:22">
      <c r="A219" s="3" t="inlineStr">
        <is>
          <t xml:space="preserve">3EEM</t>
        </is>
      </c>
      <c r="B219" s="3" cm="1">
        <f t="array" ref="B219">IFERROR(INDEX(_xlfn._xlws.FILTER(CONFIG_ASIGNATURAS!$B$2:$B$61,(CONFIG_ASIGNATURAS!$G$2:$G$61="Sí")*ISNUMBER(SEARCH("3EEM",CONFIG_ASIGNATURAS!$C$2:$C$61))),26),"")</f>
      </c>
      <c r="C219" s="3">
        <f>IF(B219="","",IFERROR(IF(VLOOKUP(B219,CONFIG_ASIGNATURAS!$B$2:$F$61,5,FALSE())="Sí","Especialidad","Asignatura"),"Asignatura"))</f>
      </c>
      <c r="D219">
        <f>IF(V219="Sí",COUNTIFS(DATOS!G:G,CONFIG_METADATA!$B$4,DATOS!D:D,A219,DATOS!I:I,B219),"")</f>
        <v>0</v>
      </c>
      <c r="E219" s="14" t="str">
        <f>IF(V219="Sí",IFERROR(AVERAGEIFS(DATOS!K:K,DATOS!G:G,CONFIG_METADATA!$B$4,DATOS!D:D,A219,DATOS!I:I,B219),"—"),"")</f>
        <v>—</v>
      </c>
      <c r="F219" s="14" t="str" cm="1">
        <f t="array" ref="F219">IF(V219="Sí",IFERROR(_xlfn.STDEV.P(IF((DATOS!$G$2:$G$20000=CONFIG_METADATA!$B$4)*(DATOS!$D$2:$D$20000=A219)*(DATOS!$I$2:$I$20000=B219),DATOS!$K$2:$K$20000)),"—"),"")</f>
        <v>—</v>
      </c>
      <c r="G219" t="str" cm="1">
        <f t="array" ref="G219">IF(V219="Sí",IFERROR(_xlfn.MODE.SNGL(IF((DATOS!$G$2:$G$20000=CONFIG_METADATA!$B$4)*(DATOS!$D$2:$D$20000=A219)*(DATOS!$I$2:$I$20000=B219),DATOS!$K$2:$K$20000)),"—"),"")</f>
        <v>—</v>
      </c>
      <c r="H219" s="15" t="str">
        <f>IF(V219="Sí",IFERROR(COUNTIFS(DATOS!G:G,CONFIG_METADATA!$B$4,DATOS!D:D,A219,DATOS!I:I,B219,DATOS!L:L,"S")/COUNTIFS(DATOS!G:G,CONFIG_METADATA!$B$4,DATOS!D:D,A219,DATOS!I:I,B219),"—"),"")</f>
        <v>—</v>
      </c>
      <c r="I219" s="15" t="str">
        <f>IF(V219="Sí",IFERROR(COUNTIFS(DATOS!G:G,CONFIG_METADATA!$B$4,DATOS!D:D,A219,DATOS!I:I,B219,DATOS!L:L,"N")/COUNTIFS(DATOS!G:G,CONFIG_METADATA!$B$4,DATOS!D:D,A219,DATOS!I:I,B219),"—"),"")</f>
        <v>—</v>
      </c>
      <c r="J219" t="str" cm="1">
        <f t="array" ref="J219">IF(V219="Sí",IFERROR(_xlfn.MODE.SNGL(IF((DATOS!$G$2:$G$20000=CONFIG_METADATA!$B$4)*(DATOS!$D$2:$D$20000=A219)*(DATOS!$I$2:$I$20000=B219)*(DATOS!$L$2:$L$20000="S"),DATOS!$K$2:$K$20000)),"—"),"")</f>
        <v>—</v>
      </c>
      <c r="K219" t="str" cm="1">
        <f t="array" ref="K219">IF(V219="Sí",IFERROR(_xlfn.MODE.SNGL(IF((DATOS!$G$2:$G$20000=CONFIG_METADATA!$B$4)*(DATOS!$D$2:$D$20000=A219)*(DATOS!$I$2:$I$20000=B219)*(DATOS!$L$2:$L$20000="N"),DATOS!$K$2:$K$20000)),"—"),"")</f>
        <v>—</v>
      </c>
      <c r="L219">
        <f>IF(V219="Sí",COUNTIFS(DATOS!G:G,CONFIG_METADATA!$B$4,DATOS!D:D,A219,DATOS!I:I,B219,DATOS!K:K,1),"")</f>
        <v>0</v>
      </c>
      <c r="M219">
        <f>IF(V219="Sí",COUNTIFS(DATOS!G:G,CONFIG_METADATA!$B$4,DATOS!D:D,A219,DATOS!I:I,B219,DATOS!K:K,2),"")</f>
        <v>0</v>
      </c>
      <c r="N219">
        <f>IF(V219="Sí",COUNTIFS(DATOS!G:G,CONFIG_METADATA!$B$4,DATOS!D:D,A219,DATOS!I:I,B219,DATOS!K:K,3),"")</f>
        <v>0</v>
      </c>
      <c r="O219">
        <f>IF(V219="Sí",COUNTIFS(DATOS!G:G,CONFIG_METADATA!$B$4,DATOS!D:D,A219,DATOS!I:I,B219,DATOS!K:K,4),"")</f>
        <v>0</v>
      </c>
      <c r="P219">
        <f>IF(V219="Sí",COUNTIFS(DATOS!G:G,CONFIG_METADATA!$B$4,DATOS!D:D,A219,DATOS!I:I,B219,DATOS!K:K,5),"")</f>
        <v>0</v>
      </c>
      <c r="Q219">
        <f>IF(V219="Sí",COUNTIFS(DATOS!G:G,CONFIG_METADATA!$B$4,DATOS!D:D,A219,DATOS!I:I,B219,DATOS!K:K,6),"")</f>
        <v>0</v>
      </c>
      <c r="R219">
        <f>IF(V219="Sí",COUNTIFS(DATOS!G:G,CONFIG_METADATA!$B$4,DATOS!D:D,A219,DATOS!I:I,B219,DATOS!K:K,7),"")</f>
        <v>0</v>
      </c>
      <c r="S219">
        <f>IF(V219="Sí",COUNTIFS(DATOS!G:G,CONFIG_METADATA!$B$4,DATOS!D:D,A219,DATOS!I:I,B219,DATOS!K:K,8),"")</f>
        <v>0</v>
      </c>
      <c r="T219">
        <f>IF(V219="Sí",COUNTIFS(DATOS!G:G,CONFIG_METADATA!$B$4,DATOS!D:D,A219,DATOS!I:I,B219,DATOS!K:K,9),"")</f>
        <v>0</v>
      </c>
      <c r="U219">
        <f>IF(V219="Sí",COUNTIFS(DATOS!G:G,CONFIG_METADATA!$B$4,DATOS!D:D,A219,DATOS!I:I,B219,DATOS!K:K,10),"")</f>
        <v>0</v>
      </c>
      <c r="V219" t="str">
        <f>IFERROR(IF(ISERROR(FIND(A219,VLOOKUP(B219,CONFIG_ASIGNATURAS!B:C,2,FALSE()))),"No","Sí"),"No")</f>
        <v>Sí</v>
      </c>
    </row>
    <row r="220" spans="1:22">
      <c r="A220" s="3" t="inlineStr">
        <is>
          <t xml:space="preserve">3EEM</t>
        </is>
      </c>
      <c r="B220" s="3" cm="1">
        <f t="array" ref="B220">IFERROR(INDEX(_xlfn._xlws.FILTER(CONFIG_ASIGNATURAS!$B$2:$B$61,(CONFIG_ASIGNATURAS!$G$2:$G$61="Sí")*ISNUMBER(SEARCH("3EEM",CONFIG_ASIGNATURAS!$C$2:$C$61))),27),"")</f>
      </c>
      <c r="C220" s="3">
        <f>IF(B220="","",IFERROR(IF(VLOOKUP(B220,CONFIG_ASIGNATURAS!$B$2:$F$61,5,FALSE())="Sí","Especialidad","Asignatura"),"Asignatura"))</f>
      </c>
      <c r="D220">
        <f>IF(V220="Sí",COUNTIFS(DATOS!G:G,CONFIG_METADATA!$B$4,DATOS!D:D,A220,DATOS!I:I,B220),"")</f>
        <v>0</v>
      </c>
      <c r="E220" s="14" t="str">
        <f>IF(V220="Sí",IFERROR(AVERAGEIFS(DATOS!K:K,DATOS!G:G,CONFIG_METADATA!$B$4,DATOS!D:D,A220,DATOS!I:I,B220),"—"),"")</f>
        <v>—</v>
      </c>
      <c r="F220" s="14" t="str" cm="1">
        <f t="array" ref="F220">IF(V220="Sí",IFERROR(_xlfn.STDEV.P(IF((DATOS!$G$2:$G$20000=CONFIG_METADATA!$B$4)*(DATOS!$D$2:$D$20000=A220)*(DATOS!$I$2:$I$20000=B220),DATOS!$K$2:$K$20000)),"—"),"")</f>
        <v>—</v>
      </c>
      <c r="G220" t="str" cm="1">
        <f t="array" ref="G220">IF(V220="Sí",IFERROR(_xlfn.MODE.SNGL(IF((DATOS!$G$2:$G$20000=CONFIG_METADATA!$B$4)*(DATOS!$D$2:$D$20000=A220)*(DATOS!$I$2:$I$20000=B220),DATOS!$K$2:$K$20000)),"—"),"")</f>
        <v>—</v>
      </c>
      <c r="H220" s="15" t="str">
        <f>IF(V220="Sí",IFERROR(COUNTIFS(DATOS!G:G,CONFIG_METADATA!$B$4,DATOS!D:D,A220,DATOS!I:I,B220,DATOS!L:L,"S")/COUNTIFS(DATOS!G:G,CONFIG_METADATA!$B$4,DATOS!D:D,A220,DATOS!I:I,B220),"—"),"")</f>
        <v>—</v>
      </c>
      <c r="I220" s="15" t="str">
        <f>IF(V220="Sí",IFERROR(COUNTIFS(DATOS!G:G,CONFIG_METADATA!$B$4,DATOS!D:D,A220,DATOS!I:I,B220,DATOS!L:L,"N")/COUNTIFS(DATOS!G:G,CONFIG_METADATA!$B$4,DATOS!D:D,A220,DATOS!I:I,B220),"—"),"")</f>
        <v>—</v>
      </c>
      <c r="J220" t="str" cm="1">
        <f t="array" ref="J220">IF(V220="Sí",IFERROR(_xlfn.MODE.SNGL(IF((DATOS!$G$2:$G$20000=CONFIG_METADATA!$B$4)*(DATOS!$D$2:$D$20000=A220)*(DATOS!$I$2:$I$20000=B220)*(DATOS!$L$2:$L$20000="S"),DATOS!$K$2:$K$20000)),"—"),"")</f>
        <v>—</v>
      </c>
      <c r="K220" t="str" cm="1">
        <f t="array" ref="K220">IF(V220="Sí",IFERROR(_xlfn.MODE.SNGL(IF((DATOS!$G$2:$G$20000=CONFIG_METADATA!$B$4)*(DATOS!$D$2:$D$20000=A220)*(DATOS!$I$2:$I$20000=B220)*(DATOS!$L$2:$L$20000="N"),DATOS!$K$2:$K$20000)),"—"),"")</f>
        <v>—</v>
      </c>
      <c r="L220">
        <f>IF(V220="Sí",COUNTIFS(DATOS!G:G,CONFIG_METADATA!$B$4,DATOS!D:D,A220,DATOS!I:I,B220,DATOS!K:K,1),"")</f>
        <v>0</v>
      </c>
      <c r="M220">
        <f>IF(V220="Sí",COUNTIFS(DATOS!G:G,CONFIG_METADATA!$B$4,DATOS!D:D,A220,DATOS!I:I,B220,DATOS!K:K,2),"")</f>
        <v>0</v>
      </c>
      <c r="N220">
        <f>IF(V220="Sí",COUNTIFS(DATOS!G:G,CONFIG_METADATA!$B$4,DATOS!D:D,A220,DATOS!I:I,B220,DATOS!K:K,3),"")</f>
        <v>0</v>
      </c>
      <c r="O220">
        <f>IF(V220="Sí",COUNTIFS(DATOS!G:G,CONFIG_METADATA!$B$4,DATOS!D:D,A220,DATOS!I:I,B220,DATOS!K:K,4),"")</f>
        <v>0</v>
      </c>
      <c r="P220">
        <f>IF(V220="Sí",COUNTIFS(DATOS!G:G,CONFIG_METADATA!$B$4,DATOS!D:D,A220,DATOS!I:I,B220,DATOS!K:K,5),"")</f>
        <v>0</v>
      </c>
      <c r="Q220">
        <f>IF(V220="Sí",COUNTIFS(DATOS!G:G,CONFIG_METADATA!$B$4,DATOS!D:D,A220,DATOS!I:I,B220,DATOS!K:K,6),"")</f>
        <v>0</v>
      </c>
      <c r="R220">
        <f>IF(V220="Sí",COUNTIFS(DATOS!G:G,CONFIG_METADATA!$B$4,DATOS!D:D,A220,DATOS!I:I,B220,DATOS!K:K,7),"")</f>
        <v>0</v>
      </c>
      <c r="S220">
        <f>IF(V220="Sí",COUNTIFS(DATOS!G:G,CONFIG_METADATA!$B$4,DATOS!D:D,A220,DATOS!I:I,B220,DATOS!K:K,8),"")</f>
        <v>0</v>
      </c>
      <c r="T220">
        <f>IF(V220="Sí",COUNTIFS(DATOS!G:G,CONFIG_METADATA!$B$4,DATOS!D:D,A220,DATOS!I:I,B220,DATOS!K:K,9),"")</f>
        <v>0</v>
      </c>
      <c r="U220">
        <f>IF(V220="Sí",COUNTIFS(DATOS!G:G,CONFIG_METADATA!$B$4,DATOS!D:D,A220,DATOS!I:I,B220,DATOS!K:K,10),"")</f>
        <v>0</v>
      </c>
      <c r="V220" t="str">
        <f>IFERROR(IF(ISERROR(FIND(A220,VLOOKUP(B220,CONFIG_ASIGNATURAS!B:C,2,FALSE()))),"No","Sí"),"No")</f>
        <v>Sí</v>
      </c>
    </row>
    <row r="221" spans="1:22">
      <c r="A221" s="3" t="inlineStr">
        <is>
          <t xml:space="preserve">3EEM</t>
        </is>
      </c>
      <c r="B221" s="3" cm="1">
        <f t="array" ref="B221">IFERROR(INDEX(_xlfn._xlws.FILTER(CONFIG_ASIGNATURAS!$B$2:$B$61,(CONFIG_ASIGNATURAS!$G$2:$G$61="Sí")*ISNUMBER(SEARCH("3EEM",CONFIG_ASIGNATURAS!$C$2:$C$61))),28),"")</f>
      </c>
      <c r="C221" s="3">
        <f>IF(B221="","",IFERROR(IF(VLOOKUP(B221,CONFIG_ASIGNATURAS!$B$2:$F$61,5,FALSE())="Sí","Especialidad","Asignatura"),"Asignatura"))</f>
      </c>
      <c r="D221">
        <f>IF(V221="Sí",COUNTIFS(DATOS!G:G,CONFIG_METADATA!$B$4,DATOS!D:D,A221,DATOS!I:I,B221),"")</f>
        <v>0</v>
      </c>
      <c r="E221" s="14" t="str">
        <f>IF(V221="Sí",IFERROR(AVERAGEIFS(DATOS!K:K,DATOS!G:G,CONFIG_METADATA!$B$4,DATOS!D:D,A221,DATOS!I:I,B221),"—"),"")</f>
        <v>—</v>
      </c>
      <c r="F221" s="14" t="str" cm="1">
        <f t="array" ref="F221">IF(V221="Sí",IFERROR(_xlfn.STDEV.P(IF((DATOS!$G$2:$G$20000=CONFIG_METADATA!$B$4)*(DATOS!$D$2:$D$20000=A221)*(DATOS!$I$2:$I$20000=B221),DATOS!$K$2:$K$20000)),"—"),"")</f>
        <v>—</v>
      </c>
      <c r="G221" t="str" cm="1">
        <f t="array" ref="G221">IF(V221="Sí",IFERROR(_xlfn.MODE.SNGL(IF((DATOS!$G$2:$G$20000=CONFIG_METADATA!$B$4)*(DATOS!$D$2:$D$20000=A221)*(DATOS!$I$2:$I$20000=B221),DATOS!$K$2:$K$20000)),"—"),"")</f>
        <v>—</v>
      </c>
      <c r="H221" s="15" t="str">
        <f>IF(V221="Sí",IFERROR(COUNTIFS(DATOS!G:G,CONFIG_METADATA!$B$4,DATOS!D:D,A221,DATOS!I:I,B221,DATOS!L:L,"S")/COUNTIFS(DATOS!G:G,CONFIG_METADATA!$B$4,DATOS!D:D,A221,DATOS!I:I,B221),"—"),"")</f>
        <v>—</v>
      </c>
      <c r="I221" s="15" t="str">
        <f>IF(V221="Sí",IFERROR(COUNTIFS(DATOS!G:G,CONFIG_METADATA!$B$4,DATOS!D:D,A221,DATOS!I:I,B221,DATOS!L:L,"N")/COUNTIFS(DATOS!G:G,CONFIG_METADATA!$B$4,DATOS!D:D,A221,DATOS!I:I,B221),"—"),"")</f>
        <v>—</v>
      </c>
      <c r="J221" t="str" cm="1">
        <f t="array" ref="J221">IF(V221="Sí",IFERROR(_xlfn.MODE.SNGL(IF((DATOS!$G$2:$G$20000=CONFIG_METADATA!$B$4)*(DATOS!$D$2:$D$20000=A221)*(DATOS!$I$2:$I$20000=B221)*(DATOS!$L$2:$L$20000="S"),DATOS!$K$2:$K$20000)),"—"),"")</f>
        <v>—</v>
      </c>
      <c r="K221" t="str" cm="1">
        <f t="array" ref="K221">IF(V221="Sí",IFERROR(_xlfn.MODE.SNGL(IF((DATOS!$G$2:$G$20000=CONFIG_METADATA!$B$4)*(DATOS!$D$2:$D$20000=A221)*(DATOS!$I$2:$I$20000=B221)*(DATOS!$L$2:$L$20000="N"),DATOS!$K$2:$K$20000)),"—"),"")</f>
        <v>—</v>
      </c>
      <c r="L221">
        <f>IF(V221="Sí",COUNTIFS(DATOS!G:G,CONFIG_METADATA!$B$4,DATOS!D:D,A221,DATOS!I:I,B221,DATOS!K:K,1),"")</f>
        <v>0</v>
      </c>
      <c r="M221">
        <f>IF(V221="Sí",COUNTIFS(DATOS!G:G,CONFIG_METADATA!$B$4,DATOS!D:D,A221,DATOS!I:I,B221,DATOS!K:K,2),"")</f>
        <v>0</v>
      </c>
      <c r="N221">
        <f>IF(V221="Sí",COUNTIFS(DATOS!G:G,CONFIG_METADATA!$B$4,DATOS!D:D,A221,DATOS!I:I,B221,DATOS!K:K,3),"")</f>
        <v>0</v>
      </c>
      <c r="O221">
        <f>IF(V221="Sí",COUNTIFS(DATOS!G:G,CONFIG_METADATA!$B$4,DATOS!D:D,A221,DATOS!I:I,B221,DATOS!K:K,4),"")</f>
        <v>0</v>
      </c>
      <c r="P221">
        <f>IF(V221="Sí",COUNTIFS(DATOS!G:G,CONFIG_METADATA!$B$4,DATOS!D:D,A221,DATOS!I:I,B221,DATOS!K:K,5),"")</f>
        <v>0</v>
      </c>
      <c r="Q221">
        <f>IF(V221="Sí",COUNTIFS(DATOS!G:G,CONFIG_METADATA!$B$4,DATOS!D:D,A221,DATOS!I:I,B221,DATOS!K:K,6),"")</f>
        <v>0</v>
      </c>
      <c r="R221">
        <f>IF(V221="Sí",COUNTIFS(DATOS!G:G,CONFIG_METADATA!$B$4,DATOS!D:D,A221,DATOS!I:I,B221,DATOS!K:K,7),"")</f>
        <v>0</v>
      </c>
      <c r="S221">
        <f>IF(V221="Sí",COUNTIFS(DATOS!G:G,CONFIG_METADATA!$B$4,DATOS!D:D,A221,DATOS!I:I,B221,DATOS!K:K,8),"")</f>
        <v>0</v>
      </c>
      <c r="T221">
        <f>IF(V221="Sí",COUNTIFS(DATOS!G:G,CONFIG_METADATA!$B$4,DATOS!D:D,A221,DATOS!I:I,B221,DATOS!K:K,9),"")</f>
        <v>0</v>
      </c>
      <c r="U221">
        <f>IF(V221="Sí",COUNTIFS(DATOS!G:G,CONFIG_METADATA!$B$4,DATOS!D:D,A221,DATOS!I:I,B221,DATOS!K:K,10),"")</f>
        <v>0</v>
      </c>
      <c r="V221" t="str">
        <f>IFERROR(IF(ISERROR(FIND(A221,VLOOKUP(B221,CONFIG_ASIGNATURAS!B:C,2,FALSE()))),"No","Sí"),"No")</f>
        <v>Sí</v>
      </c>
    </row>
    <row r="222" spans="1:22">
      <c r="A222" s="3" t="inlineStr">
        <is>
          <t xml:space="preserve">3EEM</t>
        </is>
      </c>
      <c r="B222" s="3" cm="1">
        <f t="array" ref="B222">IFERROR(INDEX(_xlfn._xlws.FILTER(CONFIG_ASIGNATURAS!$B$2:$B$61,(CONFIG_ASIGNATURAS!$G$2:$G$61="Sí")*ISNUMBER(SEARCH("3EEM",CONFIG_ASIGNATURAS!$C$2:$C$61))),29),"")</f>
      </c>
      <c r="C222" s="3">
        <f>IF(B222="","",IFERROR(IF(VLOOKUP(B222,CONFIG_ASIGNATURAS!$B$2:$F$61,5,FALSE())="Sí","Especialidad","Asignatura"),"Asignatura"))</f>
      </c>
      <c r="D222">
        <f>IF(V222="Sí",COUNTIFS(DATOS!G:G,CONFIG_METADATA!$B$4,DATOS!D:D,A222,DATOS!I:I,B222),"")</f>
        <v>0</v>
      </c>
      <c r="E222" s="14" t="str">
        <f>IF(V222="Sí",IFERROR(AVERAGEIFS(DATOS!K:K,DATOS!G:G,CONFIG_METADATA!$B$4,DATOS!D:D,A222,DATOS!I:I,B222),"—"),"")</f>
        <v>—</v>
      </c>
      <c r="F222" s="14" t="str" cm="1">
        <f t="array" ref="F222">IF(V222="Sí",IFERROR(_xlfn.STDEV.P(IF((DATOS!$G$2:$G$20000=CONFIG_METADATA!$B$4)*(DATOS!$D$2:$D$20000=A222)*(DATOS!$I$2:$I$20000=B222),DATOS!$K$2:$K$20000)),"—"),"")</f>
        <v>—</v>
      </c>
      <c r="G222" t="str" cm="1">
        <f t="array" ref="G222">IF(V222="Sí",IFERROR(_xlfn.MODE.SNGL(IF((DATOS!$G$2:$G$20000=CONFIG_METADATA!$B$4)*(DATOS!$D$2:$D$20000=A222)*(DATOS!$I$2:$I$20000=B222),DATOS!$K$2:$K$20000)),"—"),"")</f>
        <v>—</v>
      </c>
      <c r="H222" s="15" t="str">
        <f>IF(V222="Sí",IFERROR(COUNTIFS(DATOS!G:G,CONFIG_METADATA!$B$4,DATOS!D:D,A222,DATOS!I:I,B222,DATOS!L:L,"S")/COUNTIFS(DATOS!G:G,CONFIG_METADATA!$B$4,DATOS!D:D,A222,DATOS!I:I,B222),"—"),"")</f>
        <v>—</v>
      </c>
      <c r="I222" s="15" t="str">
        <f>IF(V222="Sí",IFERROR(COUNTIFS(DATOS!G:G,CONFIG_METADATA!$B$4,DATOS!D:D,A222,DATOS!I:I,B222,DATOS!L:L,"N")/COUNTIFS(DATOS!G:G,CONFIG_METADATA!$B$4,DATOS!D:D,A222,DATOS!I:I,B222),"—"),"")</f>
        <v>—</v>
      </c>
      <c r="J222" t="str" cm="1">
        <f t="array" ref="J222">IF(V222="Sí",IFERROR(_xlfn.MODE.SNGL(IF((DATOS!$G$2:$G$20000=CONFIG_METADATA!$B$4)*(DATOS!$D$2:$D$20000=A222)*(DATOS!$I$2:$I$20000=B222)*(DATOS!$L$2:$L$20000="S"),DATOS!$K$2:$K$20000)),"—"),"")</f>
        <v>—</v>
      </c>
      <c r="K222" t="str" cm="1">
        <f t="array" ref="K222">IF(V222="Sí",IFERROR(_xlfn.MODE.SNGL(IF((DATOS!$G$2:$G$20000=CONFIG_METADATA!$B$4)*(DATOS!$D$2:$D$20000=A222)*(DATOS!$I$2:$I$20000=B222)*(DATOS!$L$2:$L$20000="N"),DATOS!$K$2:$K$20000)),"—"),"")</f>
        <v>—</v>
      </c>
      <c r="L222">
        <f>IF(V222="Sí",COUNTIFS(DATOS!G:G,CONFIG_METADATA!$B$4,DATOS!D:D,A222,DATOS!I:I,B222,DATOS!K:K,1),"")</f>
        <v>0</v>
      </c>
      <c r="M222">
        <f>IF(V222="Sí",COUNTIFS(DATOS!G:G,CONFIG_METADATA!$B$4,DATOS!D:D,A222,DATOS!I:I,B222,DATOS!K:K,2),"")</f>
        <v>0</v>
      </c>
      <c r="N222">
        <f>IF(V222="Sí",COUNTIFS(DATOS!G:G,CONFIG_METADATA!$B$4,DATOS!D:D,A222,DATOS!I:I,B222,DATOS!K:K,3),"")</f>
        <v>0</v>
      </c>
      <c r="O222">
        <f>IF(V222="Sí",COUNTIFS(DATOS!G:G,CONFIG_METADATA!$B$4,DATOS!D:D,A222,DATOS!I:I,B222,DATOS!K:K,4),"")</f>
        <v>0</v>
      </c>
      <c r="P222">
        <f>IF(V222="Sí",COUNTIFS(DATOS!G:G,CONFIG_METADATA!$B$4,DATOS!D:D,A222,DATOS!I:I,B222,DATOS!K:K,5),"")</f>
        <v>0</v>
      </c>
      <c r="Q222">
        <f>IF(V222="Sí",COUNTIFS(DATOS!G:G,CONFIG_METADATA!$B$4,DATOS!D:D,A222,DATOS!I:I,B222,DATOS!K:K,6),"")</f>
        <v>0</v>
      </c>
      <c r="R222">
        <f>IF(V222="Sí",COUNTIFS(DATOS!G:G,CONFIG_METADATA!$B$4,DATOS!D:D,A222,DATOS!I:I,B222,DATOS!K:K,7),"")</f>
        <v>0</v>
      </c>
      <c r="S222">
        <f>IF(V222="Sí",COUNTIFS(DATOS!G:G,CONFIG_METADATA!$B$4,DATOS!D:D,A222,DATOS!I:I,B222,DATOS!K:K,8),"")</f>
        <v>0</v>
      </c>
      <c r="T222">
        <f>IF(V222="Sí",COUNTIFS(DATOS!G:G,CONFIG_METADATA!$B$4,DATOS!D:D,A222,DATOS!I:I,B222,DATOS!K:K,9),"")</f>
        <v>0</v>
      </c>
      <c r="U222">
        <f>IF(V222="Sí",COUNTIFS(DATOS!G:G,CONFIG_METADATA!$B$4,DATOS!D:D,A222,DATOS!I:I,B222,DATOS!K:K,10),"")</f>
        <v>0</v>
      </c>
      <c r="V222" t="str">
        <f>IFERROR(IF(ISERROR(FIND(A222,VLOOKUP(B222,CONFIG_ASIGNATURAS!B:C,2,FALSE()))),"No","Sí"),"No")</f>
        <v>Sí</v>
      </c>
    </row>
    <row r="223" spans="1:22">
      <c r="A223" s="3" t="inlineStr">
        <is>
          <t xml:space="preserve">3EEM</t>
        </is>
      </c>
      <c r="B223" s="3" cm="1">
        <f t="array" ref="B223">IFERROR(INDEX(_xlfn._xlws.FILTER(CONFIG_ASIGNATURAS!$B$2:$B$61,(CONFIG_ASIGNATURAS!$G$2:$G$61="Sí")*ISNUMBER(SEARCH("3EEM",CONFIG_ASIGNATURAS!$C$2:$C$61))),30),"")</f>
      </c>
      <c r="C223" s="3">
        <f>IF(B223="","",IFERROR(IF(VLOOKUP(B223,CONFIG_ASIGNATURAS!$B$2:$F$61,5,FALSE())="Sí","Especialidad","Asignatura"),"Asignatura"))</f>
      </c>
      <c r="D223">
        <f>IF(V223="Sí",COUNTIFS(DATOS!G:G,CONFIG_METADATA!$B$4,DATOS!D:D,A223,DATOS!I:I,B223),"")</f>
        <v>0</v>
      </c>
      <c r="E223" s="14" t="str">
        <f>IF(V223="Sí",IFERROR(AVERAGEIFS(DATOS!K:K,DATOS!G:G,CONFIG_METADATA!$B$4,DATOS!D:D,A223,DATOS!I:I,B223),"—"),"")</f>
        <v>—</v>
      </c>
      <c r="F223" s="14" t="str" cm="1">
        <f t="array" ref="F223">IF(V223="Sí",IFERROR(_xlfn.STDEV.P(IF((DATOS!$G$2:$G$20000=CONFIG_METADATA!$B$4)*(DATOS!$D$2:$D$20000=A223)*(DATOS!$I$2:$I$20000=B223),DATOS!$K$2:$K$20000)),"—"),"")</f>
        <v>—</v>
      </c>
      <c r="G223" t="str" cm="1">
        <f t="array" ref="G223">IF(V223="Sí",IFERROR(_xlfn.MODE.SNGL(IF((DATOS!$G$2:$G$20000=CONFIG_METADATA!$B$4)*(DATOS!$D$2:$D$20000=A223)*(DATOS!$I$2:$I$20000=B223),DATOS!$K$2:$K$20000)),"—"),"")</f>
        <v>—</v>
      </c>
      <c r="H223" s="15" t="str">
        <f>IF(V223="Sí",IFERROR(COUNTIFS(DATOS!G:G,CONFIG_METADATA!$B$4,DATOS!D:D,A223,DATOS!I:I,B223,DATOS!L:L,"S")/COUNTIFS(DATOS!G:G,CONFIG_METADATA!$B$4,DATOS!D:D,A223,DATOS!I:I,B223),"—"),"")</f>
        <v>—</v>
      </c>
      <c r="I223" s="15" t="str">
        <f>IF(V223="Sí",IFERROR(COUNTIFS(DATOS!G:G,CONFIG_METADATA!$B$4,DATOS!D:D,A223,DATOS!I:I,B223,DATOS!L:L,"N")/COUNTIFS(DATOS!G:G,CONFIG_METADATA!$B$4,DATOS!D:D,A223,DATOS!I:I,B223),"—"),"")</f>
        <v>—</v>
      </c>
      <c r="J223" t="str" cm="1">
        <f t="array" ref="J223">IF(V223="Sí",IFERROR(_xlfn.MODE.SNGL(IF((DATOS!$G$2:$G$20000=CONFIG_METADATA!$B$4)*(DATOS!$D$2:$D$20000=A223)*(DATOS!$I$2:$I$20000=B223)*(DATOS!$L$2:$L$20000="S"),DATOS!$K$2:$K$20000)),"—"),"")</f>
        <v>—</v>
      </c>
      <c r="K223" t="str" cm="1">
        <f t="array" ref="K223">IF(V223="Sí",IFERROR(_xlfn.MODE.SNGL(IF((DATOS!$G$2:$G$20000=CONFIG_METADATA!$B$4)*(DATOS!$D$2:$D$20000=A223)*(DATOS!$I$2:$I$20000=B223)*(DATOS!$L$2:$L$20000="N"),DATOS!$K$2:$K$20000)),"—"),"")</f>
        <v>—</v>
      </c>
      <c r="L223">
        <f>IF(V223="Sí",COUNTIFS(DATOS!G:G,CONFIG_METADATA!$B$4,DATOS!D:D,A223,DATOS!I:I,B223,DATOS!K:K,1),"")</f>
        <v>0</v>
      </c>
      <c r="M223">
        <f>IF(V223="Sí",COUNTIFS(DATOS!G:G,CONFIG_METADATA!$B$4,DATOS!D:D,A223,DATOS!I:I,B223,DATOS!K:K,2),"")</f>
        <v>0</v>
      </c>
      <c r="N223">
        <f>IF(V223="Sí",COUNTIFS(DATOS!G:G,CONFIG_METADATA!$B$4,DATOS!D:D,A223,DATOS!I:I,B223,DATOS!K:K,3),"")</f>
        <v>0</v>
      </c>
      <c r="O223">
        <f>IF(V223="Sí",COUNTIFS(DATOS!G:G,CONFIG_METADATA!$B$4,DATOS!D:D,A223,DATOS!I:I,B223,DATOS!K:K,4),"")</f>
        <v>0</v>
      </c>
      <c r="P223">
        <f>IF(V223="Sí",COUNTIFS(DATOS!G:G,CONFIG_METADATA!$B$4,DATOS!D:D,A223,DATOS!I:I,B223,DATOS!K:K,5),"")</f>
        <v>0</v>
      </c>
      <c r="Q223">
        <f>IF(V223="Sí",COUNTIFS(DATOS!G:G,CONFIG_METADATA!$B$4,DATOS!D:D,A223,DATOS!I:I,B223,DATOS!K:K,6),"")</f>
        <v>0</v>
      </c>
      <c r="R223">
        <f>IF(V223="Sí",COUNTIFS(DATOS!G:G,CONFIG_METADATA!$B$4,DATOS!D:D,A223,DATOS!I:I,B223,DATOS!K:K,7),"")</f>
        <v>0</v>
      </c>
      <c r="S223">
        <f>IF(V223="Sí",COUNTIFS(DATOS!G:G,CONFIG_METADATA!$B$4,DATOS!D:D,A223,DATOS!I:I,B223,DATOS!K:K,8),"")</f>
        <v>0</v>
      </c>
      <c r="T223">
        <f>IF(V223="Sí",COUNTIFS(DATOS!G:G,CONFIG_METADATA!$B$4,DATOS!D:D,A223,DATOS!I:I,B223,DATOS!K:K,9),"")</f>
        <v>0</v>
      </c>
      <c r="U223">
        <f>IF(V223="Sí",COUNTIFS(DATOS!G:G,CONFIG_METADATA!$B$4,DATOS!D:D,A223,DATOS!I:I,B223,DATOS!K:K,10),"")</f>
        <v>0</v>
      </c>
      <c r="V223" t="str">
        <f>IFERROR(IF(ISERROR(FIND(A223,VLOOKUP(B223,CONFIG_ASIGNATURAS!B:C,2,FALSE()))),"No","Sí"),"No")</f>
        <v>Sí</v>
      </c>
    </row>
    <row r="224" spans="1:22">
      <c r="A224" s="3" t="inlineStr">
        <is>
          <t xml:space="preserve">3EEM</t>
        </is>
      </c>
      <c r="B224" s="3" cm="1">
        <f t="array" ref="B224">IFERROR(INDEX(_xlfn._xlws.FILTER(CONFIG_ASIGNATURAS!$B$2:$B$61,(CONFIG_ASIGNATURAS!$G$2:$G$61="Sí")*ISNUMBER(SEARCH("3EEM",CONFIG_ASIGNATURAS!$C$2:$C$61))),31),"")</f>
      </c>
      <c r="C224" s="3">
        <f>IF(B224="","",IFERROR(IF(VLOOKUP(B224,CONFIG_ASIGNATURAS!$B$2:$F$61,5,FALSE())="Sí","Especialidad","Asignatura"),"Asignatura"))</f>
      </c>
      <c r="D224">
        <f>IF(V224="Sí",COUNTIFS(DATOS!G:G,CONFIG_METADATA!$B$4,DATOS!D:D,A224,DATOS!I:I,B224),"")</f>
        <v>0</v>
      </c>
      <c r="E224" s="14" t="str">
        <f>IF(V224="Sí",IFERROR(AVERAGEIFS(DATOS!K:K,DATOS!G:G,CONFIG_METADATA!$B$4,DATOS!D:D,A224,DATOS!I:I,B224),"—"),"")</f>
        <v>—</v>
      </c>
      <c r="F224" s="14" t="str" cm="1">
        <f t="array" ref="F224">IF(V224="Sí",IFERROR(_xlfn.STDEV.P(IF((DATOS!$G$2:$G$20000=CONFIG_METADATA!$B$4)*(DATOS!$D$2:$D$20000=A224)*(DATOS!$I$2:$I$20000=B224),DATOS!$K$2:$K$20000)),"—"),"")</f>
        <v>—</v>
      </c>
      <c r="G224" t="str" cm="1">
        <f t="array" ref="G224">IF(V224="Sí",IFERROR(_xlfn.MODE.SNGL(IF((DATOS!$G$2:$G$20000=CONFIG_METADATA!$B$4)*(DATOS!$D$2:$D$20000=A224)*(DATOS!$I$2:$I$20000=B224),DATOS!$K$2:$K$20000)),"—"),"")</f>
        <v>—</v>
      </c>
      <c r="H224" s="15" t="str">
        <f>IF(V224="Sí",IFERROR(COUNTIFS(DATOS!G:G,CONFIG_METADATA!$B$4,DATOS!D:D,A224,DATOS!I:I,B224,DATOS!L:L,"S")/COUNTIFS(DATOS!G:G,CONFIG_METADATA!$B$4,DATOS!D:D,A224,DATOS!I:I,B224),"—"),"")</f>
        <v>—</v>
      </c>
      <c r="I224" s="15" t="str">
        <f>IF(V224="Sí",IFERROR(COUNTIFS(DATOS!G:G,CONFIG_METADATA!$B$4,DATOS!D:D,A224,DATOS!I:I,B224,DATOS!L:L,"N")/COUNTIFS(DATOS!G:G,CONFIG_METADATA!$B$4,DATOS!D:D,A224,DATOS!I:I,B224),"—"),"")</f>
        <v>—</v>
      </c>
      <c r="J224" t="str" cm="1">
        <f t="array" ref="J224">IF(V224="Sí",IFERROR(_xlfn.MODE.SNGL(IF((DATOS!$G$2:$G$20000=CONFIG_METADATA!$B$4)*(DATOS!$D$2:$D$20000=A224)*(DATOS!$I$2:$I$20000=B224)*(DATOS!$L$2:$L$20000="S"),DATOS!$K$2:$K$20000)),"—"),"")</f>
        <v>—</v>
      </c>
      <c r="K224" t="str" cm="1">
        <f t="array" ref="K224">IF(V224="Sí",IFERROR(_xlfn.MODE.SNGL(IF((DATOS!$G$2:$G$20000=CONFIG_METADATA!$B$4)*(DATOS!$D$2:$D$20000=A224)*(DATOS!$I$2:$I$20000=B224)*(DATOS!$L$2:$L$20000="N"),DATOS!$K$2:$K$20000)),"—"),"")</f>
        <v>—</v>
      </c>
      <c r="L224">
        <f>IF(V224="Sí",COUNTIFS(DATOS!G:G,CONFIG_METADATA!$B$4,DATOS!D:D,A224,DATOS!I:I,B224,DATOS!K:K,1),"")</f>
        <v>0</v>
      </c>
      <c r="M224">
        <f>IF(V224="Sí",COUNTIFS(DATOS!G:G,CONFIG_METADATA!$B$4,DATOS!D:D,A224,DATOS!I:I,B224,DATOS!K:K,2),"")</f>
        <v>0</v>
      </c>
      <c r="N224">
        <f>IF(V224="Sí",COUNTIFS(DATOS!G:G,CONFIG_METADATA!$B$4,DATOS!D:D,A224,DATOS!I:I,B224,DATOS!K:K,3),"")</f>
        <v>0</v>
      </c>
      <c r="O224">
        <f>IF(V224="Sí",COUNTIFS(DATOS!G:G,CONFIG_METADATA!$B$4,DATOS!D:D,A224,DATOS!I:I,B224,DATOS!K:K,4),"")</f>
        <v>0</v>
      </c>
      <c r="P224">
        <f>IF(V224="Sí",COUNTIFS(DATOS!G:G,CONFIG_METADATA!$B$4,DATOS!D:D,A224,DATOS!I:I,B224,DATOS!K:K,5),"")</f>
        <v>0</v>
      </c>
      <c r="Q224">
        <f>IF(V224="Sí",COUNTIFS(DATOS!G:G,CONFIG_METADATA!$B$4,DATOS!D:D,A224,DATOS!I:I,B224,DATOS!K:K,6),"")</f>
        <v>0</v>
      </c>
      <c r="R224">
        <f>IF(V224="Sí",COUNTIFS(DATOS!G:G,CONFIG_METADATA!$B$4,DATOS!D:D,A224,DATOS!I:I,B224,DATOS!K:K,7),"")</f>
        <v>0</v>
      </c>
      <c r="S224">
        <f>IF(V224="Sí",COUNTIFS(DATOS!G:G,CONFIG_METADATA!$B$4,DATOS!D:D,A224,DATOS!I:I,B224,DATOS!K:K,8),"")</f>
        <v>0</v>
      </c>
      <c r="T224">
        <f>IF(V224="Sí",COUNTIFS(DATOS!G:G,CONFIG_METADATA!$B$4,DATOS!D:D,A224,DATOS!I:I,B224,DATOS!K:K,9),"")</f>
        <v>0</v>
      </c>
      <c r="U224">
        <f>IF(V224="Sí",COUNTIFS(DATOS!G:G,CONFIG_METADATA!$B$4,DATOS!D:D,A224,DATOS!I:I,B224,DATOS!K:K,10),"")</f>
        <v>0</v>
      </c>
      <c r="V224" t="str">
        <f>IFERROR(IF(ISERROR(FIND(A224,VLOOKUP(B224,CONFIG_ASIGNATURAS!B:C,2,FALSE()))),"No","Sí"),"No")</f>
        <v>Sí</v>
      </c>
    </row>
    <row r="225" spans="1:22">
      <c r="A225" s="3" t="inlineStr">
        <is>
          <t xml:space="preserve">3EEM</t>
        </is>
      </c>
      <c r="B225" s="3" cm="1">
        <f t="array" ref="B225">IFERROR(INDEX(_xlfn._xlws.FILTER(CONFIG_ASIGNATURAS!$B$2:$B$61,(CONFIG_ASIGNATURAS!$G$2:$G$61="Sí")*ISNUMBER(SEARCH("3EEM",CONFIG_ASIGNATURAS!$C$2:$C$61))),32),"")</f>
      </c>
      <c r="C225" s="3">
        <f>IF(B225="","",IFERROR(IF(VLOOKUP(B225,CONFIG_ASIGNATURAS!$B$2:$F$61,5,FALSE())="Sí","Especialidad","Asignatura"),"Asignatura"))</f>
      </c>
      <c r="D225">
        <f>IF(V225="Sí",COUNTIFS(DATOS!G:G,CONFIG_METADATA!$B$4,DATOS!D:D,A225,DATOS!I:I,B225),"")</f>
        <v>0</v>
      </c>
      <c r="E225" s="14" t="str">
        <f>IF(V225="Sí",IFERROR(AVERAGEIFS(DATOS!K:K,DATOS!G:G,CONFIG_METADATA!$B$4,DATOS!D:D,A225,DATOS!I:I,B225),"—"),"")</f>
        <v>—</v>
      </c>
      <c r="F225" s="14" t="str" cm="1">
        <f t="array" ref="F225">IF(V225="Sí",IFERROR(_xlfn.STDEV.P(IF((DATOS!$G$2:$G$20000=CONFIG_METADATA!$B$4)*(DATOS!$D$2:$D$20000=A225)*(DATOS!$I$2:$I$20000=B225),DATOS!$K$2:$K$20000)),"—"),"")</f>
        <v>—</v>
      </c>
      <c r="G225" t="str" cm="1">
        <f t="array" ref="G225">IF(V225="Sí",IFERROR(_xlfn.MODE.SNGL(IF((DATOS!$G$2:$G$20000=CONFIG_METADATA!$B$4)*(DATOS!$D$2:$D$20000=A225)*(DATOS!$I$2:$I$20000=B225),DATOS!$K$2:$K$20000)),"—"),"")</f>
        <v>—</v>
      </c>
      <c r="H225" s="15" t="str">
        <f>IF(V225="Sí",IFERROR(COUNTIFS(DATOS!G:G,CONFIG_METADATA!$B$4,DATOS!D:D,A225,DATOS!I:I,B225,DATOS!L:L,"S")/COUNTIFS(DATOS!G:G,CONFIG_METADATA!$B$4,DATOS!D:D,A225,DATOS!I:I,B225),"—"),"")</f>
        <v>—</v>
      </c>
      <c r="I225" s="15" t="str">
        <f>IF(V225="Sí",IFERROR(COUNTIFS(DATOS!G:G,CONFIG_METADATA!$B$4,DATOS!D:D,A225,DATOS!I:I,B225,DATOS!L:L,"N")/COUNTIFS(DATOS!G:G,CONFIG_METADATA!$B$4,DATOS!D:D,A225,DATOS!I:I,B225),"—"),"")</f>
        <v>—</v>
      </c>
      <c r="J225" t="str" cm="1">
        <f t="array" ref="J225">IF(V225="Sí",IFERROR(_xlfn.MODE.SNGL(IF((DATOS!$G$2:$G$20000=CONFIG_METADATA!$B$4)*(DATOS!$D$2:$D$20000=A225)*(DATOS!$I$2:$I$20000=B225)*(DATOS!$L$2:$L$20000="S"),DATOS!$K$2:$K$20000)),"—"),"")</f>
        <v>—</v>
      </c>
      <c r="K225" t="str" cm="1">
        <f t="array" ref="K225">IF(V225="Sí",IFERROR(_xlfn.MODE.SNGL(IF((DATOS!$G$2:$G$20000=CONFIG_METADATA!$B$4)*(DATOS!$D$2:$D$20000=A225)*(DATOS!$I$2:$I$20000=B225)*(DATOS!$L$2:$L$20000="N"),DATOS!$K$2:$K$20000)),"—"),"")</f>
        <v>—</v>
      </c>
      <c r="L225">
        <f>IF(V225="Sí",COUNTIFS(DATOS!G:G,CONFIG_METADATA!$B$4,DATOS!D:D,A225,DATOS!I:I,B225,DATOS!K:K,1),"")</f>
        <v>0</v>
      </c>
      <c r="M225">
        <f>IF(V225="Sí",COUNTIFS(DATOS!G:G,CONFIG_METADATA!$B$4,DATOS!D:D,A225,DATOS!I:I,B225,DATOS!K:K,2),"")</f>
        <v>0</v>
      </c>
      <c r="N225">
        <f>IF(V225="Sí",COUNTIFS(DATOS!G:G,CONFIG_METADATA!$B$4,DATOS!D:D,A225,DATOS!I:I,B225,DATOS!K:K,3),"")</f>
        <v>0</v>
      </c>
      <c r="O225">
        <f>IF(V225="Sí",COUNTIFS(DATOS!G:G,CONFIG_METADATA!$B$4,DATOS!D:D,A225,DATOS!I:I,B225,DATOS!K:K,4),"")</f>
        <v>0</v>
      </c>
      <c r="P225">
        <f>IF(V225="Sí",COUNTIFS(DATOS!G:G,CONFIG_METADATA!$B$4,DATOS!D:D,A225,DATOS!I:I,B225,DATOS!K:K,5),"")</f>
        <v>0</v>
      </c>
      <c r="Q225">
        <f>IF(V225="Sí",COUNTIFS(DATOS!G:G,CONFIG_METADATA!$B$4,DATOS!D:D,A225,DATOS!I:I,B225,DATOS!K:K,6),"")</f>
        <v>0</v>
      </c>
      <c r="R225">
        <f>IF(V225="Sí",COUNTIFS(DATOS!G:G,CONFIG_METADATA!$B$4,DATOS!D:D,A225,DATOS!I:I,B225,DATOS!K:K,7),"")</f>
        <v>0</v>
      </c>
      <c r="S225">
        <f>IF(V225="Sí",COUNTIFS(DATOS!G:G,CONFIG_METADATA!$B$4,DATOS!D:D,A225,DATOS!I:I,B225,DATOS!K:K,8),"")</f>
        <v>0</v>
      </c>
      <c r="T225">
        <f>IF(V225="Sí",COUNTIFS(DATOS!G:G,CONFIG_METADATA!$B$4,DATOS!D:D,A225,DATOS!I:I,B225,DATOS!K:K,9),"")</f>
        <v>0</v>
      </c>
      <c r="U225">
        <f>IF(V225="Sí",COUNTIFS(DATOS!G:G,CONFIG_METADATA!$B$4,DATOS!D:D,A225,DATOS!I:I,B225,DATOS!K:K,10),"")</f>
        <v>0</v>
      </c>
      <c r="V225" t="str">
        <f>IFERROR(IF(ISERROR(FIND(A225,VLOOKUP(B225,CONFIG_ASIGNATURAS!B:C,2,FALSE()))),"No","Sí"),"No")</f>
        <v>Sí</v>
      </c>
    </row>
    <row r="226" spans="1:22">
      <c r="A226" s="3" t="inlineStr">
        <is>
          <t xml:space="preserve">3EEM</t>
        </is>
      </c>
      <c r="B226" s="3" cm="1">
        <f t="array" ref="B226">IFERROR(INDEX(_xlfn._xlws.FILTER(CONFIG_ASIGNATURAS!$B$2:$B$61,(CONFIG_ASIGNATURAS!$G$2:$G$61="Sí")*ISNUMBER(SEARCH("3EEM",CONFIG_ASIGNATURAS!$C$2:$C$61))),33),"")</f>
      </c>
      <c r="C226" s="3">
        <f>IF(B226="","",IFERROR(IF(VLOOKUP(B226,CONFIG_ASIGNATURAS!$B$2:$F$61,5,FALSE())="Sí","Especialidad","Asignatura"),"Asignatura"))</f>
      </c>
      <c r="D226">
        <f>IF(V226="Sí",COUNTIFS(DATOS!G:G,CONFIG_METADATA!$B$4,DATOS!D:D,A226,DATOS!I:I,B226),"")</f>
        <v>0</v>
      </c>
      <c r="E226" s="14" t="str">
        <f>IF(V226="Sí",IFERROR(AVERAGEIFS(DATOS!K:K,DATOS!G:G,CONFIG_METADATA!$B$4,DATOS!D:D,A226,DATOS!I:I,B226),"—"),"")</f>
        <v>—</v>
      </c>
      <c r="F226" s="14" t="str" cm="1">
        <f t="array" ref="F226">IF(V226="Sí",IFERROR(_xlfn.STDEV.P(IF((DATOS!$G$2:$G$20000=CONFIG_METADATA!$B$4)*(DATOS!$D$2:$D$20000=A226)*(DATOS!$I$2:$I$20000=B226),DATOS!$K$2:$K$20000)),"—"),"")</f>
        <v>—</v>
      </c>
      <c r="G226" t="str" cm="1">
        <f t="array" ref="G226">IF(V226="Sí",IFERROR(_xlfn.MODE.SNGL(IF((DATOS!$G$2:$G$20000=CONFIG_METADATA!$B$4)*(DATOS!$D$2:$D$20000=A226)*(DATOS!$I$2:$I$20000=B226),DATOS!$K$2:$K$20000)),"—"),"")</f>
        <v>—</v>
      </c>
      <c r="H226" s="15" t="str">
        <f>IF(V226="Sí",IFERROR(COUNTIFS(DATOS!G:G,CONFIG_METADATA!$B$4,DATOS!D:D,A226,DATOS!I:I,B226,DATOS!L:L,"S")/COUNTIFS(DATOS!G:G,CONFIG_METADATA!$B$4,DATOS!D:D,A226,DATOS!I:I,B226),"—"),"")</f>
        <v>—</v>
      </c>
      <c r="I226" s="15" t="str">
        <f>IF(V226="Sí",IFERROR(COUNTIFS(DATOS!G:G,CONFIG_METADATA!$B$4,DATOS!D:D,A226,DATOS!I:I,B226,DATOS!L:L,"N")/COUNTIFS(DATOS!G:G,CONFIG_METADATA!$B$4,DATOS!D:D,A226,DATOS!I:I,B226),"—"),"")</f>
        <v>—</v>
      </c>
      <c r="J226" t="str" cm="1">
        <f t="array" ref="J226">IF(V226="Sí",IFERROR(_xlfn.MODE.SNGL(IF((DATOS!$G$2:$G$20000=CONFIG_METADATA!$B$4)*(DATOS!$D$2:$D$20000=A226)*(DATOS!$I$2:$I$20000=B226)*(DATOS!$L$2:$L$20000="S"),DATOS!$K$2:$K$20000)),"—"),"")</f>
        <v>—</v>
      </c>
      <c r="K226" t="str" cm="1">
        <f t="array" ref="K226">IF(V226="Sí",IFERROR(_xlfn.MODE.SNGL(IF((DATOS!$G$2:$G$20000=CONFIG_METADATA!$B$4)*(DATOS!$D$2:$D$20000=A226)*(DATOS!$I$2:$I$20000=B226)*(DATOS!$L$2:$L$20000="N"),DATOS!$K$2:$K$20000)),"—"),"")</f>
        <v>—</v>
      </c>
      <c r="L226">
        <f>IF(V226="Sí",COUNTIFS(DATOS!G:G,CONFIG_METADATA!$B$4,DATOS!D:D,A226,DATOS!I:I,B226,DATOS!K:K,1),"")</f>
        <v>0</v>
      </c>
      <c r="M226">
        <f>IF(V226="Sí",COUNTIFS(DATOS!G:G,CONFIG_METADATA!$B$4,DATOS!D:D,A226,DATOS!I:I,B226,DATOS!K:K,2),"")</f>
        <v>0</v>
      </c>
      <c r="N226">
        <f>IF(V226="Sí",COUNTIFS(DATOS!G:G,CONFIG_METADATA!$B$4,DATOS!D:D,A226,DATOS!I:I,B226,DATOS!K:K,3),"")</f>
        <v>0</v>
      </c>
      <c r="O226">
        <f>IF(V226="Sí",COUNTIFS(DATOS!G:G,CONFIG_METADATA!$B$4,DATOS!D:D,A226,DATOS!I:I,B226,DATOS!K:K,4),"")</f>
        <v>0</v>
      </c>
      <c r="P226">
        <f>IF(V226="Sí",COUNTIFS(DATOS!G:G,CONFIG_METADATA!$B$4,DATOS!D:D,A226,DATOS!I:I,B226,DATOS!K:K,5),"")</f>
        <v>0</v>
      </c>
      <c r="Q226">
        <f>IF(V226="Sí",COUNTIFS(DATOS!G:G,CONFIG_METADATA!$B$4,DATOS!D:D,A226,DATOS!I:I,B226,DATOS!K:K,6),"")</f>
        <v>0</v>
      </c>
      <c r="R226">
        <f>IF(V226="Sí",COUNTIFS(DATOS!G:G,CONFIG_METADATA!$B$4,DATOS!D:D,A226,DATOS!I:I,B226,DATOS!K:K,7),"")</f>
        <v>0</v>
      </c>
      <c r="S226">
        <f>IF(V226="Sí",COUNTIFS(DATOS!G:G,CONFIG_METADATA!$B$4,DATOS!D:D,A226,DATOS!I:I,B226,DATOS!K:K,8),"")</f>
        <v>0</v>
      </c>
      <c r="T226">
        <f>IF(V226="Sí",COUNTIFS(DATOS!G:G,CONFIG_METADATA!$B$4,DATOS!D:D,A226,DATOS!I:I,B226,DATOS!K:K,9),"")</f>
        <v>0</v>
      </c>
      <c r="U226">
        <f>IF(V226="Sí",COUNTIFS(DATOS!G:G,CONFIG_METADATA!$B$4,DATOS!D:D,A226,DATOS!I:I,B226,DATOS!K:K,10),"")</f>
        <v>0</v>
      </c>
      <c r="V226" t="str">
        <f>IFERROR(IF(ISERROR(FIND(A226,VLOOKUP(B226,CONFIG_ASIGNATURAS!B:C,2,FALSE()))),"No","Sí"),"No")</f>
        <v>Sí</v>
      </c>
    </row>
    <row r="227" spans="1:22">
      <c r="A227" s="3" t="inlineStr">
        <is>
          <t xml:space="preserve">3EEM</t>
        </is>
      </c>
      <c r="B227" s="3" cm="1">
        <f t="array" ref="B227">IFERROR(INDEX(_xlfn._xlws.FILTER(CONFIG_ASIGNATURAS!$B$2:$B$61,(CONFIG_ASIGNATURAS!$G$2:$G$61="Sí")*ISNUMBER(SEARCH("3EEM",CONFIG_ASIGNATURAS!$C$2:$C$61))),34),"")</f>
      </c>
      <c r="C227" s="3">
        <f>IF(B227="","",IFERROR(IF(VLOOKUP(B227,CONFIG_ASIGNATURAS!$B$2:$F$61,5,FALSE())="Sí","Especialidad","Asignatura"),"Asignatura"))</f>
      </c>
      <c r="D227">
        <f>IF(V227="Sí",COUNTIFS(DATOS!G:G,CONFIG_METADATA!$B$4,DATOS!D:D,A227,DATOS!I:I,B227),"")</f>
        <v>0</v>
      </c>
      <c r="E227" s="14" t="str">
        <f>IF(V227="Sí",IFERROR(AVERAGEIFS(DATOS!K:K,DATOS!G:G,CONFIG_METADATA!$B$4,DATOS!D:D,A227,DATOS!I:I,B227),"—"),"")</f>
        <v>—</v>
      </c>
      <c r="F227" s="14" t="str" cm="1">
        <f t="array" ref="F227">IF(V227="Sí",IFERROR(_xlfn.STDEV.P(IF((DATOS!$G$2:$G$20000=CONFIG_METADATA!$B$4)*(DATOS!$D$2:$D$20000=A227)*(DATOS!$I$2:$I$20000=B227),DATOS!$K$2:$K$20000)),"—"),"")</f>
        <v>—</v>
      </c>
      <c r="G227" t="str" cm="1">
        <f t="array" ref="G227">IF(V227="Sí",IFERROR(_xlfn.MODE.SNGL(IF((DATOS!$G$2:$G$20000=CONFIG_METADATA!$B$4)*(DATOS!$D$2:$D$20000=A227)*(DATOS!$I$2:$I$20000=B227),DATOS!$K$2:$K$20000)),"—"),"")</f>
        <v>—</v>
      </c>
      <c r="H227" s="15" t="str">
        <f>IF(V227="Sí",IFERROR(COUNTIFS(DATOS!G:G,CONFIG_METADATA!$B$4,DATOS!D:D,A227,DATOS!I:I,B227,DATOS!L:L,"S")/COUNTIFS(DATOS!G:G,CONFIG_METADATA!$B$4,DATOS!D:D,A227,DATOS!I:I,B227),"—"),"")</f>
        <v>—</v>
      </c>
      <c r="I227" s="15" t="str">
        <f>IF(V227="Sí",IFERROR(COUNTIFS(DATOS!G:G,CONFIG_METADATA!$B$4,DATOS!D:D,A227,DATOS!I:I,B227,DATOS!L:L,"N")/COUNTIFS(DATOS!G:G,CONFIG_METADATA!$B$4,DATOS!D:D,A227,DATOS!I:I,B227),"—"),"")</f>
        <v>—</v>
      </c>
      <c r="J227" t="str" cm="1">
        <f t="array" ref="J227">IF(V227="Sí",IFERROR(_xlfn.MODE.SNGL(IF((DATOS!$G$2:$G$20000=CONFIG_METADATA!$B$4)*(DATOS!$D$2:$D$20000=A227)*(DATOS!$I$2:$I$20000=B227)*(DATOS!$L$2:$L$20000="S"),DATOS!$K$2:$K$20000)),"—"),"")</f>
        <v>—</v>
      </c>
      <c r="K227" t="str" cm="1">
        <f t="array" ref="K227">IF(V227="Sí",IFERROR(_xlfn.MODE.SNGL(IF((DATOS!$G$2:$G$20000=CONFIG_METADATA!$B$4)*(DATOS!$D$2:$D$20000=A227)*(DATOS!$I$2:$I$20000=B227)*(DATOS!$L$2:$L$20000="N"),DATOS!$K$2:$K$20000)),"—"),"")</f>
        <v>—</v>
      </c>
      <c r="L227">
        <f>IF(V227="Sí",COUNTIFS(DATOS!G:G,CONFIG_METADATA!$B$4,DATOS!D:D,A227,DATOS!I:I,B227,DATOS!K:K,1),"")</f>
        <v>0</v>
      </c>
      <c r="M227">
        <f>IF(V227="Sí",COUNTIFS(DATOS!G:G,CONFIG_METADATA!$B$4,DATOS!D:D,A227,DATOS!I:I,B227,DATOS!K:K,2),"")</f>
        <v>0</v>
      </c>
      <c r="N227">
        <f>IF(V227="Sí",COUNTIFS(DATOS!G:G,CONFIG_METADATA!$B$4,DATOS!D:D,A227,DATOS!I:I,B227,DATOS!K:K,3),"")</f>
        <v>0</v>
      </c>
      <c r="O227">
        <f>IF(V227="Sí",COUNTIFS(DATOS!G:G,CONFIG_METADATA!$B$4,DATOS!D:D,A227,DATOS!I:I,B227,DATOS!K:K,4),"")</f>
        <v>0</v>
      </c>
      <c r="P227">
        <f>IF(V227="Sí",COUNTIFS(DATOS!G:G,CONFIG_METADATA!$B$4,DATOS!D:D,A227,DATOS!I:I,B227,DATOS!K:K,5),"")</f>
        <v>0</v>
      </c>
      <c r="Q227">
        <f>IF(V227="Sí",COUNTIFS(DATOS!G:G,CONFIG_METADATA!$B$4,DATOS!D:D,A227,DATOS!I:I,B227,DATOS!K:K,6),"")</f>
        <v>0</v>
      </c>
      <c r="R227">
        <f>IF(V227="Sí",COUNTIFS(DATOS!G:G,CONFIG_METADATA!$B$4,DATOS!D:D,A227,DATOS!I:I,B227,DATOS!K:K,7),"")</f>
        <v>0</v>
      </c>
      <c r="S227">
        <f>IF(V227="Sí",COUNTIFS(DATOS!G:G,CONFIG_METADATA!$B$4,DATOS!D:D,A227,DATOS!I:I,B227,DATOS!K:K,8),"")</f>
        <v>0</v>
      </c>
      <c r="T227">
        <f>IF(V227="Sí",COUNTIFS(DATOS!G:G,CONFIG_METADATA!$B$4,DATOS!D:D,A227,DATOS!I:I,B227,DATOS!K:K,9),"")</f>
        <v>0</v>
      </c>
      <c r="U227">
        <f>IF(V227="Sí",COUNTIFS(DATOS!G:G,CONFIG_METADATA!$B$4,DATOS!D:D,A227,DATOS!I:I,B227,DATOS!K:K,10),"")</f>
        <v>0</v>
      </c>
      <c r="V227" t="str">
        <f>IFERROR(IF(ISERROR(FIND(A227,VLOOKUP(B227,CONFIG_ASIGNATURAS!B:C,2,FALSE()))),"No","Sí"),"No")</f>
        <v>Sí</v>
      </c>
    </row>
    <row r="228" spans="1:22">
      <c r="A228" s="3" t="inlineStr">
        <is>
          <t xml:space="preserve">3EEM</t>
        </is>
      </c>
      <c r="B228" s="3" cm="1">
        <f t="array" ref="B228">IFERROR(INDEX(_xlfn._xlws.FILTER(CONFIG_ASIGNATURAS!$B$2:$B$61,(CONFIG_ASIGNATURAS!$G$2:$G$61="Sí")*ISNUMBER(SEARCH("3EEM",CONFIG_ASIGNATURAS!$C$2:$C$61))),35),"")</f>
      </c>
      <c r="C228" s="3">
        <f>IF(B228="","",IFERROR(IF(VLOOKUP(B228,CONFIG_ASIGNATURAS!$B$2:$F$61,5,FALSE())="Sí","Especialidad","Asignatura"),"Asignatura"))</f>
      </c>
      <c r="D228">
        <f>IF(V228="Sí",COUNTIFS(DATOS!G:G,CONFIG_METADATA!$B$4,DATOS!D:D,A228,DATOS!I:I,B228),"")</f>
        <v>0</v>
      </c>
      <c r="E228" s="14" t="str">
        <f>IF(V228="Sí",IFERROR(AVERAGEIFS(DATOS!K:K,DATOS!G:G,CONFIG_METADATA!$B$4,DATOS!D:D,A228,DATOS!I:I,B228),"—"),"")</f>
        <v>—</v>
      </c>
      <c r="F228" s="14" t="str" cm="1">
        <f t="array" ref="F228">IF(V228="Sí",IFERROR(_xlfn.STDEV.P(IF((DATOS!$G$2:$G$20000=CONFIG_METADATA!$B$4)*(DATOS!$D$2:$D$20000=A228)*(DATOS!$I$2:$I$20000=B228),DATOS!$K$2:$K$20000)),"—"),"")</f>
        <v>—</v>
      </c>
      <c r="G228" t="str" cm="1">
        <f t="array" ref="G228">IF(V228="Sí",IFERROR(_xlfn.MODE.SNGL(IF((DATOS!$G$2:$G$20000=CONFIG_METADATA!$B$4)*(DATOS!$D$2:$D$20000=A228)*(DATOS!$I$2:$I$20000=B228),DATOS!$K$2:$K$20000)),"—"),"")</f>
        <v>—</v>
      </c>
      <c r="H228" s="15" t="str">
        <f>IF(V228="Sí",IFERROR(COUNTIFS(DATOS!G:G,CONFIG_METADATA!$B$4,DATOS!D:D,A228,DATOS!I:I,B228,DATOS!L:L,"S")/COUNTIFS(DATOS!G:G,CONFIG_METADATA!$B$4,DATOS!D:D,A228,DATOS!I:I,B228),"—"),"")</f>
        <v>—</v>
      </c>
      <c r="I228" s="15" t="str">
        <f>IF(V228="Sí",IFERROR(COUNTIFS(DATOS!G:G,CONFIG_METADATA!$B$4,DATOS!D:D,A228,DATOS!I:I,B228,DATOS!L:L,"N")/COUNTIFS(DATOS!G:G,CONFIG_METADATA!$B$4,DATOS!D:D,A228,DATOS!I:I,B228),"—"),"")</f>
        <v>—</v>
      </c>
      <c r="J228" t="str" cm="1">
        <f t="array" ref="J228">IF(V228="Sí",IFERROR(_xlfn.MODE.SNGL(IF((DATOS!$G$2:$G$20000=CONFIG_METADATA!$B$4)*(DATOS!$D$2:$D$20000=A228)*(DATOS!$I$2:$I$20000=B228)*(DATOS!$L$2:$L$20000="S"),DATOS!$K$2:$K$20000)),"—"),"")</f>
        <v>—</v>
      </c>
      <c r="K228" t="str" cm="1">
        <f t="array" ref="K228">IF(V228="Sí",IFERROR(_xlfn.MODE.SNGL(IF((DATOS!$G$2:$G$20000=CONFIG_METADATA!$B$4)*(DATOS!$D$2:$D$20000=A228)*(DATOS!$I$2:$I$20000=B228)*(DATOS!$L$2:$L$20000="N"),DATOS!$K$2:$K$20000)),"—"),"")</f>
        <v>—</v>
      </c>
      <c r="L228">
        <f>IF(V228="Sí",COUNTIFS(DATOS!G:G,CONFIG_METADATA!$B$4,DATOS!D:D,A228,DATOS!I:I,B228,DATOS!K:K,1),"")</f>
        <v>0</v>
      </c>
      <c r="M228">
        <f>IF(V228="Sí",COUNTIFS(DATOS!G:G,CONFIG_METADATA!$B$4,DATOS!D:D,A228,DATOS!I:I,B228,DATOS!K:K,2),"")</f>
        <v>0</v>
      </c>
      <c r="N228">
        <f>IF(V228="Sí",COUNTIFS(DATOS!G:G,CONFIG_METADATA!$B$4,DATOS!D:D,A228,DATOS!I:I,B228,DATOS!K:K,3),"")</f>
        <v>0</v>
      </c>
      <c r="O228">
        <f>IF(V228="Sí",COUNTIFS(DATOS!G:G,CONFIG_METADATA!$B$4,DATOS!D:D,A228,DATOS!I:I,B228,DATOS!K:K,4),"")</f>
        <v>0</v>
      </c>
      <c r="P228">
        <f>IF(V228="Sí",COUNTIFS(DATOS!G:G,CONFIG_METADATA!$B$4,DATOS!D:D,A228,DATOS!I:I,B228,DATOS!K:K,5),"")</f>
        <v>0</v>
      </c>
      <c r="Q228">
        <f>IF(V228="Sí",COUNTIFS(DATOS!G:G,CONFIG_METADATA!$B$4,DATOS!D:D,A228,DATOS!I:I,B228,DATOS!K:K,6),"")</f>
        <v>0</v>
      </c>
      <c r="R228">
        <f>IF(V228="Sí",COUNTIFS(DATOS!G:G,CONFIG_METADATA!$B$4,DATOS!D:D,A228,DATOS!I:I,B228,DATOS!K:K,7),"")</f>
        <v>0</v>
      </c>
      <c r="S228">
        <f>IF(V228="Sí",COUNTIFS(DATOS!G:G,CONFIG_METADATA!$B$4,DATOS!D:D,A228,DATOS!I:I,B228,DATOS!K:K,8),"")</f>
        <v>0</v>
      </c>
      <c r="T228">
        <f>IF(V228="Sí",COUNTIFS(DATOS!G:G,CONFIG_METADATA!$B$4,DATOS!D:D,A228,DATOS!I:I,B228,DATOS!K:K,9),"")</f>
        <v>0</v>
      </c>
      <c r="U228">
        <f>IF(V228="Sí",COUNTIFS(DATOS!G:G,CONFIG_METADATA!$B$4,DATOS!D:D,A228,DATOS!I:I,B228,DATOS!K:K,10),"")</f>
        <v>0</v>
      </c>
      <c r="V228" t="str">
        <f>IFERROR(IF(ISERROR(FIND(A228,VLOOKUP(B228,CONFIG_ASIGNATURAS!B:C,2,FALSE()))),"No","Sí"),"No")</f>
        <v>Sí</v>
      </c>
    </row>
    <row r="229" spans="1:22">
      <c r="A229" s="3" t="inlineStr">
        <is>
          <t xml:space="preserve">3EEM</t>
        </is>
      </c>
      <c r="B229" s="3" cm="1">
        <f t="array" ref="B229">IFERROR(INDEX(_xlfn._xlws.FILTER(CONFIG_ASIGNATURAS!$B$2:$B$61,(CONFIG_ASIGNATURAS!$G$2:$G$61="Sí")*ISNUMBER(SEARCH("3EEM",CONFIG_ASIGNATURAS!$C$2:$C$61))),36),"")</f>
      </c>
      <c r="C229" s="3">
        <f>IF(B229="","",IFERROR(IF(VLOOKUP(B229,CONFIG_ASIGNATURAS!$B$2:$F$61,5,FALSE())="Sí","Especialidad","Asignatura"),"Asignatura"))</f>
      </c>
      <c r="D229">
        <f>IF(V229="Sí",COUNTIFS(DATOS!G:G,CONFIG_METADATA!$B$4,DATOS!D:D,A229,DATOS!I:I,B229),"")</f>
        <v>0</v>
      </c>
      <c r="E229" s="14" t="str">
        <f>IF(V229="Sí",IFERROR(AVERAGEIFS(DATOS!K:K,DATOS!G:G,CONFIG_METADATA!$B$4,DATOS!D:D,A229,DATOS!I:I,B229),"—"),"")</f>
        <v>—</v>
      </c>
      <c r="F229" s="14" t="str" cm="1">
        <f t="array" ref="F229">IF(V229="Sí",IFERROR(_xlfn.STDEV.P(IF((DATOS!$G$2:$G$20000=CONFIG_METADATA!$B$4)*(DATOS!$D$2:$D$20000=A229)*(DATOS!$I$2:$I$20000=B229),DATOS!$K$2:$K$20000)),"—"),"")</f>
        <v>—</v>
      </c>
      <c r="G229" t="str" cm="1">
        <f t="array" ref="G229">IF(V229="Sí",IFERROR(_xlfn.MODE.SNGL(IF((DATOS!$G$2:$G$20000=CONFIG_METADATA!$B$4)*(DATOS!$D$2:$D$20000=A229)*(DATOS!$I$2:$I$20000=B229),DATOS!$K$2:$K$20000)),"—"),"")</f>
        <v>—</v>
      </c>
      <c r="H229" s="15" t="str">
        <f>IF(V229="Sí",IFERROR(COUNTIFS(DATOS!G:G,CONFIG_METADATA!$B$4,DATOS!D:D,A229,DATOS!I:I,B229,DATOS!L:L,"S")/COUNTIFS(DATOS!G:G,CONFIG_METADATA!$B$4,DATOS!D:D,A229,DATOS!I:I,B229),"—"),"")</f>
        <v>—</v>
      </c>
      <c r="I229" s="15" t="str">
        <f>IF(V229="Sí",IFERROR(COUNTIFS(DATOS!G:G,CONFIG_METADATA!$B$4,DATOS!D:D,A229,DATOS!I:I,B229,DATOS!L:L,"N")/COUNTIFS(DATOS!G:G,CONFIG_METADATA!$B$4,DATOS!D:D,A229,DATOS!I:I,B229),"—"),"")</f>
        <v>—</v>
      </c>
      <c r="J229" t="str" cm="1">
        <f t="array" ref="J229">IF(V229="Sí",IFERROR(_xlfn.MODE.SNGL(IF((DATOS!$G$2:$G$20000=CONFIG_METADATA!$B$4)*(DATOS!$D$2:$D$20000=A229)*(DATOS!$I$2:$I$20000=B229)*(DATOS!$L$2:$L$20000="S"),DATOS!$K$2:$K$20000)),"—"),"")</f>
        <v>—</v>
      </c>
      <c r="K229" t="str" cm="1">
        <f t="array" ref="K229">IF(V229="Sí",IFERROR(_xlfn.MODE.SNGL(IF((DATOS!$G$2:$G$20000=CONFIG_METADATA!$B$4)*(DATOS!$D$2:$D$20000=A229)*(DATOS!$I$2:$I$20000=B229)*(DATOS!$L$2:$L$20000="N"),DATOS!$K$2:$K$20000)),"—"),"")</f>
        <v>—</v>
      </c>
      <c r="L229">
        <f>IF(V229="Sí",COUNTIFS(DATOS!G:G,CONFIG_METADATA!$B$4,DATOS!D:D,A229,DATOS!I:I,B229,DATOS!K:K,1),"")</f>
        <v>0</v>
      </c>
      <c r="M229">
        <f>IF(V229="Sí",COUNTIFS(DATOS!G:G,CONFIG_METADATA!$B$4,DATOS!D:D,A229,DATOS!I:I,B229,DATOS!K:K,2),"")</f>
        <v>0</v>
      </c>
      <c r="N229">
        <f>IF(V229="Sí",COUNTIFS(DATOS!G:G,CONFIG_METADATA!$B$4,DATOS!D:D,A229,DATOS!I:I,B229,DATOS!K:K,3),"")</f>
        <v>0</v>
      </c>
      <c r="O229">
        <f>IF(V229="Sí",COUNTIFS(DATOS!G:G,CONFIG_METADATA!$B$4,DATOS!D:D,A229,DATOS!I:I,B229,DATOS!K:K,4),"")</f>
        <v>0</v>
      </c>
      <c r="P229">
        <f>IF(V229="Sí",COUNTIFS(DATOS!G:G,CONFIG_METADATA!$B$4,DATOS!D:D,A229,DATOS!I:I,B229,DATOS!K:K,5),"")</f>
        <v>0</v>
      </c>
      <c r="Q229">
        <f>IF(V229="Sí",COUNTIFS(DATOS!G:G,CONFIG_METADATA!$B$4,DATOS!D:D,A229,DATOS!I:I,B229,DATOS!K:K,6),"")</f>
        <v>0</v>
      </c>
      <c r="R229">
        <f>IF(V229="Sí",COUNTIFS(DATOS!G:G,CONFIG_METADATA!$B$4,DATOS!D:D,A229,DATOS!I:I,B229,DATOS!K:K,7),"")</f>
        <v>0</v>
      </c>
      <c r="S229">
        <f>IF(V229="Sí",COUNTIFS(DATOS!G:G,CONFIG_METADATA!$B$4,DATOS!D:D,A229,DATOS!I:I,B229,DATOS!K:K,8),"")</f>
        <v>0</v>
      </c>
      <c r="T229">
        <f>IF(V229="Sí",COUNTIFS(DATOS!G:G,CONFIG_METADATA!$B$4,DATOS!D:D,A229,DATOS!I:I,B229,DATOS!K:K,9),"")</f>
        <v>0</v>
      </c>
      <c r="U229">
        <f>IF(V229="Sí",COUNTIFS(DATOS!G:G,CONFIG_METADATA!$B$4,DATOS!D:D,A229,DATOS!I:I,B229,DATOS!K:K,10),"")</f>
        <v>0</v>
      </c>
      <c r="V229" t="str">
        <f>IFERROR(IF(ISERROR(FIND(A229,VLOOKUP(B229,CONFIG_ASIGNATURAS!B:C,2,FALSE()))),"No","Sí"),"No")</f>
        <v>Sí</v>
      </c>
    </row>
    <row r="230" spans="1:22">
      <c r="A230" s="3" t="inlineStr">
        <is>
          <t xml:space="preserve">3EEM</t>
        </is>
      </c>
      <c r="B230" s="3" cm="1">
        <f t="array" ref="B230">IFERROR(INDEX(_xlfn._xlws.FILTER(CONFIG_ASIGNATURAS!$B$2:$B$61,(CONFIG_ASIGNATURAS!$G$2:$G$61="Sí")*ISNUMBER(SEARCH("3EEM",CONFIG_ASIGNATURAS!$C$2:$C$61))),37),"")</f>
      </c>
      <c r="C230" s="3">
        <f>IF(B230="","",IFERROR(IF(VLOOKUP(B230,CONFIG_ASIGNATURAS!$B$2:$F$61,5,FALSE())="Sí","Especialidad","Asignatura"),"Asignatura"))</f>
      </c>
      <c r="D230">
        <f>IF(V230="Sí",COUNTIFS(DATOS!G:G,CONFIG_METADATA!$B$4,DATOS!D:D,A230,DATOS!I:I,B230),"")</f>
        <v>0</v>
      </c>
      <c r="E230" s="14" t="str">
        <f>IF(V230="Sí",IFERROR(AVERAGEIFS(DATOS!K:K,DATOS!G:G,CONFIG_METADATA!$B$4,DATOS!D:D,A230,DATOS!I:I,B230),"—"),"")</f>
        <v>—</v>
      </c>
      <c r="F230" s="14" t="str" cm="1">
        <f t="array" ref="F230">IF(V230="Sí",IFERROR(_xlfn.STDEV.P(IF((DATOS!$G$2:$G$20000=CONFIG_METADATA!$B$4)*(DATOS!$D$2:$D$20000=A230)*(DATOS!$I$2:$I$20000=B230),DATOS!$K$2:$K$20000)),"—"),"")</f>
        <v>—</v>
      </c>
      <c r="G230" t="str" cm="1">
        <f t="array" ref="G230">IF(V230="Sí",IFERROR(_xlfn.MODE.SNGL(IF((DATOS!$G$2:$G$20000=CONFIG_METADATA!$B$4)*(DATOS!$D$2:$D$20000=A230)*(DATOS!$I$2:$I$20000=B230),DATOS!$K$2:$K$20000)),"—"),"")</f>
        <v>—</v>
      </c>
      <c r="H230" s="15" t="str">
        <f>IF(V230="Sí",IFERROR(COUNTIFS(DATOS!G:G,CONFIG_METADATA!$B$4,DATOS!D:D,A230,DATOS!I:I,B230,DATOS!L:L,"S")/COUNTIFS(DATOS!G:G,CONFIG_METADATA!$B$4,DATOS!D:D,A230,DATOS!I:I,B230),"—"),"")</f>
        <v>—</v>
      </c>
      <c r="I230" s="15" t="str">
        <f>IF(V230="Sí",IFERROR(COUNTIFS(DATOS!G:G,CONFIG_METADATA!$B$4,DATOS!D:D,A230,DATOS!I:I,B230,DATOS!L:L,"N")/COUNTIFS(DATOS!G:G,CONFIG_METADATA!$B$4,DATOS!D:D,A230,DATOS!I:I,B230),"—"),"")</f>
        <v>—</v>
      </c>
      <c r="J230" t="str" cm="1">
        <f t="array" ref="J230">IF(V230="Sí",IFERROR(_xlfn.MODE.SNGL(IF((DATOS!$G$2:$G$20000=CONFIG_METADATA!$B$4)*(DATOS!$D$2:$D$20000=A230)*(DATOS!$I$2:$I$20000=B230)*(DATOS!$L$2:$L$20000="S"),DATOS!$K$2:$K$20000)),"—"),"")</f>
        <v>—</v>
      </c>
      <c r="K230" t="str" cm="1">
        <f t="array" ref="K230">IF(V230="Sí",IFERROR(_xlfn.MODE.SNGL(IF((DATOS!$G$2:$G$20000=CONFIG_METADATA!$B$4)*(DATOS!$D$2:$D$20000=A230)*(DATOS!$I$2:$I$20000=B230)*(DATOS!$L$2:$L$20000="N"),DATOS!$K$2:$K$20000)),"—"),"")</f>
        <v>—</v>
      </c>
      <c r="L230">
        <f>IF(V230="Sí",COUNTIFS(DATOS!G:G,CONFIG_METADATA!$B$4,DATOS!D:D,A230,DATOS!I:I,B230,DATOS!K:K,1),"")</f>
        <v>0</v>
      </c>
      <c r="M230">
        <f>IF(V230="Sí",COUNTIFS(DATOS!G:G,CONFIG_METADATA!$B$4,DATOS!D:D,A230,DATOS!I:I,B230,DATOS!K:K,2),"")</f>
        <v>0</v>
      </c>
      <c r="N230">
        <f>IF(V230="Sí",COUNTIFS(DATOS!G:G,CONFIG_METADATA!$B$4,DATOS!D:D,A230,DATOS!I:I,B230,DATOS!K:K,3),"")</f>
        <v>0</v>
      </c>
      <c r="O230">
        <f>IF(V230="Sí",COUNTIFS(DATOS!G:G,CONFIG_METADATA!$B$4,DATOS!D:D,A230,DATOS!I:I,B230,DATOS!K:K,4),"")</f>
        <v>0</v>
      </c>
      <c r="P230">
        <f>IF(V230="Sí",COUNTIFS(DATOS!G:G,CONFIG_METADATA!$B$4,DATOS!D:D,A230,DATOS!I:I,B230,DATOS!K:K,5),"")</f>
        <v>0</v>
      </c>
      <c r="Q230">
        <f>IF(V230="Sí",COUNTIFS(DATOS!G:G,CONFIG_METADATA!$B$4,DATOS!D:D,A230,DATOS!I:I,B230,DATOS!K:K,6),"")</f>
        <v>0</v>
      </c>
      <c r="R230">
        <f>IF(V230="Sí",COUNTIFS(DATOS!G:G,CONFIG_METADATA!$B$4,DATOS!D:D,A230,DATOS!I:I,B230,DATOS!K:K,7),"")</f>
        <v>0</v>
      </c>
      <c r="S230">
        <f>IF(V230="Sí",COUNTIFS(DATOS!G:G,CONFIG_METADATA!$B$4,DATOS!D:D,A230,DATOS!I:I,B230,DATOS!K:K,8),"")</f>
        <v>0</v>
      </c>
      <c r="T230">
        <f>IF(V230="Sí",COUNTIFS(DATOS!G:G,CONFIG_METADATA!$B$4,DATOS!D:D,A230,DATOS!I:I,B230,DATOS!K:K,9),"")</f>
        <v>0</v>
      </c>
      <c r="U230">
        <f>IF(V230="Sí",COUNTIFS(DATOS!G:G,CONFIG_METADATA!$B$4,DATOS!D:D,A230,DATOS!I:I,B230,DATOS!K:K,10),"")</f>
        <v>0</v>
      </c>
      <c r="V230" t="str">
        <f>IFERROR(IF(ISERROR(FIND(A230,VLOOKUP(B230,CONFIG_ASIGNATURAS!B:C,2,FALSE()))),"No","Sí"),"No")</f>
        <v>Sí</v>
      </c>
    </row>
    <row r="231" spans="1:22">
      <c r="A231" s="3" t="inlineStr">
        <is>
          <t xml:space="preserve">3EEM</t>
        </is>
      </c>
      <c r="B231" s="3" cm="1">
        <f t="array" ref="B231">IFERROR(INDEX(_xlfn._xlws.FILTER(CONFIG_ASIGNATURAS!$B$2:$B$61,(CONFIG_ASIGNATURAS!$G$2:$G$61="Sí")*ISNUMBER(SEARCH("3EEM",CONFIG_ASIGNATURAS!$C$2:$C$61))),38),"")</f>
      </c>
      <c r="C231" s="3">
        <f>IF(B231="","",IFERROR(IF(VLOOKUP(B231,CONFIG_ASIGNATURAS!$B$2:$F$61,5,FALSE())="Sí","Especialidad","Asignatura"),"Asignatura"))</f>
      </c>
      <c r="D231">
        <f>IF(V231="Sí",COUNTIFS(DATOS!G:G,CONFIG_METADATA!$B$4,DATOS!D:D,A231,DATOS!I:I,B231),"")</f>
        <v>0</v>
      </c>
      <c r="E231" s="14" t="str">
        <f>IF(V231="Sí",IFERROR(AVERAGEIFS(DATOS!K:K,DATOS!G:G,CONFIG_METADATA!$B$4,DATOS!D:D,A231,DATOS!I:I,B231),"—"),"")</f>
        <v>—</v>
      </c>
      <c r="F231" s="14" t="str" cm="1">
        <f t="array" ref="F231">IF(V231="Sí",IFERROR(_xlfn.STDEV.P(IF((DATOS!$G$2:$G$20000=CONFIG_METADATA!$B$4)*(DATOS!$D$2:$D$20000=A231)*(DATOS!$I$2:$I$20000=B231),DATOS!$K$2:$K$20000)),"—"),"")</f>
        <v>—</v>
      </c>
      <c r="G231" t="str" cm="1">
        <f t="array" ref="G231">IF(V231="Sí",IFERROR(_xlfn.MODE.SNGL(IF((DATOS!$G$2:$G$20000=CONFIG_METADATA!$B$4)*(DATOS!$D$2:$D$20000=A231)*(DATOS!$I$2:$I$20000=B231),DATOS!$K$2:$K$20000)),"—"),"")</f>
        <v>—</v>
      </c>
      <c r="H231" s="15" t="str">
        <f>IF(V231="Sí",IFERROR(COUNTIFS(DATOS!G:G,CONFIG_METADATA!$B$4,DATOS!D:D,A231,DATOS!I:I,B231,DATOS!L:L,"S")/COUNTIFS(DATOS!G:G,CONFIG_METADATA!$B$4,DATOS!D:D,A231,DATOS!I:I,B231),"—"),"")</f>
        <v>—</v>
      </c>
      <c r="I231" s="15" t="str">
        <f>IF(V231="Sí",IFERROR(COUNTIFS(DATOS!G:G,CONFIG_METADATA!$B$4,DATOS!D:D,A231,DATOS!I:I,B231,DATOS!L:L,"N")/COUNTIFS(DATOS!G:G,CONFIG_METADATA!$B$4,DATOS!D:D,A231,DATOS!I:I,B231),"—"),"")</f>
        <v>—</v>
      </c>
      <c r="J231" t="str" cm="1">
        <f t="array" ref="J231">IF(V231="Sí",IFERROR(_xlfn.MODE.SNGL(IF((DATOS!$G$2:$G$20000=CONFIG_METADATA!$B$4)*(DATOS!$D$2:$D$20000=A231)*(DATOS!$I$2:$I$20000=B231)*(DATOS!$L$2:$L$20000="S"),DATOS!$K$2:$K$20000)),"—"),"")</f>
        <v>—</v>
      </c>
      <c r="K231" t="str" cm="1">
        <f t="array" ref="K231">IF(V231="Sí",IFERROR(_xlfn.MODE.SNGL(IF((DATOS!$G$2:$G$20000=CONFIG_METADATA!$B$4)*(DATOS!$D$2:$D$20000=A231)*(DATOS!$I$2:$I$20000=B231)*(DATOS!$L$2:$L$20000="N"),DATOS!$K$2:$K$20000)),"—"),"")</f>
        <v>—</v>
      </c>
      <c r="L231">
        <f>IF(V231="Sí",COUNTIFS(DATOS!G:G,CONFIG_METADATA!$B$4,DATOS!D:D,A231,DATOS!I:I,B231,DATOS!K:K,1),"")</f>
        <v>0</v>
      </c>
      <c r="M231">
        <f>IF(V231="Sí",COUNTIFS(DATOS!G:G,CONFIG_METADATA!$B$4,DATOS!D:D,A231,DATOS!I:I,B231,DATOS!K:K,2),"")</f>
        <v>0</v>
      </c>
      <c r="N231">
        <f>IF(V231="Sí",COUNTIFS(DATOS!G:G,CONFIG_METADATA!$B$4,DATOS!D:D,A231,DATOS!I:I,B231,DATOS!K:K,3),"")</f>
        <v>0</v>
      </c>
      <c r="O231">
        <f>IF(V231="Sí",COUNTIFS(DATOS!G:G,CONFIG_METADATA!$B$4,DATOS!D:D,A231,DATOS!I:I,B231,DATOS!K:K,4),"")</f>
        <v>0</v>
      </c>
      <c r="P231">
        <f>IF(V231="Sí",COUNTIFS(DATOS!G:G,CONFIG_METADATA!$B$4,DATOS!D:D,A231,DATOS!I:I,B231,DATOS!K:K,5),"")</f>
        <v>0</v>
      </c>
      <c r="Q231">
        <f>IF(V231="Sí",COUNTIFS(DATOS!G:G,CONFIG_METADATA!$B$4,DATOS!D:D,A231,DATOS!I:I,B231,DATOS!K:K,6),"")</f>
        <v>0</v>
      </c>
      <c r="R231">
        <f>IF(V231="Sí",COUNTIFS(DATOS!G:G,CONFIG_METADATA!$B$4,DATOS!D:D,A231,DATOS!I:I,B231,DATOS!K:K,7),"")</f>
        <v>0</v>
      </c>
      <c r="S231">
        <f>IF(V231="Sí",COUNTIFS(DATOS!G:G,CONFIG_METADATA!$B$4,DATOS!D:D,A231,DATOS!I:I,B231,DATOS!K:K,8),"")</f>
        <v>0</v>
      </c>
      <c r="T231">
        <f>IF(V231="Sí",COUNTIFS(DATOS!G:G,CONFIG_METADATA!$B$4,DATOS!D:D,A231,DATOS!I:I,B231,DATOS!K:K,9),"")</f>
        <v>0</v>
      </c>
      <c r="U231">
        <f>IF(V231="Sí",COUNTIFS(DATOS!G:G,CONFIG_METADATA!$B$4,DATOS!D:D,A231,DATOS!I:I,B231,DATOS!K:K,10),"")</f>
        <v>0</v>
      </c>
      <c r="V231" t="str">
        <f>IFERROR(IF(ISERROR(FIND(A231,VLOOKUP(B231,CONFIG_ASIGNATURAS!B:C,2,FALSE()))),"No","Sí"),"No")</f>
        <v>Sí</v>
      </c>
    </row>
    <row r="232" spans="1:22">
      <c r="A232" s="3" t="inlineStr">
        <is>
          <t xml:space="preserve">3EEM</t>
        </is>
      </c>
      <c r="B232" s="3" cm="1">
        <f t="array" ref="B232">IFERROR(INDEX(_xlfn._xlws.FILTER(CONFIG_ASIGNATURAS!$B$2:$B$61,(CONFIG_ASIGNATURAS!$G$2:$G$61="Sí")*ISNUMBER(SEARCH("3EEM",CONFIG_ASIGNATURAS!$C$2:$C$61))),39),"")</f>
      </c>
      <c r="C232" s="3">
        <f>IF(B232="","",IFERROR(IF(VLOOKUP(B232,CONFIG_ASIGNATURAS!$B$2:$F$61,5,FALSE())="Sí","Especialidad","Asignatura"),"Asignatura"))</f>
      </c>
      <c r="D232">
        <f>IF(V232="Sí",COUNTIFS(DATOS!G:G,CONFIG_METADATA!$B$4,DATOS!D:D,A232,DATOS!I:I,B232),"")</f>
        <v>0</v>
      </c>
      <c r="E232" s="14" t="str">
        <f>IF(V232="Sí",IFERROR(AVERAGEIFS(DATOS!K:K,DATOS!G:G,CONFIG_METADATA!$B$4,DATOS!D:D,A232,DATOS!I:I,B232),"—"),"")</f>
        <v>—</v>
      </c>
      <c r="F232" s="14" t="str" cm="1">
        <f t="array" ref="F232">IF(V232="Sí",IFERROR(_xlfn.STDEV.P(IF((DATOS!$G$2:$G$20000=CONFIG_METADATA!$B$4)*(DATOS!$D$2:$D$20000=A232)*(DATOS!$I$2:$I$20000=B232),DATOS!$K$2:$K$20000)),"—"),"")</f>
        <v>—</v>
      </c>
      <c r="G232" t="str" cm="1">
        <f t="array" ref="G232">IF(V232="Sí",IFERROR(_xlfn.MODE.SNGL(IF((DATOS!$G$2:$G$20000=CONFIG_METADATA!$B$4)*(DATOS!$D$2:$D$20000=A232)*(DATOS!$I$2:$I$20000=B232),DATOS!$K$2:$K$20000)),"—"),"")</f>
        <v>—</v>
      </c>
      <c r="H232" s="15" t="str">
        <f>IF(V232="Sí",IFERROR(COUNTIFS(DATOS!G:G,CONFIG_METADATA!$B$4,DATOS!D:D,A232,DATOS!I:I,B232,DATOS!L:L,"S")/COUNTIFS(DATOS!G:G,CONFIG_METADATA!$B$4,DATOS!D:D,A232,DATOS!I:I,B232),"—"),"")</f>
        <v>—</v>
      </c>
      <c r="I232" s="15" t="str">
        <f>IF(V232="Sí",IFERROR(COUNTIFS(DATOS!G:G,CONFIG_METADATA!$B$4,DATOS!D:D,A232,DATOS!I:I,B232,DATOS!L:L,"N")/COUNTIFS(DATOS!G:G,CONFIG_METADATA!$B$4,DATOS!D:D,A232,DATOS!I:I,B232),"—"),"")</f>
        <v>—</v>
      </c>
      <c r="J232" t="str" cm="1">
        <f t="array" ref="J232">IF(V232="Sí",IFERROR(_xlfn.MODE.SNGL(IF((DATOS!$G$2:$G$20000=CONFIG_METADATA!$B$4)*(DATOS!$D$2:$D$20000=A232)*(DATOS!$I$2:$I$20000=B232)*(DATOS!$L$2:$L$20000="S"),DATOS!$K$2:$K$20000)),"—"),"")</f>
        <v>—</v>
      </c>
      <c r="K232" t="str" cm="1">
        <f t="array" ref="K232">IF(V232="Sí",IFERROR(_xlfn.MODE.SNGL(IF((DATOS!$G$2:$G$20000=CONFIG_METADATA!$B$4)*(DATOS!$D$2:$D$20000=A232)*(DATOS!$I$2:$I$20000=B232)*(DATOS!$L$2:$L$20000="N"),DATOS!$K$2:$K$20000)),"—"),"")</f>
        <v>—</v>
      </c>
      <c r="L232">
        <f>IF(V232="Sí",COUNTIFS(DATOS!G:G,CONFIG_METADATA!$B$4,DATOS!D:D,A232,DATOS!I:I,B232,DATOS!K:K,1),"")</f>
        <v>0</v>
      </c>
      <c r="M232">
        <f>IF(V232="Sí",COUNTIFS(DATOS!G:G,CONFIG_METADATA!$B$4,DATOS!D:D,A232,DATOS!I:I,B232,DATOS!K:K,2),"")</f>
        <v>0</v>
      </c>
      <c r="N232">
        <f>IF(V232="Sí",COUNTIFS(DATOS!G:G,CONFIG_METADATA!$B$4,DATOS!D:D,A232,DATOS!I:I,B232,DATOS!K:K,3),"")</f>
        <v>0</v>
      </c>
      <c r="O232">
        <f>IF(V232="Sí",COUNTIFS(DATOS!G:G,CONFIG_METADATA!$B$4,DATOS!D:D,A232,DATOS!I:I,B232,DATOS!K:K,4),"")</f>
        <v>0</v>
      </c>
      <c r="P232">
        <f>IF(V232="Sí",COUNTIFS(DATOS!G:G,CONFIG_METADATA!$B$4,DATOS!D:D,A232,DATOS!I:I,B232,DATOS!K:K,5),"")</f>
        <v>0</v>
      </c>
      <c r="Q232">
        <f>IF(V232="Sí",COUNTIFS(DATOS!G:G,CONFIG_METADATA!$B$4,DATOS!D:D,A232,DATOS!I:I,B232,DATOS!K:K,6),"")</f>
        <v>0</v>
      </c>
      <c r="R232">
        <f>IF(V232="Sí",COUNTIFS(DATOS!G:G,CONFIG_METADATA!$B$4,DATOS!D:D,A232,DATOS!I:I,B232,DATOS!K:K,7),"")</f>
        <v>0</v>
      </c>
      <c r="S232">
        <f>IF(V232="Sí",COUNTIFS(DATOS!G:G,CONFIG_METADATA!$B$4,DATOS!D:D,A232,DATOS!I:I,B232,DATOS!K:K,8),"")</f>
        <v>0</v>
      </c>
      <c r="T232">
        <f>IF(V232="Sí",COUNTIFS(DATOS!G:G,CONFIG_METADATA!$B$4,DATOS!D:D,A232,DATOS!I:I,B232,DATOS!K:K,9),"")</f>
        <v>0</v>
      </c>
      <c r="U232">
        <f>IF(V232="Sí",COUNTIFS(DATOS!G:G,CONFIG_METADATA!$B$4,DATOS!D:D,A232,DATOS!I:I,B232,DATOS!K:K,10),"")</f>
        <v>0</v>
      </c>
      <c r="V232" t="str">
        <f>IFERROR(IF(ISERROR(FIND(A232,VLOOKUP(B232,CONFIG_ASIGNATURAS!B:C,2,FALSE()))),"No","Sí"),"No")</f>
        <v>Sí</v>
      </c>
    </row>
    <row r="233" spans="1:22">
      <c r="A233" s="3" t="inlineStr">
        <is>
          <t xml:space="preserve">3EEM</t>
        </is>
      </c>
      <c r="B233" s="3" cm="1">
        <f t="array" ref="B233">IFERROR(INDEX(_xlfn._xlws.FILTER(CONFIG_ASIGNATURAS!$B$2:$B$61,(CONFIG_ASIGNATURAS!$G$2:$G$61="Sí")*ISNUMBER(SEARCH("3EEM",CONFIG_ASIGNATURAS!$C$2:$C$61))),40),"")</f>
      </c>
      <c r="C233" s="3">
        <f>IF(B233="","",IFERROR(IF(VLOOKUP(B233,CONFIG_ASIGNATURAS!$B$2:$F$61,5,FALSE())="Sí","Especialidad","Asignatura"),"Asignatura"))</f>
      </c>
      <c r="D233">
        <f>IF(V233="Sí",COUNTIFS(DATOS!G:G,CONFIG_METADATA!$B$4,DATOS!D:D,A233,DATOS!I:I,B233),"")</f>
        <v>0</v>
      </c>
      <c r="E233" s="14" t="str">
        <f>IF(V233="Sí",IFERROR(AVERAGEIFS(DATOS!K:K,DATOS!G:G,CONFIG_METADATA!$B$4,DATOS!D:D,A233,DATOS!I:I,B233),"—"),"")</f>
        <v>—</v>
      </c>
      <c r="F233" s="14" t="str" cm="1">
        <f t="array" ref="F233">IF(V233="Sí",IFERROR(_xlfn.STDEV.P(IF((DATOS!$G$2:$G$20000=CONFIG_METADATA!$B$4)*(DATOS!$D$2:$D$20000=A233)*(DATOS!$I$2:$I$20000=B233),DATOS!$K$2:$K$20000)),"—"),"")</f>
        <v>—</v>
      </c>
      <c r="G233" t="str" cm="1">
        <f t="array" ref="G233">IF(V233="Sí",IFERROR(_xlfn.MODE.SNGL(IF((DATOS!$G$2:$G$20000=CONFIG_METADATA!$B$4)*(DATOS!$D$2:$D$20000=A233)*(DATOS!$I$2:$I$20000=B233),DATOS!$K$2:$K$20000)),"—"),"")</f>
        <v>—</v>
      </c>
      <c r="H233" s="15" t="str">
        <f>IF(V233="Sí",IFERROR(COUNTIFS(DATOS!G:G,CONFIG_METADATA!$B$4,DATOS!D:D,A233,DATOS!I:I,B233,DATOS!L:L,"S")/COUNTIFS(DATOS!G:G,CONFIG_METADATA!$B$4,DATOS!D:D,A233,DATOS!I:I,B233),"—"),"")</f>
        <v>—</v>
      </c>
      <c r="I233" s="15" t="str">
        <f>IF(V233="Sí",IFERROR(COUNTIFS(DATOS!G:G,CONFIG_METADATA!$B$4,DATOS!D:D,A233,DATOS!I:I,B233,DATOS!L:L,"N")/COUNTIFS(DATOS!G:G,CONFIG_METADATA!$B$4,DATOS!D:D,A233,DATOS!I:I,B233),"—"),"")</f>
        <v>—</v>
      </c>
      <c r="J233" t="str" cm="1">
        <f t="array" ref="J233">IF(V233="Sí",IFERROR(_xlfn.MODE.SNGL(IF((DATOS!$G$2:$G$20000=CONFIG_METADATA!$B$4)*(DATOS!$D$2:$D$20000=A233)*(DATOS!$I$2:$I$20000=B233)*(DATOS!$L$2:$L$20000="S"),DATOS!$K$2:$K$20000)),"—"),"")</f>
        <v>—</v>
      </c>
      <c r="K233" t="str" cm="1">
        <f t="array" ref="K233">IF(V233="Sí",IFERROR(_xlfn.MODE.SNGL(IF((DATOS!$G$2:$G$20000=CONFIG_METADATA!$B$4)*(DATOS!$D$2:$D$20000=A233)*(DATOS!$I$2:$I$20000=B233)*(DATOS!$L$2:$L$20000="N"),DATOS!$K$2:$K$20000)),"—"),"")</f>
        <v>—</v>
      </c>
      <c r="L233">
        <f>IF(V233="Sí",COUNTIFS(DATOS!G:G,CONFIG_METADATA!$B$4,DATOS!D:D,A233,DATOS!I:I,B233,DATOS!K:K,1),"")</f>
        <v>0</v>
      </c>
      <c r="M233">
        <f>IF(V233="Sí",COUNTIFS(DATOS!G:G,CONFIG_METADATA!$B$4,DATOS!D:D,A233,DATOS!I:I,B233,DATOS!K:K,2),"")</f>
        <v>0</v>
      </c>
      <c r="N233">
        <f>IF(V233="Sí",COUNTIFS(DATOS!G:G,CONFIG_METADATA!$B$4,DATOS!D:D,A233,DATOS!I:I,B233,DATOS!K:K,3),"")</f>
        <v>0</v>
      </c>
      <c r="O233">
        <f>IF(V233="Sí",COUNTIFS(DATOS!G:G,CONFIG_METADATA!$B$4,DATOS!D:D,A233,DATOS!I:I,B233,DATOS!K:K,4),"")</f>
        <v>0</v>
      </c>
      <c r="P233">
        <f>IF(V233="Sí",COUNTIFS(DATOS!G:G,CONFIG_METADATA!$B$4,DATOS!D:D,A233,DATOS!I:I,B233,DATOS!K:K,5),"")</f>
        <v>0</v>
      </c>
      <c r="Q233">
        <f>IF(V233="Sí",COUNTIFS(DATOS!G:G,CONFIG_METADATA!$B$4,DATOS!D:D,A233,DATOS!I:I,B233,DATOS!K:K,6),"")</f>
        <v>0</v>
      </c>
      <c r="R233">
        <f>IF(V233="Sí",COUNTIFS(DATOS!G:G,CONFIG_METADATA!$B$4,DATOS!D:D,A233,DATOS!I:I,B233,DATOS!K:K,7),"")</f>
        <v>0</v>
      </c>
      <c r="S233">
        <f>IF(V233="Sí",COUNTIFS(DATOS!G:G,CONFIG_METADATA!$B$4,DATOS!D:D,A233,DATOS!I:I,B233,DATOS!K:K,8),"")</f>
        <v>0</v>
      </c>
      <c r="T233">
        <f>IF(V233="Sí",COUNTIFS(DATOS!G:G,CONFIG_METADATA!$B$4,DATOS!D:D,A233,DATOS!I:I,B233,DATOS!K:K,9),"")</f>
        <v>0</v>
      </c>
      <c r="U233">
        <f>IF(V233="Sí",COUNTIFS(DATOS!G:G,CONFIG_METADATA!$B$4,DATOS!D:D,A233,DATOS!I:I,B233,DATOS!K:K,10),"")</f>
        <v>0</v>
      </c>
      <c r="V233" t="str">
        <f>IFERROR(IF(ISERROR(FIND(A233,VLOOKUP(B233,CONFIG_ASIGNATURAS!B:C,2,FALSE()))),"No","Sí"),"No")</f>
        <v>Sí</v>
      </c>
    </row>
    <row r="234" spans="1:22">
      <c r="A234" s="3" t="inlineStr">
        <is>
          <t xml:space="preserve">3EEM</t>
        </is>
      </c>
      <c r="B234" s="3" cm="1">
        <f t="array" ref="B234">IFERROR(INDEX(_xlfn._xlws.FILTER(CONFIG_ASIGNATURAS!$B$2:$B$61,(CONFIG_ASIGNATURAS!$G$2:$G$61="Sí")*ISNUMBER(SEARCH("3EEM",CONFIG_ASIGNATURAS!$C$2:$C$61))),41),"")</f>
      </c>
      <c r="C234" s="3">
        <f>IF(B234="","",IFERROR(IF(VLOOKUP(B234,CONFIG_ASIGNATURAS!$B$2:$F$61,5,FALSE())="Sí","Especialidad","Asignatura"),"Asignatura"))</f>
      </c>
      <c r="D234">
        <f>IF(V234="Sí",COUNTIFS(DATOS!G:G,CONFIG_METADATA!$B$4,DATOS!D:D,A234,DATOS!I:I,B234),"")</f>
        <v>0</v>
      </c>
      <c r="E234" s="14" t="str">
        <f>IF(V234="Sí",IFERROR(AVERAGEIFS(DATOS!K:K,DATOS!G:G,CONFIG_METADATA!$B$4,DATOS!D:D,A234,DATOS!I:I,B234),"—"),"")</f>
        <v>—</v>
      </c>
      <c r="F234" s="14" t="str" cm="1">
        <f t="array" ref="F234">IF(V234="Sí",IFERROR(_xlfn.STDEV.P(IF((DATOS!$G$2:$G$20000=CONFIG_METADATA!$B$4)*(DATOS!$D$2:$D$20000=A234)*(DATOS!$I$2:$I$20000=B234),DATOS!$K$2:$K$20000)),"—"),"")</f>
        <v>—</v>
      </c>
      <c r="G234" t="str" cm="1">
        <f t="array" ref="G234">IF(V234="Sí",IFERROR(_xlfn.MODE.SNGL(IF((DATOS!$G$2:$G$20000=CONFIG_METADATA!$B$4)*(DATOS!$D$2:$D$20000=A234)*(DATOS!$I$2:$I$20000=B234),DATOS!$K$2:$K$20000)),"—"),"")</f>
        <v>—</v>
      </c>
      <c r="H234" s="15" t="str">
        <f>IF(V234="Sí",IFERROR(COUNTIFS(DATOS!G:G,CONFIG_METADATA!$B$4,DATOS!D:D,A234,DATOS!I:I,B234,DATOS!L:L,"S")/COUNTIFS(DATOS!G:G,CONFIG_METADATA!$B$4,DATOS!D:D,A234,DATOS!I:I,B234),"—"),"")</f>
        <v>—</v>
      </c>
      <c r="I234" s="15" t="str">
        <f>IF(V234="Sí",IFERROR(COUNTIFS(DATOS!G:G,CONFIG_METADATA!$B$4,DATOS!D:D,A234,DATOS!I:I,B234,DATOS!L:L,"N")/COUNTIFS(DATOS!G:G,CONFIG_METADATA!$B$4,DATOS!D:D,A234,DATOS!I:I,B234),"—"),"")</f>
        <v>—</v>
      </c>
      <c r="J234" t="str" cm="1">
        <f t="array" ref="J234">IF(V234="Sí",IFERROR(_xlfn.MODE.SNGL(IF((DATOS!$G$2:$G$20000=CONFIG_METADATA!$B$4)*(DATOS!$D$2:$D$20000=A234)*(DATOS!$I$2:$I$20000=B234)*(DATOS!$L$2:$L$20000="S"),DATOS!$K$2:$K$20000)),"—"),"")</f>
        <v>—</v>
      </c>
      <c r="K234" t="str" cm="1">
        <f t="array" ref="K234">IF(V234="Sí",IFERROR(_xlfn.MODE.SNGL(IF((DATOS!$G$2:$G$20000=CONFIG_METADATA!$B$4)*(DATOS!$D$2:$D$20000=A234)*(DATOS!$I$2:$I$20000=B234)*(DATOS!$L$2:$L$20000="N"),DATOS!$K$2:$K$20000)),"—"),"")</f>
        <v>—</v>
      </c>
      <c r="L234">
        <f>IF(V234="Sí",COUNTIFS(DATOS!G:G,CONFIG_METADATA!$B$4,DATOS!D:D,A234,DATOS!I:I,B234,DATOS!K:K,1),"")</f>
        <v>0</v>
      </c>
      <c r="M234">
        <f>IF(V234="Sí",COUNTIFS(DATOS!G:G,CONFIG_METADATA!$B$4,DATOS!D:D,A234,DATOS!I:I,B234,DATOS!K:K,2),"")</f>
        <v>0</v>
      </c>
      <c r="N234">
        <f>IF(V234="Sí",COUNTIFS(DATOS!G:G,CONFIG_METADATA!$B$4,DATOS!D:D,A234,DATOS!I:I,B234,DATOS!K:K,3),"")</f>
        <v>0</v>
      </c>
      <c r="O234">
        <f>IF(V234="Sí",COUNTIFS(DATOS!G:G,CONFIG_METADATA!$B$4,DATOS!D:D,A234,DATOS!I:I,B234,DATOS!K:K,4),"")</f>
        <v>0</v>
      </c>
      <c r="P234">
        <f>IF(V234="Sí",COUNTIFS(DATOS!G:G,CONFIG_METADATA!$B$4,DATOS!D:D,A234,DATOS!I:I,B234,DATOS!K:K,5),"")</f>
        <v>0</v>
      </c>
      <c r="Q234">
        <f>IF(V234="Sí",COUNTIFS(DATOS!G:G,CONFIG_METADATA!$B$4,DATOS!D:D,A234,DATOS!I:I,B234,DATOS!K:K,6),"")</f>
        <v>0</v>
      </c>
      <c r="R234">
        <f>IF(V234="Sí",COUNTIFS(DATOS!G:G,CONFIG_METADATA!$B$4,DATOS!D:D,A234,DATOS!I:I,B234,DATOS!K:K,7),"")</f>
        <v>0</v>
      </c>
      <c r="S234">
        <f>IF(V234="Sí",COUNTIFS(DATOS!G:G,CONFIG_METADATA!$B$4,DATOS!D:D,A234,DATOS!I:I,B234,DATOS!K:K,8),"")</f>
        <v>0</v>
      </c>
      <c r="T234">
        <f>IF(V234="Sí",COUNTIFS(DATOS!G:G,CONFIG_METADATA!$B$4,DATOS!D:D,A234,DATOS!I:I,B234,DATOS!K:K,9),"")</f>
        <v>0</v>
      </c>
      <c r="U234">
        <f>IF(V234="Sí",COUNTIFS(DATOS!G:G,CONFIG_METADATA!$B$4,DATOS!D:D,A234,DATOS!I:I,B234,DATOS!K:K,10),"")</f>
        <v>0</v>
      </c>
      <c r="V234" t="str">
        <f>IFERROR(IF(ISERROR(FIND(A234,VLOOKUP(B234,CONFIG_ASIGNATURAS!B:C,2,FALSE()))),"No","Sí"),"No")</f>
        <v>Sí</v>
      </c>
    </row>
    <row r="235" spans="1:22">
      <c r="A235" s="3" t="inlineStr">
        <is>
          <t xml:space="preserve">3EEM</t>
        </is>
      </c>
      <c r="B235" s="3" cm="1">
        <f t="array" ref="B235">IFERROR(INDEX(_xlfn._xlws.FILTER(CONFIG_ASIGNATURAS!$B$2:$B$61,(CONFIG_ASIGNATURAS!$G$2:$G$61="Sí")*ISNUMBER(SEARCH("3EEM",CONFIG_ASIGNATURAS!$C$2:$C$61))),42),"")</f>
      </c>
      <c r="C235" s="3">
        <f>IF(B235="","",IFERROR(IF(VLOOKUP(B235,CONFIG_ASIGNATURAS!$B$2:$F$61,5,FALSE())="Sí","Especialidad","Asignatura"),"Asignatura"))</f>
      </c>
      <c r="D235">
        <f>IF(V235="Sí",COUNTIFS(DATOS!G:G,CONFIG_METADATA!$B$4,DATOS!D:D,A235,DATOS!I:I,B235),"")</f>
        <v>0</v>
      </c>
      <c r="E235" s="14" t="str">
        <f>IF(V235="Sí",IFERROR(AVERAGEIFS(DATOS!K:K,DATOS!G:G,CONFIG_METADATA!$B$4,DATOS!D:D,A235,DATOS!I:I,B235),"—"),"")</f>
        <v>—</v>
      </c>
      <c r="F235" s="14" t="str" cm="1">
        <f t="array" ref="F235">IF(V235="Sí",IFERROR(_xlfn.STDEV.P(IF((DATOS!$G$2:$G$20000=CONFIG_METADATA!$B$4)*(DATOS!$D$2:$D$20000=A235)*(DATOS!$I$2:$I$20000=B235),DATOS!$K$2:$K$20000)),"—"),"")</f>
        <v>—</v>
      </c>
      <c r="G235" t="str" cm="1">
        <f t="array" ref="G235">IF(V235="Sí",IFERROR(_xlfn.MODE.SNGL(IF((DATOS!$G$2:$G$20000=CONFIG_METADATA!$B$4)*(DATOS!$D$2:$D$20000=A235)*(DATOS!$I$2:$I$20000=B235),DATOS!$K$2:$K$20000)),"—"),"")</f>
        <v>—</v>
      </c>
      <c r="H235" s="15" t="str">
        <f>IF(V235="Sí",IFERROR(COUNTIFS(DATOS!G:G,CONFIG_METADATA!$B$4,DATOS!D:D,A235,DATOS!I:I,B235,DATOS!L:L,"S")/COUNTIFS(DATOS!G:G,CONFIG_METADATA!$B$4,DATOS!D:D,A235,DATOS!I:I,B235),"—"),"")</f>
        <v>—</v>
      </c>
      <c r="I235" s="15" t="str">
        <f>IF(V235="Sí",IFERROR(COUNTIFS(DATOS!G:G,CONFIG_METADATA!$B$4,DATOS!D:D,A235,DATOS!I:I,B235,DATOS!L:L,"N")/COUNTIFS(DATOS!G:G,CONFIG_METADATA!$B$4,DATOS!D:D,A235,DATOS!I:I,B235),"—"),"")</f>
        <v>—</v>
      </c>
      <c r="J235" t="str" cm="1">
        <f t="array" ref="J235">IF(V235="Sí",IFERROR(_xlfn.MODE.SNGL(IF((DATOS!$G$2:$G$20000=CONFIG_METADATA!$B$4)*(DATOS!$D$2:$D$20000=A235)*(DATOS!$I$2:$I$20000=B235)*(DATOS!$L$2:$L$20000="S"),DATOS!$K$2:$K$20000)),"—"),"")</f>
        <v>—</v>
      </c>
      <c r="K235" t="str" cm="1">
        <f t="array" ref="K235">IF(V235="Sí",IFERROR(_xlfn.MODE.SNGL(IF((DATOS!$G$2:$G$20000=CONFIG_METADATA!$B$4)*(DATOS!$D$2:$D$20000=A235)*(DATOS!$I$2:$I$20000=B235)*(DATOS!$L$2:$L$20000="N"),DATOS!$K$2:$K$20000)),"—"),"")</f>
        <v>—</v>
      </c>
      <c r="L235">
        <f>IF(V235="Sí",COUNTIFS(DATOS!G:G,CONFIG_METADATA!$B$4,DATOS!D:D,A235,DATOS!I:I,B235,DATOS!K:K,1),"")</f>
        <v>0</v>
      </c>
      <c r="M235">
        <f>IF(V235="Sí",COUNTIFS(DATOS!G:G,CONFIG_METADATA!$B$4,DATOS!D:D,A235,DATOS!I:I,B235,DATOS!K:K,2),"")</f>
        <v>0</v>
      </c>
      <c r="N235">
        <f>IF(V235="Sí",COUNTIFS(DATOS!G:G,CONFIG_METADATA!$B$4,DATOS!D:D,A235,DATOS!I:I,B235,DATOS!K:K,3),"")</f>
        <v>0</v>
      </c>
      <c r="O235">
        <f>IF(V235="Sí",COUNTIFS(DATOS!G:G,CONFIG_METADATA!$B$4,DATOS!D:D,A235,DATOS!I:I,B235,DATOS!K:K,4),"")</f>
        <v>0</v>
      </c>
      <c r="P235">
        <f>IF(V235="Sí",COUNTIFS(DATOS!G:G,CONFIG_METADATA!$B$4,DATOS!D:D,A235,DATOS!I:I,B235,DATOS!K:K,5),"")</f>
        <v>0</v>
      </c>
      <c r="Q235">
        <f>IF(V235="Sí",COUNTIFS(DATOS!G:G,CONFIG_METADATA!$B$4,DATOS!D:D,A235,DATOS!I:I,B235,DATOS!K:K,6),"")</f>
        <v>0</v>
      </c>
      <c r="R235">
        <f>IF(V235="Sí",COUNTIFS(DATOS!G:G,CONFIG_METADATA!$B$4,DATOS!D:D,A235,DATOS!I:I,B235,DATOS!K:K,7),"")</f>
        <v>0</v>
      </c>
      <c r="S235">
        <f>IF(V235="Sí",COUNTIFS(DATOS!G:G,CONFIG_METADATA!$B$4,DATOS!D:D,A235,DATOS!I:I,B235,DATOS!K:K,8),"")</f>
        <v>0</v>
      </c>
      <c r="T235">
        <f>IF(V235="Sí",COUNTIFS(DATOS!G:G,CONFIG_METADATA!$B$4,DATOS!D:D,A235,DATOS!I:I,B235,DATOS!K:K,9),"")</f>
        <v>0</v>
      </c>
      <c r="U235">
        <f>IF(V235="Sí",COUNTIFS(DATOS!G:G,CONFIG_METADATA!$B$4,DATOS!D:D,A235,DATOS!I:I,B235,DATOS!K:K,10),"")</f>
        <v>0</v>
      </c>
      <c r="V235" t="str">
        <f>IFERROR(IF(ISERROR(FIND(A235,VLOOKUP(B235,CONFIG_ASIGNATURAS!B:C,2,FALSE()))),"No","Sí"),"No")</f>
        <v>Sí</v>
      </c>
    </row>
    <row r="236" spans="1:22">
      <c r="A236" s="3" t="inlineStr">
        <is>
          <t xml:space="preserve">3EEM</t>
        </is>
      </c>
      <c r="B236" s="3" cm="1">
        <f t="array" ref="B236">IFERROR(INDEX(_xlfn._xlws.FILTER(CONFIG_ASIGNATURAS!$B$2:$B$61,(CONFIG_ASIGNATURAS!$G$2:$G$61="Sí")*ISNUMBER(SEARCH("3EEM",CONFIG_ASIGNATURAS!$C$2:$C$61))),43),"")</f>
      </c>
      <c r="C236" s="3">
        <f>IF(B236="","",IFERROR(IF(VLOOKUP(B236,CONFIG_ASIGNATURAS!$B$2:$F$61,5,FALSE())="Sí","Especialidad","Asignatura"),"Asignatura"))</f>
      </c>
      <c r="D236">
        <f>IF(V236="Sí",COUNTIFS(DATOS!G:G,CONFIG_METADATA!$B$4,DATOS!D:D,A236,DATOS!I:I,B236),"")</f>
        <v>0</v>
      </c>
      <c r="E236" s="14" t="str">
        <f>IF(V236="Sí",IFERROR(AVERAGEIFS(DATOS!K:K,DATOS!G:G,CONFIG_METADATA!$B$4,DATOS!D:D,A236,DATOS!I:I,B236),"—"),"")</f>
        <v>—</v>
      </c>
      <c r="F236" s="14" t="str" cm="1">
        <f t="array" ref="F236">IF(V236="Sí",IFERROR(_xlfn.STDEV.P(IF((DATOS!$G$2:$G$20000=CONFIG_METADATA!$B$4)*(DATOS!$D$2:$D$20000=A236)*(DATOS!$I$2:$I$20000=B236),DATOS!$K$2:$K$20000)),"—"),"")</f>
        <v>—</v>
      </c>
      <c r="G236" t="str" cm="1">
        <f t="array" ref="G236">IF(V236="Sí",IFERROR(_xlfn.MODE.SNGL(IF((DATOS!$G$2:$G$20000=CONFIG_METADATA!$B$4)*(DATOS!$D$2:$D$20000=A236)*(DATOS!$I$2:$I$20000=B236),DATOS!$K$2:$K$20000)),"—"),"")</f>
        <v>—</v>
      </c>
      <c r="H236" s="15" t="str">
        <f>IF(V236="Sí",IFERROR(COUNTIFS(DATOS!G:G,CONFIG_METADATA!$B$4,DATOS!D:D,A236,DATOS!I:I,B236,DATOS!L:L,"S")/COUNTIFS(DATOS!G:G,CONFIG_METADATA!$B$4,DATOS!D:D,A236,DATOS!I:I,B236),"—"),"")</f>
        <v>—</v>
      </c>
      <c r="I236" s="15" t="str">
        <f>IF(V236="Sí",IFERROR(COUNTIFS(DATOS!G:G,CONFIG_METADATA!$B$4,DATOS!D:D,A236,DATOS!I:I,B236,DATOS!L:L,"N")/COUNTIFS(DATOS!G:G,CONFIG_METADATA!$B$4,DATOS!D:D,A236,DATOS!I:I,B236),"—"),"")</f>
        <v>—</v>
      </c>
      <c r="J236" t="str" cm="1">
        <f t="array" ref="J236">IF(V236="Sí",IFERROR(_xlfn.MODE.SNGL(IF((DATOS!$G$2:$G$20000=CONFIG_METADATA!$B$4)*(DATOS!$D$2:$D$20000=A236)*(DATOS!$I$2:$I$20000=B236)*(DATOS!$L$2:$L$20000="S"),DATOS!$K$2:$K$20000)),"—"),"")</f>
        <v>—</v>
      </c>
      <c r="K236" t="str" cm="1">
        <f t="array" ref="K236">IF(V236="Sí",IFERROR(_xlfn.MODE.SNGL(IF((DATOS!$G$2:$G$20000=CONFIG_METADATA!$B$4)*(DATOS!$D$2:$D$20000=A236)*(DATOS!$I$2:$I$20000=B236)*(DATOS!$L$2:$L$20000="N"),DATOS!$K$2:$K$20000)),"—"),"")</f>
        <v>—</v>
      </c>
      <c r="L236">
        <f>IF(V236="Sí",COUNTIFS(DATOS!G:G,CONFIG_METADATA!$B$4,DATOS!D:D,A236,DATOS!I:I,B236,DATOS!K:K,1),"")</f>
        <v>0</v>
      </c>
      <c r="M236">
        <f>IF(V236="Sí",COUNTIFS(DATOS!G:G,CONFIG_METADATA!$B$4,DATOS!D:D,A236,DATOS!I:I,B236,DATOS!K:K,2),"")</f>
        <v>0</v>
      </c>
      <c r="N236">
        <f>IF(V236="Sí",COUNTIFS(DATOS!G:G,CONFIG_METADATA!$B$4,DATOS!D:D,A236,DATOS!I:I,B236,DATOS!K:K,3),"")</f>
        <v>0</v>
      </c>
      <c r="O236">
        <f>IF(V236="Sí",COUNTIFS(DATOS!G:G,CONFIG_METADATA!$B$4,DATOS!D:D,A236,DATOS!I:I,B236,DATOS!K:K,4),"")</f>
        <v>0</v>
      </c>
      <c r="P236">
        <f>IF(V236="Sí",COUNTIFS(DATOS!G:G,CONFIG_METADATA!$B$4,DATOS!D:D,A236,DATOS!I:I,B236,DATOS!K:K,5),"")</f>
        <v>0</v>
      </c>
      <c r="Q236">
        <f>IF(V236="Sí",COUNTIFS(DATOS!G:G,CONFIG_METADATA!$B$4,DATOS!D:D,A236,DATOS!I:I,B236,DATOS!K:K,6),"")</f>
        <v>0</v>
      </c>
      <c r="R236">
        <f>IF(V236="Sí",COUNTIFS(DATOS!G:G,CONFIG_METADATA!$B$4,DATOS!D:D,A236,DATOS!I:I,B236,DATOS!K:K,7),"")</f>
        <v>0</v>
      </c>
      <c r="S236">
        <f>IF(V236="Sí",COUNTIFS(DATOS!G:G,CONFIG_METADATA!$B$4,DATOS!D:D,A236,DATOS!I:I,B236,DATOS!K:K,8),"")</f>
        <v>0</v>
      </c>
      <c r="T236">
        <f>IF(V236="Sí",COUNTIFS(DATOS!G:G,CONFIG_METADATA!$B$4,DATOS!D:D,A236,DATOS!I:I,B236,DATOS!K:K,9),"")</f>
        <v>0</v>
      </c>
      <c r="U236">
        <f>IF(V236="Sí",COUNTIFS(DATOS!G:G,CONFIG_METADATA!$B$4,DATOS!D:D,A236,DATOS!I:I,B236,DATOS!K:K,10),"")</f>
        <v>0</v>
      </c>
      <c r="V236" t="str">
        <f>IFERROR(IF(ISERROR(FIND(A236,VLOOKUP(B236,CONFIG_ASIGNATURAS!B:C,2,FALSE()))),"No","Sí"),"No")</f>
        <v>Sí</v>
      </c>
    </row>
    <row r="237" spans="1:22">
      <c r="A237" s="3" t="inlineStr">
        <is>
          <t xml:space="preserve">3EEM</t>
        </is>
      </c>
      <c r="B237" s="3" cm="1">
        <f t="array" ref="B237">IFERROR(INDEX(_xlfn._xlws.FILTER(CONFIG_ASIGNATURAS!$B$2:$B$61,(CONFIG_ASIGNATURAS!$G$2:$G$61="Sí")*ISNUMBER(SEARCH("3EEM",CONFIG_ASIGNATURAS!$C$2:$C$61))),44),"")</f>
      </c>
      <c r="C237" s="3">
        <f>IF(B237="","",IFERROR(IF(VLOOKUP(B237,CONFIG_ASIGNATURAS!$B$2:$F$61,5,FALSE())="Sí","Especialidad","Asignatura"),"Asignatura"))</f>
      </c>
      <c r="D237">
        <f>IF(V237="Sí",COUNTIFS(DATOS!G:G,CONFIG_METADATA!$B$4,DATOS!D:D,A237,DATOS!I:I,B237),"")</f>
        <v>0</v>
      </c>
      <c r="E237" s="14" t="str">
        <f>IF(V237="Sí",IFERROR(AVERAGEIFS(DATOS!K:K,DATOS!G:G,CONFIG_METADATA!$B$4,DATOS!D:D,A237,DATOS!I:I,B237),"—"),"")</f>
        <v>—</v>
      </c>
      <c r="F237" s="14" t="str" cm="1">
        <f t="array" ref="F237">IF(V237="Sí",IFERROR(_xlfn.STDEV.P(IF((DATOS!$G$2:$G$20000=CONFIG_METADATA!$B$4)*(DATOS!$D$2:$D$20000=A237)*(DATOS!$I$2:$I$20000=B237),DATOS!$K$2:$K$20000)),"—"),"")</f>
        <v>—</v>
      </c>
      <c r="G237" t="str" cm="1">
        <f t="array" ref="G237">IF(V237="Sí",IFERROR(_xlfn.MODE.SNGL(IF((DATOS!$G$2:$G$20000=CONFIG_METADATA!$B$4)*(DATOS!$D$2:$D$20000=A237)*(DATOS!$I$2:$I$20000=B237),DATOS!$K$2:$K$20000)),"—"),"")</f>
        <v>—</v>
      </c>
      <c r="H237" s="15" t="str">
        <f>IF(V237="Sí",IFERROR(COUNTIFS(DATOS!G:G,CONFIG_METADATA!$B$4,DATOS!D:D,A237,DATOS!I:I,B237,DATOS!L:L,"S")/COUNTIFS(DATOS!G:G,CONFIG_METADATA!$B$4,DATOS!D:D,A237,DATOS!I:I,B237),"—"),"")</f>
        <v>—</v>
      </c>
      <c r="I237" s="15" t="str">
        <f>IF(V237="Sí",IFERROR(COUNTIFS(DATOS!G:G,CONFIG_METADATA!$B$4,DATOS!D:D,A237,DATOS!I:I,B237,DATOS!L:L,"N")/COUNTIFS(DATOS!G:G,CONFIG_METADATA!$B$4,DATOS!D:D,A237,DATOS!I:I,B237),"—"),"")</f>
        <v>—</v>
      </c>
      <c r="J237" t="str" cm="1">
        <f t="array" ref="J237">IF(V237="Sí",IFERROR(_xlfn.MODE.SNGL(IF((DATOS!$G$2:$G$20000=CONFIG_METADATA!$B$4)*(DATOS!$D$2:$D$20000=A237)*(DATOS!$I$2:$I$20000=B237)*(DATOS!$L$2:$L$20000="S"),DATOS!$K$2:$K$20000)),"—"),"")</f>
        <v>—</v>
      </c>
      <c r="K237" t="str" cm="1">
        <f t="array" ref="K237">IF(V237="Sí",IFERROR(_xlfn.MODE.SNGL(IF((DATOS!$G$2:$G$20000=CONFIG_METADATA!$B$4)*(DATOS!$D$2:$D$20000=A237)*(DATOS!$I$2:$I$20000=B237)*(DATOS!$L$2:$L$20000="N"),DATOS!$K$2:$K$20000)),"—"),"")</f>
        <v>—</v>
      </c>
      <c r="L237">
        <f>IF(V237="Sí",COUNTIFS(DATOS!G:G,CONFIG_METADATA!$B$4,DATOS!D:D,A237,DATOS!I:I,B237,DATOS!K:K,1),"")</f>
        <v>0</v>
      </c>
      <c r="M237">
        <f>IF(V237="Sí",COUNTIFS(DATOS!G:G,CONFIG_METADATA!$B$4,DATOS!D:D,A237,DATOS!I:I,B237,DATOS!K:K,2),"")</f>
        <v>0</v>
      </c>
      <c r="N237">
        <f>IF(V237="Sí",COUNTIFS(DATOS!G:G,CONFIG_METADATA!$B$4,DATOS!D:D,A237,DATOS!I:I,B237,DATOS!K:K,3),"")</f>
        <v>0</v>
      </c>
      <c r="O237">
        <f>IF(V237="Sí",COUNTIFS(DATOS!G:G,CONFIG_METADATA!$B$4,DATOS!D:D,A237,DATOS!I:I,B237,DATOS!K:K,4),"")</f>
        <v>0</v>
      </c>
      <c r="P237">
        <f>IF(V237="Sí",COUNTIFS(DATOS!G:G,CONFIG_METADATA!$B$4,DATOS!D:D,A237,DATOS!I:I,B237,DATOS!K:K,5),"")</f>
        <v>0</v>
      </c>
      <c r="Q237">
        <f>IF(V237="Sí",COUNTIFS(DATOS!G:G,CONFIG_METADATA!$B$4,DATOS!D:D,A237,DATOS!I:I,B237,DATOS!K:K,6),"")</f>
        <v>0</v>
      </c>
      <c r="R237">
        <f>IF(V237="Sí",COUNTIFS(DATOS!G:G,CONFIG_METADATA!$B$4,DATOS!D:D,A237,DATOS!I:I,B237,DATOS!K:K,7),"")</f>
        <v>0</v>
      </c>
      <c r="S237">
        <f>IF(V237="Sí",COUNTIFS(DATOS!G:G,CONFIG_METADATA!$B$4,DATOS!D:D,A237,DATOS!I:I,B237,DATOS!K:K,8),"")</f>
        <v>0</v>
      </c>
      <c r="T237">
        <f>IF(V237="Sí",COUNTIFS(DATOS!G:G,CONFIG_METADATA!$B$4,DATOS!D:D,A237,DATOS!I:I,B237,DATOS!K:K,9),"")</f>
        <v>0</v>
      </c>
      <c r="U237">
        <f>IF(V237="Sí",COUNTIFS(DATOS!G:G,CONFIG_METADATA!$B$4,DATOS!D:D,A237,DATOS!I:I,B237,DATOS!K:K,10),"")</f>
        <v>0</v>
      </c>
      <c r="V237" t="str">
        <f>IFERROR(IF(ISERROR(FIND(A237,VLOOKUP(B237,CONFIG_ASIGNATURAS!B:C,2,FALSE()))),"No","Sí"),"No")</f>
        <v>Sí</v>
      </c>
    </row>
    <row r="238" spans="1:22">
      <c r="A238" s="3" t="inlineStr">
        <is>
          <t xml:space="preserve">3EEM</t>
        </is>
      </c>
      <c r="B238" s="3" cm="1">
        <f t="array" ref="B238">IFERROR(INDEX(_xlfn._xlws.FILTER(CONFIG_ASIGNATURAS!$B$2:$B$61,(CONFIG_ASIGNATURAS!$G$2:$G$61="Sí")*ISNUMBER(SEARCH("3EEM",CONFIG_ASIGNATURAS!$C$2:$C$61))),45),"")</f>
      </c>
      <c r="C238" s="3">
        <f>IF(B238="","",IFERROR(IF(VLOOKUP(B238,CONFIG_ASIGNATURAS!$B$2:$F$61,5,FALSE())="Sí","Especialidad","Asignatura"),"Asignatura"))</f>
      </c>
      <c r="D238">
        <f>IF(V238="Sí",COUNTIFS(DATOS!G:G,CONFIG_METADATA!$B$4,DATOS!D:D,A238,DATOS!I:I,B238),"")</f>
        <v>0</v>
      </c>
      <c r="E238" s="14" t="str">
        <f>IF(V238="Sí",IFERROR(AVERAGEIFS(DATOS!K:K,DATOS!G:G,CONFIG_METADATA!$B$4,DATOS!D:D,A238,DATOS!I:I,B238),"—"),"")</f>
        <v>—</v>
      </c>
      <c r="F238" s="14" t="str" cm="1">
        <f t="array" ref="F238">IF(V238="Sí",IFERROR(_xlfn.STDEV.P(IF((DATOS!$G$2:$G$20000=CONFIG_METADATA!$B$4)*(DATOS!$D$2:$D$20000=A238)*(DATOS!$I$2:$I$20000=B238),DATOS!$K$2:$K$20000)),"—"),"")</f>
        <v>—</v>
      </c>
      <c r="G238" t="str" cm="1">
        <f t="array" ref="G238">IF(V238="Sí",IFERROR(_xlfn.MODE.SNGL(IF((DATOS!$G$2:$G$20000=CONFIG_METADATA!$B$4)*(DATOS!$D$2:$D$20000=A238)*(DATOS!$I$2:$I$20000=B238),DATOS!$K$2:$K$20000)),"—"),"")</f>
        <v>—</v>
      </c>
      <c r="H238" s="15" t="str">
        <f>IF(V238="Sí",IFERROR(COUNTIFS(DATOS!G:G,CONFIG_METADATA!$B$4,DATOS!D:D,A238,DATOS!I:I,B238,DATOS!L:L,"S")/COUNTIFS(DATOS!G:G,CONFIG_METADATA!$B$4,DATOS!D:D,A238,DATOS!I:I,B238),"—"),"")</f>
        <v>—</v>
      </c>
      <c r="I238" s="15" t="str">
        <f>IF(V238="Sí",IFERROR(COUNTIFS(DATOS!G:G,CONFIG_METADATA!$B$4,DATOS!D:D,A238,DATOS!I:I,B238,DATOS!L:L,"N")/COUNTIFS(DATOS!G:G,CONFIG_METADATA!$B$4,DATOS!D:D,A238,DATOS!I:I,B238),"—"),"")</f>
        <v>—</v>
      </c>
      <c r="J238" t="str" cm="1">
        <f t="array" ref="J238">IF(V238="Sí",IFERROR(_xlfn.MODE.SNGL(IF((DATOS!$G$2:$G$20000=CONFIG_METADATA!$B$4)*(DATOS!$D$2:$D$20000=A238)*(DATOS!$I$2:$I$20000=B238)*(DATOS!$L$2:$L$20000="S"),DATOS!$K$2:$K$20000)),"—"),"")</f>
        <v>—</v>
      </c>
      <c r="K238" t="str" cm="1">
        <f t="array" ref="K238">IF(V238="Sí",IFERROR(_xlfn.MODE.SNGL(IF((DATOS!$G$2:$G$20000=CONFIG_METADATA!$B$4)*(DATOS!$D$2:$D$20000=A238)*(DATOS!$I$2:$I$20000=B238)*(DATOS!$L$2:$L$20000="N"),DATOS!$K$2:$K$20000)),"—"),"")</f>
        <v>—</v>
      </c>
      <c r="L238">
        <f>IF(V238="Sí",COUNTIFS(DATOS!G:G,CONFIG_METADATA!$B$4,DATOS!D:D,A238,DATOS!I:I,B238,DATOS!K:K,1),"")</f>
        <v>0</v>
      </c>
      <c r="M238">
        <f>IF(V238="Sí",COUNTIFS(DATOS!G:G,CONFIG_METADATA!$B$4,DATOS!D:D,A238,DATOS!I:I,B238,DATOS!K:K,2),"")</f>
        <v>0</v>
      </c>
      <c r="N238">
        <f>IF(V238="Sí",COUNTIFS(DATOS!G:G,CONFIG_METADATA!$B$4,DATOS!D:D,A238,DATOS!I:I,B238,DATOS!K:K,3),"")</f>
        <v>0</v>
      </c>
      <c r="O238">
        <f>IF(V238="Sí",COUNTIFS(DATOS!G:G,CONFIG_METADATA!$B$4,DATOS!D:D,A238,DATOS!I:I,B238,DATOS!K:K,4),"")</f>
        <v>0</v>
      </c>
      <c r="P238">
        <f>IF(V238="Sí",COUNTIFS(DATOS!G:G,CONFIG_METADATA!$B$4,DATOS!D:D,A238,DATOS!I:I,B238,DATOS!K:K,5),"")</f>
        <v>0</v>
      </c>
      <c r="Q238">
        <f>IF(V238="Sí",COUNTIFS(DATOS!G:G,CONFIG_METADATA!$B$4,DATOS!D:D,A238,DATOS!I:I,B238,DATOS!K:K,6),"")</f>
        <v>0</v>
      </c>
      <c r="R238">
        <f>IF(V238="Sí",COUNTIFS(DATOS!G:G,CONFIG_METADATA!$B$4,DATOS!D:D,A238,DATOS!I:I,B238,DATOS!K:K,7),"")</f>
        <v>0</v>
      </c>
      <c r="S238">
        <f>IF(V238="Sí",COUNTIFS(DATOS!G:G,CONFIG_METADATA!$B$4,DATOS!D:D,A238,DATOS!I:I,B238,DATOS!K:K,8),"")</f>
        <v>0</v>
      </c>
      <c r="T238">
        <f>IF(V238="Sí",COUNTIFS(DATOS!G:G,CONFIG_METADATA!$B$4,DATOS!D:D,A238,DATOS!I:I,B238,DATOS!K:K,9),"")</f>
        <v>0</v>
      </c>
      <c r="U238">
        <f>IF(V238="Sí",COUNTIFS(DATOS!G:G,CONFIG_METADATA!$B$4,DATOS!D:D,A238,DATOS!I:I,B238,DATOS!K:K,10),"")</f>
        <v>0</v>
      </c>
      <c r="V238" t="str">
        <f>IFERROR(IF(ISERROR(FIND(A238,VLOOKUP(B238,CONFIG_ASIGNATURAS!B:C,2,FALSE()))),"No","Sí"),"No")</f>
        <v>Sí</v>
      </c>
    </row>
    <row r="239" spans="1:22">
      <c r="A239" s="3" t="inlineStr">
        <is>
          <t xml:space="preserve">3EEM</t>
        </is>
      </c>
      <c r="B239" s="3" cm="1">
        <f t="array" ref="B239">IFERROR(INDEX(_xlfn._xlws.FILTER(CONFIG_ASIGNATURAS!$B$2:$B$61,(CONFIG_ASIGNATURAS!$G$2:$G$61="Sí")*ISNUMBER(SEARCH("3EEM",CONFIG_ASIGNATURAS!$C$2:$C$61))),46),"")</f>
      </c>
      <c r="C239" s="3">
        <f>IF(B239="","",IFERROR(IF(VLOOKUP(B239,CONFIG_ASIGNATURAS!$B$2:$F$61,5,FALSE())="Sí","Especialidad","Asignatura"),"Asignatura"))</f>
      </c>
      <c r="D239">
        <f>IF(V239="Sí",COUNTIFS(DATOS!G:G,CONFIG_METADATA!$B$4,DATOS!D:D,A239,DATOS!I:I,B239),"")</f>
        <v>0</v>
      </c>
      <c r="E239" s="14" t="str">
        <f>IF(V239="Sí",IFERROR(AVERAGEIFS(DATOS!K:K,DATOS!G:G,CONFIG_METADATA!$B$4,DATOS!D:D,A239,DATOS!I:I,B239),"—"),"")</f>
        <v>—</v>
      </c>
      <c r="F239" s="14" t="str" cm="1">
        <f t="array" ref="F239">IF(V239="Sí",IFERROR(_xlfn.STDEV.P(IF((DATOS!$G$2:$G$20000=CONFIG_METADATA!$B$4)*(DATOS!$D$2:$D$20000=A239)*(DATOS!$I$2:$I$20000=B239),DATOS!$K$2:$K$20000)),"—"),"")</f>
        <v>—</v>
      </c>
      <c r="G239" t="str" cm="1">
        <f t="array" ref="G239">IF(V239="Sí",IFERROR(_xlfn.MODE.SNGL(IF((DATOS!$G$2:$G$20000=CONFIG_METADATA!$B$4)*(DATOS!$D$2:$D$20000=A239)*(DATOS!$I$2:$I$20000=B239),DATOS!$K$2:$K$20000)),"—"),"")</f>
        <v>—</v>
      </c>
      <c r="H239" s="15" t="str">
        <f>IF(V239="Sí",IFERROR(COUNTIFS(DATOS!G:G,CONFIG_METADATA!$B$4,DATOS!D:D,A239,DATOS!I:I,B239,DATOS!L:L,"S")/COUNTIFS(DATOS!G:G,CONFIG_METADATA!$B$4,DATOS!D:D,A239,DATOS!I:I,B239),"—"),"")</f>
        <v>—</v>
      </c>
      <c r="I239" s="15" t="str">
        <f>IF(V239="Sí",IFERROR(COUNTIFS(DATOS!G:G,CONFIG_METADATA!$B$4,DATOS!D:D,A239,DATOS!I:I,B239,DATOS!L:L,"N")/COUNTIFS(DATOS!G:G,CONFIG_METADATA!$B$4,DATOS!D:D,A239,DATOS!I:I,B239),"—"),"")</f>
        <v>—</v>
      </c>
      <c r="J239" t="str" cm="1">
        <f t="array" ref="J239">IF(V239="Sí",IFERROR(_xlfn.MODE.SNGL(IF((DATOS!$G$2:$G$20000=CONFIG_METADATA!$B$4)*(DATOS!$D$2:$D$20000=A239)*(DATOS!$I$2:$I$20000=B239)*(DATOS!$L$2:$L$20000="S"),DATOS!$K$2:$K$20000)),"—"),"")</f>
        <v>—</v>
      </c>
      <c r="K239" t="str" cm="1">
        <f t="array" ref="K239">IF(V239="Sí",IFERROR(_xlfn.MODE.SNGL(IF((DATOS!$G$2:$G$20000=CONFIG_METADATA!$B$4)*(DATOS!$D$2:$D$20000=A239)*(DATOS!$I$2:$I$20000=B239)*(DATOS!$L$2:$L$20000="N"),DATOS!$K$2:$K$20000)),"—"),"")</f>
        <v>—</v>
      </c>
      <c r="L239">
        <f>IF(V239="Sí",COUNTIFS(DATOS!G:G,CONFIG_METADATA!$B$4,DATOS!D:D,A239,DATOS!I:I,B239,DATOS!K:K,1),"")</f>
        <v>0</v>
      </c>
      <c r="M239">
        <f>IF(V239="Sí",COUNTIFS(DATOS!G:G,CONFIG_METADATA!$B$4,DATOS!D:D,A239,DATOS!I:I,B239,DATOS!K:K,2),"")</f>
        <v>0</v>
      </c>
      <c r="N239">
        <f>IF(V239="Sí",COUNTIFS(DATOS!G:G,CONFIG_METADATA!$B$4,DATOS!D:D,A239,DATOS!I:I,B239,DATOS!K:K,3),"")</f>
        <v>0</v>
      </c>
      <c r="O239">
        <f>IF(V239="Sí",COUNTIFS(DATOS!G:G,CONFIG_METADATA!$B$4,DATOS!D:D,A239,DATOS!I:I,B239,DATOS!K:K,4),"")</f>
        <v>0</v>
      </c>
      <c r="P239">
        <f>IF(V239="Sí",COUNTIFS(DATOS!G:G,CONFIG_METADATA!$B$4,DATOS!D:D,A239,DATOS!I:I,B239,DATOS!K:K,5),"")</f>
        <v>0</v>
      </c>
      <c r="Q239">
        <f>IF(V239="Sí",COUNTIFS(DATOS!G:G,CONFIG_METADATA!$B$4,DATOS!D:D,A239,DATOS!I:I,B239,DATOS!K:K,6),"")</f>
        <v>0</v>
      </c>
      <c r="R239">
        <f>IF(V239="Sí",COUNTIFS(DATOS!G:G,CONFIG_METADATA!$B$4,DATOS!D:D,A239,DATOS!I:I,B239,DATOS!K:K,7),"")</f>
        <v>0</v>
      </c>
      <c r="S239">
        <f>IF(V239="Sí",COUNTIFS(DATOS!G:G,CONFIG_METADATA!$B$4,DATOS!D:D,A239,DATOS!I:I,B239,DATOS!K:K,8),"")</f>
        <v>0</v>
      </c>
      <c r="T239">
        <f>IF(V239="Sí",COUNTIFS(DATOS!G:G,CONFIG_METADATA!$B$4,DATOS!D:D,A239,DATOS!I:I,B239,DATOS!K:K,9),"")</f>
        <v>0</v>
      </c>
      <c r="U239">
        <f>IF(V239="Sí",COUNTIFS(DATOS!G:G,CONFIG_METADATA!$B$4,DATOS!D:D,A239,DATOS!I:I,B239,DATOS!K:K,10),"")</f>
        <v>0</v>
      </c>
      <c r="V239" t="str">
        <f>IFERROR(IF(ISERROR(FIND(A239,VLOOKUP(B239,CONFIG_ASIGNATURAS!B:C,2,FALSE()))),"No","Sí"),"No")</f>
        <v>Sí</v>
      </c>
    </row>
    <row r="240" spans="1:22">
      <c r="A240" s="3" t="inlineStr">
        <is>
          <t xml:space="preserve">3EEM</t>
        </is>
      </c>
      <c r="B240" s="3" cm="1">
        <f t="array" ref="B240">IFERROR(INDEX(_xlfn._xlws.FILTER(CONFIG_ASIGNATURAS!$B$2:$B$61,(CONFIG_ASIGNATURAS!$G$2:$G$61="Sí")*ISNUMBER(SEARCH("3EEM",CONFIG_ASIGNATURAS!$C$2:$C$61))),47),"")</f>
      </c>
      <c r="C240" s="3">
        <f>IF(B240="","",IFERROR(IF(VLOOKUP(B240,CONFIG_ASIGNATURAS!$B$2:$F$61,5,FALSE())="Sí","Especialidad","Asignatura"),"Asignatura"))</f>
      </c>
      <c r="D240">
        <f>IF(V240="Sí",COUNTIFS(DATOS!G:G,CONFIG_METADATA!$B$4,DATOS!D:D,A240,DATOS!I:I,B240),"")</f>
        <v>0</v>
      </c>
      <c r="E240" s="14" t="str">
        <f>IF(V240="Sí",IFERROR(AVERAGEIFS(DATOS!K:K,DATOS!G:G,CONFIG_METADATA!$B$4,DATOS!D:D,A240,DATOS!I:I,B240),"—"),"")</f>
        <v>—</v>
      </c>
      <c r="F240" s="14" t="str" cm="1">
        <f t="array" ref="F240">IF(V240="Sí",IFERROR(_xlfn.STDEV.P(IF((DATOS!$G$2:$G$20000=CONFIG_METADATA!$B$4)*(DATOS!$D$2:$D$20000=A240)*(DATOS!$I$2:$I$20000=B240),DATOS!$K$2:$K$20000)),"—"),"")</f>
        <v>—</v>
      </c>
      <c r="G240" t="str" cm="1">
        <f t="array" ref="G240">IF(V240="Sí",IFERROR(_xlfn.MODE.SNGL(IF((DATOS!$G$2:$G$20000=CONFIG_METADATA!$B$4)*(DATOS!$D$2:$D$20000=A240)*(DATOS!$I$2:$I$20000=B240),DATOS!$K$2:$K$20000)),"—"),"")</f>
        <v>—</v>
      </c>
      <c r="H240" s="15" t="str">
        <f>IF(V240="Sí",IFERROR(COUNTIFS(DATOS!G:G,CONFIG_METADATA!$B$4,DATOS!D:D,A240,DATOS!I:I,B240,DATOS!L:L,"S")/COUNTIFS(DATOS!G:G,CONFIG_METADATA!$B$4,DATOS!D:D,A240,DATOS!I:I,B240),"—"),"")</f>
        <v>—</v>
      </c>
      <c r="I240" s="15" t="str">
        <f>IF(V240="Sí",IFERROR(COUNTIFS(DATOS!G:G,CONFIG_METADATA!$B$4,DATOS!D:D,A240,DATOS!I:I,B240,DATOS!L:L,"N")/COUNTIFS(DATOS!G:G,CONFIG_METADATA!$B$4,DATOS!D:D,A240,DATOS!I:I,B240),"—"),"")</f>
        <v>—</v>
      </c>
      <c r="J240" t="str" cm="1">
        <f t="array" ref="J240">IF(V240="Sí",IFERROR(_xlfn.MODE.SNGL(IF((DATOS!$G$2:$G$20000=CONFIG_METADATA!$B$4)*(DATOS!$D$2:$D$20000=A240)*(DATOS!$I$2:$I$20000=B240)*(DATOS!$L$2:$L$20000="S"),DATOS!$K$2:$K$20000)),"—"),"")</f>
        <v>—</v>
      </c>
      <c r="K240" t="str" cm="1">
        <f t="array" ref="K240">IF(V240="Sí",IFERROR(_xlfn.MODE.SNGL(IF((DATOS!$G$2:$G$20000=CONFIG_METADATA!$B$4)*(DATOS!$D$2:$D$20000=A240)*(DATOS!$I$2:$I$20000=B240)*(DATOS!$L$2:$L$20000="N"),DATOS!$K$2:$K$20000)),"—"),"")</f>
        <v>—</v>
      </c>
      <c r="L240">
        <f>IF(V240="Sí",COUNTIFS(DATOS!G:G,CONFIG_METADATA!$B$4,DATOS!D:D,A240,DATOS!I:I,B240,DATOS!K:K,1),"")</f>
        <v>0</v>
      </c>
      <c r="M240">
        <f>IF(V240="Sí",COUNTIFS(DATOS!G:G,CONFIG_METADATA!$B$4,DATOS!D:D,A240,DATOS!I:I,B240,DATOS!K:K,2),"")</f>
        <v>0</v>
      </c>
      <c r="N240">
        <f>IF(V240="Sí",COUNTIFS(DATOS!G:G,CONFIG_METADATA!$B$4,DATOS!D:D,A240,DATOS!I:I,B240,DATOS!K:K,3),"")</f>
        <v>0</v>
      </c>
      <c r="O240">
        <f>IF(V240="Sí",COUNTIFS(DATOS!G:G,CONFIG_METADATA!$B$4,DATOS!D:D,A240,DATOS!I:I,B240,DATOS!K:K,4),"")</f>
        <v>0</v>
      </c>
      <c r="P240">
        <f>IF(V240="Sí",COUNTIFS(DATOS!G:G,CONFIG_METADATA!$B$4,DATOS!D:D,A240,DATOS!I:I,B240,DATOS!K:K,5),"")</f>
        <v>0</v>
      </c>
      <c r="Q240">
        <f>IF(V240="Sí",COUNTIFS(DATOS!G:G,CONFIG_METADATA!$B$4,DATOS!D:D,A240,DATOS!I:I,B240,DATOS!K:K,6),"")</f>
        <v>0</v>
      </c>
      <c r="R240">
        <f>IF(V240="Sí",COUNTIFS(DATOS!G:G,CONFIG_METADATA!$B$4,DATOS!D:D,A240,DATOS!I:I,B240,DATOS!K:K,7),"")</f>
        <v>0</v>
      </c>
      <c r="S240">
        <f>IF(V240="Sí",COUNTIFS(DATOS!G:G,CONFIG_METADATA!$B$4,DATOS!D:D,A240,DATOS!I:I,B240,DATOS!K:K,8),"")</f>
        <v>0</v>
      </c>
      <c r="T240">
        <f>IF(V240="Sí",COUNTIFS(DATOS!G:G,CONFIG_METADATA!$B$4,DATOS!D:D,A240,DATOS!I:I,B240,DATOS!K:K,9),"")</f>
        <v>0</v>
      </c>
      <c r="U240">
        <f>IF(V240="Sí",COUNTIFS(DATOS!G:G,CONFIG_METADATA!$B$4,DATOS!D:D,A240,DATOS!I:I,B240,DATOS!K:K,10),"")</f>
        <v>0</v>
      </c>
      <c r="V240" t="str">
        <f>IFERROR(IF(ISERROR(FIND(A240,VLOOKUP(B240,CONFIG_ASIGNATURAS!B:C,2,FALSE()))),"No","Sí"),"No")</f>
        <v>Sí</v>
      </c>
    </row>
    <row r="241" spans="1:22">
      <c r="A241" s="3" t="inlineStr">
        <is>
          <t xml:space="preserve">3EEM</t>
        </is>
      </c>
      <c r="B241" s="3" cm="1">
        <f t="array" ref="B241">IFERROR(INDEX(_xlfn._xlws.FILTER(CONFIG_ASIGNATURAS!$B$2:$B$61,(CONFIG_ASIGNATURAS!$G$2:$G$61="Sí")*ISNUMBER(SEARCH("3EEM",CONFIG_ASIGNATURAS!$C$2:$C$61))),48),"")</f>
      </c>
      <c r="C241" s="3">
        <f>IF(B241="","",IFERROR(IF(VLOOKUP(B241,CONFIG_ASIGNATURAS!$B$2:$F$61,5,FALSE())="Sí","Especialidad","Asignatura"),"Asignatura"))</f>
      </c>
      <c r="D241">
        <f>IF(V241="Sí",COUNTIFS(DATOS!G:G,CONFIG_METADATA!$B$4,DATOS!D:D,A241,DATOS!I:I,B241),"")</f>
        <v>0</v>
      </c>
      <c r="E241" s="14" t="str">
        <f>IF(V241="Sí",IFERROR(AVERAGEIFS(DATOS!K:K,DATOS!G:G,CONFIG_METADATA!$B$4,DATOS!D:D,A241,DATOS!I:I,B241),"—"),"")</f>
        <v>—</v>
      </c>
      <c r="F241" s="14" t="str" cm="1">
        <f t="array" ref="F241">IF(V241="Sí",IFERROR(_xlfn.STDEV.P(IF((DATOS!$G$2:$G$20000=CONFIG_METADATA!$B$4)*(DATOS!$D$2:$D$20000=A241)*(DATOS!$I$2:$I$20000=B241),DATOS!$K$2:$K$20000)),"—"),"")</f>
        <v>—</v>
      </c>
      <c r="G241" t="str" cm="1">
        <f t="array" ref="G241">IF(V241="Sí",IFERROR(_xlfn.MODE.SNGL(IF((DATOS!$G$2:$G$20000=CONFIG_METADATA!$B$4)*(DATOS!$D$2:$D$20000=A241)*(DATOS!$I$2:$I$20000=B241),DATOS!$K$2:$K$20000)),"—"),"")</f>
        <v>—</v>
      </c>
      <c r="H241" s="15" t="str">
        <f>IF(V241="Sí",IFERROR(COUNTIFS(DATOS!G:G,CONFIG_METADATA!$B$4,DATOS!D:D,A241,DATOS!I:I,B241,DATOS!L:L,"S")/COUNTIFS(DATOS!G:G,CONFIG_METADATA!$B$4,DATOS!D:D,A241,DATOS!I:I,B241),"—"),"")</f>
        <v>—</v>
      </c>
      <c r="I241" s="15" t="str">
        <f>IF(V241="Sí",IFERROR(COUNTIFS(DATOS!G:G,CONFIG_METADATA!$B$4,DATOS!D:D,A241,DATOS!I:I,B241,DATOS!L:L,"N")/COUNTIFS(DATOS!G:G,CONFIG_METADATA!$B$4,DATOS!D:D,A241,DATOS!I:I,B241),"—"),"")</f>
        <v>—</v>
      </c>
      <c r="J241" t="str" cm="1">
        <f t="array" ref="J241">IF(V241="Sí",IFERROR(_xlfn.MODE.SNGL(IF((DATOS!$G$2:$G$20000=CONFIG_METADATA!$B$4)*(DATOS!$D$2:$D$20000=A241)*(DATOS!$I$2:$I$20000=B241)*(DATOS!$L$2:$L$20000="S"),DATOS!$K$2:$K$20000)),"—"),"")</f>
        <v>—</v>
      </c>
      <c r="K241" t="str" cm="1">
        <f t="array" ref="K241">IF(V241="Sí",IFERROR(_xlfn.MODE.SNGL(IF((DATOS!$G$2:$G$20000=CONFIG_METADATA!$B$4)*(DATOS!$D$2:$D$20000=A241)*(DATOS!$I$2:$I$20000=B241)*(DATOS!$L$2:$L$20000="N"),DATOS!$K$2:$K$20000)),"—"),"")</f>
        <v>—</v>
      </c>
      <c r="L241">
        <f>IF(V241="Sí",COUNTIFS(DATOS!G:G,CONFIG_METADATA!$B$4,DATOS!D:D,A241,DATOS!I:I,B241,DATOS!K:K,1),"")</f>
        <v>0</v>
      </c>
      <c r="M241">
        <f>IF(V241="Sí",COUNTIFS(DATOS!G:G,CONFIG_METADATA!$B$4,DATOS!D:D,A241,DATOS!I:I,B241,DATOS!K:K,2),"")</f>
        <v>0</v>
      </c>
      <c r="N241">
        <f>IF(V241="Sí",COUNTIFS(DATOS!G:G,CONFIG_METADATA!$B$4,DATOS!D:D,A241,DATOS!I:I,B241,DATOS!K:K,3),"")</f>
        <v>0</v>
      </c>
      <c r="O241">
        <f>IF(V241="Sí",COUNTIFS(DATOS!G:G,CONFIG_METADATA!$B$4,DATOS!D:D,A241,DATOS!I:I,B241,DATOS!K:K,4),"")</f>
        <v>0</v>
      </c>
      <c r="P241">
        <f>IF(V241="Sí",COUNTIFS(DATOS!G:G,CONFIG_METADATA!$B$4,DATOS!D:D,A241,DATOS!I:I,B241,DATOS!K:K,5),"")</f>
        <v>0</v>
      </c>
      <c r="Q241">
        <f>IF(V241="Sí",COUNTIFS(DATOS!G:G,CONFIG_METADATA!$B$4,DATOS!D:D,A241,DATOS!I:I,B241,DATOS!K:K,6),"")</f>
        <v>0</v>
      </c>
      <c r="R241">
        <f>IF(V241="Sí",COUNTIFS(DATOS!G:G,CONFIG_METADATA!$B$4,DATOS!D:D,A241,DATOS!I:I,B241,DATOS!K:K,7),"")</f>
        <v>0</v>
      </c>
      <c r="S241">
        <f>IF(V241="Sí",COUNTIFS(DATOS!G:G,CONFIG_METADATA!$B$4,DATOS!D:D,A241,DATOS!I:I,B241,DATOS!K:K,8),"")</f>
        <v>0</v>
      </c>
      <c r="T241">
        <f>IF(V241="Sí",COUNTIFS(DATOS!G:G,CONFIG_METADATA!$B$4,DATOS!D:D,A241,DATOS!I:I,B241,DATOS!K:K,9),"")</f>
        <v>0</v>
      </c>
      <c r="U241">
        <f>IF(V241="Sí",COUNTIFS(DATOS!G:G,CONFIG_METADATA!$B$4,DATOS!D:D,A241,DATOS!I:I,B241,DATOS!K:K,10),"")</f>
        <v>0</v>
      </c>
      <c r="V241" t="str">
        <f>IFERROR(IF(ISERROR(FIND(A241,VLOOKUP(B241,CONFIG_ASIGNATURAS!B:C,2,FALSE()))),"No","Sí"),"No")</f>
        <v>Sí</v>
      </c>
    </row>
    <row r="242" spans="1:22">
      <c r="A242" s="3" t="inlineStr">
        <is>
          <t xml:space="preserve">3EEM</t>
        </is>
      </c>
      <c r="B242" s="3" cm="1">
        <f t="array" ref="B242">IFERROR(INDEX(_xlfn._xlws.FILTER(CONFIG_ASIGNATURAS!$B$2:$B$61,(CONFIG_ASIGNATURAS!$G$2:$G$61="Sí")*ISNUMBER(SEARCH("3EEM",CONFIG_ASIGNATURAS!$C$2:$C$61))),49),"")</f>
      </c>
      <c r="C242" s="3">
        <f>IF(B242="","",IFERROR(IF(VLOOKUP(B242,CONFIG_ASIGNATURAS!$B$2:$F$61,5,FALSE())="Sí","Especialidad","Asignatura"),"Asignatura"))</f>
      </c>
      <c r="D242">
        <f>IF(V242="Sí",COUNTIFS(DATOS!G:G,CONFIG_METADATA!$B$4,DATOS!D:D,A242,DATOS!I:I,B242),"")</f>
        <v>0</v>
      </c>
      <c r="E242" s="14" t="str">
        <f>IF(V242="Sí",IFERROR(AVERAGEIFS(DATOS!K:K,DATOS!G:G,CONFIG_METADATA!$B$4,DATOS!D:D,A242,DATOS!I:I,B242),"—"),"")</f>
        <v>—</v>
      </c>
      <c r="F242" s="14" t="str" cm="1">
        <f t="array" ref="F242">IF(V242="Sí",IFERROR(_xlfn.STDEV.P(IF((DATOS!$G$2:$G$20000=CONFIG_METADATA!$B$4)*(DATOS!$D$2:$D$20000=A242)*(DATOS!$I$2:$I$20000=B242),DATOS!$K$2:$K$20000)),"—"),"")</f>
        <v>—</v>
      </c>
      <c r="G242" t="str" cm="1">
        <f t="array" ref="G242">IF(V242="Sí",IFERROR(_xlfn.MODE.SNGL(IF((DATOS!$G$2:$G$20000=CONFIG_METADATA!$B$4)*(DATOS!$D$2:$D$20000=A242)*(DATOS!$I$2:$I$20000=B242),DATOS!$K$2:$K$20000)),"—"),"")</f>
        <v>—</v>
      </c>
      <c r="H242" s="15" t="str">
        <f>IF(V242="Sí",IFERROR(COUNTIFS(DATOS!G:G,CONFIG_METADATA!$B$4,DATOS!D:D,A242,DATOS!I:I,B242,DATOS!L:L,"S")/COUNTIFS(DATOS!G:G,CONFIG_METADATA!$B$4,DATOS!D:D,A242,DATOS!I:I,B242),"—"),"")</f>
        <v>—</v>
      </c>
      <c r="I242" s="15" t="str">
        <f>IF(V242="Sí",IFERROR(COUNTIFS(DATOS!G:G,CONFIG_METADATA!$B$4,DATOS!D:D,A242,DATOS!I:I,B242,DATOS!L:L,"N")/COUNTIFS(DATOS!G:G,CONFIG_METADATA!$B$4,DATOS!D:D,A242,DATOS!I:I,B242),"—"),"")</f>
        <v>—</v>
      </c>
      <c r="J242" t="str" cm="1">
        <f t="array" ref="J242">IF(V242="Sí",IFERROR(_xlfn.MODE.SNGL(IF((DATOS!$G$2:$G$20000=CONFIG_METADATA!$B$4)*(DATOS!$D$2:$D$20000=A242)*(DATOS!$I$2:$I$20000=B242)*(DATOS!$L$2:$L$20000="S"),DATOS!$K$2:$K$20000)),"—"),"")</f>
        <v>—</v>
      </c>
      <c r="K242" t="str" cm="1">
        <f t="array" ref="K242">IF(V242="Sí",IFERROR(_xlfn.MODE.SNGL(IF((DATOS!$G$2:$G$20000=CONFIG_METADATA!$B$4)*(DATOS!$D$2:$D$20000=A242)*(DATOS!$I$2:$I$20000=B242)*(DATOS!$L$2:$L$20000="N"),DATOS!$K$2:$K$20000)),"—"),"")</f>
        <v>—</v>
      </c>
      <c r="L242">
        <f>IF(V242="Sí",COUNTIFS(DATOS!G:G,CONFIG_METADATA!$B$4,DATOS!D:D,A242,DATOS!I:I,B242,DATOS!K:K,1),"")</f>
        <v>0</v>
      </c>
      <c r="M242">
        <f>IF(V242="Sí",COUNTIFS(DATOS!G:G,CONFIG_METADATA!$B$4,DATOS!D:D,A242,DATOS!I:I,B242,DATOS!K:K,2),"")</f>
        <v>0</v>
      </c>
      <c r="N242">
        <f>IF(V242="Sí",COUNTIFS(DATOS!G:G,CONFIG_METADATA!$B$4,DATOS!D:D,A242,DATOS!I:I,B242,DATOS!K:K,3),"")</f>
        <v>0</v>
      </c>
      <c r="O242">
        <f>IF(V242="Sí",COUNTIFS(DATOS!G:G,CONFIG_METADATA!$B$4,DATOS!D:D,A242,DATOS!I:I,B242,DATOS!K:K,4),"")</f>
        <v>0</v>
      </c>
      <c r="P242">
        <f>IF(V242="Sí",COUNTIFS(DATOS!G:G,CONFIG_METADATA!$B$4,DATOS!D:D,A242,DATOS!I:I,B242,DATOS!K:K,5),"")</f>
        <v>0</v>
      </c>
      <c r="Q242">
        <f>IF(V242="Sí",COUNTIFS(DATOS!G:G,CONFIG_METADATA!$B$4,DATOS!D:D,A242,DATOS!I:I,B242,DATOS!K:K,6),"")</f>
        <v>0</v>
      </c>
      <c r="R242">
        <f>IF(V242="Sí",COUNTIFS(DATOS!G:G,CONFIG_METADATA!$B$4,DATOS!D:D,A242,DATOS!I:I,B242,DATOS!K:K,7),"")</f>
        <v>0</v>
      </c>
      <c r="S242">
        <f>IF(V242="Sí",COUNTIFS(DATOS!G:G,CONFIG_METADATA!$B$4,DATOS!D:D,A242,DATOS!I:I,B242,DATOS!K:K,8),"")</f>
        <v>0</v>
      </c>
      <c r="T242">
        <f>IF(V242="Sí",COUNTIFS(DATOS!G:G,CONFIG_METADATA!$B$4,DATOS!D:D,A242,DATOS!I:I,B242,DATOS!K:K,9),"")</f>
        <v>0</v>
      </c>
      <c r="U242">
        <f>IF(V242="Sí",COUNTIFS(DATOS!G:G,CONFIG_METADATA!$B$4,DATOS!D:D,A242,DATOS!I:I,B242,DATOS!K:K,10),"")</f>
        <v>0</v>
      </c>
      <c r="V242" t="str">
        <f>IFERROR(IF(ISERROR(FIND(A242,VLOOKUP(B242,CONFIG_ASIGNATURAS!B:C,2,FALSE()))),"No","Sí"),"No")</f>
        <v>Sí</v>
      </c>
    </row>
    <row r="243" spans="1:22">
      <c r="A243" s="3" t="inlineStr">
        <is>
          <t xml:space="preserve">3EEM</t>
        </is>
      </c>
      <c r="B243" s="3" cm="1">
        <f t="array" ref="B243">IFERROR(INDEX(_xlfn._xlws.FILTER(CONFIG_ASIGNATURAS!$B$2:$B$61,(CONFIG_ASIGNATURAS!$G$2:$G$61="Sí")*ISNUMBER(SEARCH("3EEM",CONFIG_ASIGNATURAS!$C$2:$C$61))),50),"")</f>
      </c>
      <c r="C243" s="3">
        <f>IF(B243="","",IFERROR(IF(VLOOKUP(B243,CONFIG_ASIGNATURAS!$B$2:$F$61,5,FALSE())="Sí","Especialidad","Asignatura"),"Asignatura"))</f>
      </c>
      <c r="D243">
        <f>IF(V243="Sí",COUNTIFS(DATOS!G:G,CONFIG_METADATA!$B$4,DATOS!D:D,A243,DATOS!I:I,B243),"")</f>
        <v>0</v>
      </c>
      <c r="E243" s="14" t="str">
        <f>IF(V243="Sí",IFERROR(AVERAGEIFS(DATOS!K:K,DATOS!G:G,CONFIG_METADATA!$B$4,DATOS!D:D,A243,DATOS!I:I,B243),"—"),"")</f>
        <v>—</v>
      </c>
      <c r="F243" s="14" t="str" cm="1">
        <f t="array" ref="F243">IF(V243="Sí",IFERROR(_xlfn.STDEV.P(IF((DATOS!$G$2:$G$20000=CONFIG_METADATA!$B$4)*(DATOS!$D$2:$D$20000=A243)*(DATOS!$I$2:$I$20000=B243),DATOS!$K$2:$K$20000)),"—"),"")</f>
        <v>—</v>
      </c>
      <c r="G243" t="str" cm="1">
        <f t="array" ref="G243">IF(V243="Sí",IFERROR(_xlfn.MODE.SNGL(IF((DATOS!$G$2:$G$20000=CONFIG_METADATA!$B$4)*(DATOS!$D$2:$D$20000=A243)*(DATOS!$I$2:$I$20000=B243),DATOS!$K$2:$K$20000)),"—"),"")</f>
        <v>—</v>
      </c>
      <c r="H243" s="15" t="str">
        <f>IF(V243="Sí",IFERROR(COUNTIFS(DATOS!G:G,CONFIG_METADATA!$B$4,DATOS!D:D,A243,DATOS!I:I,B243,DATOS!L:L,"S")/COUNTIFS(DATOS!G:G,CONFIG_METADATA!$B$4,DATOS!D:D,A243,DATOS!I:I,B243),"—"),"")</f>
        <v>—</v>
      </c>
      <c r="I243" s="15" t="str">
        <f>IF(V243="Sí",IFERROR(COUNTIFS(DATOS!G:G,CONFIG_METADATA!$B$4,DATOS!D:D,A243,DATOS!I:I,B243,DATOS!L:L,"N")/COUNTIFS(DATOS!G:G,CONFIG_METADATA!$B$4,DATOS!D:D,A243,DATOS!I:I,B243),"—"),"")</f>
        <v>—</v>
      </c>
      <c r="J243" t="str" cm="1">
        <f t="array" ref="J243">IF(V243="Sí",IFERROR(_xlfn.MODE.SNGL(IF((DATOS!$G$2:$G$20000=CONFIG_METADATA!$B$4)*(DATOS!$D$2:$D$20000=A243)*(DATOS!$I$2:$I$20000=B243)*(DATOS!$L$2:$L$20000="S"),DATOS!$K$2:$K$20000)),"—"),"")</f>
        <v>—</v>
      </c>
      <c r="K243" t="str" cm="1">
        <f t="array" ref="K243">IF(V243="Sí",IFERROR(_xlfn.MODE.SNGL(IF((DATOS!$G$2:$G$20000=CONFIG_METADATA!$B$4)*(DATOS!$D$2:$D$20000=A243)*(DATOS!$I$2:$I$20000=B243)*(DATOS!$L$2:$L$20000="N"),DATOS!$K$2:$K$20000)),"—"),"")</f>
        <v>—</v>
      </c>
      <c r="L243">
        <f>IF(V243="Sí",COUNTIFS(DATOS!G:G,CONFIG_METADATA!$B$4,DATOS!D:D,A243,DATOS!I:I,B243,DATOS!K:K,1),"")</f>
        <v>0</v>
      </c>
      <c r="M243">
        <f>IF(V243="Sí",COUNTIFS(DATOS!G:G,CONFIG_METADATA!$B$4,DATOS!D:D,A243,DATOS!I:I,B243,DATOS!K:K,2),"")</f>
        <v>0</v>
      </c>
      <c r="N243">
        <f>IF(V243="Sí",COUNTIFS(DATOS!G:G,CONFIG_METADATA!$B$4,DATOS!D:D,A243,DATOS!I:I,B243,DATOS!K:K,3),"")</f>
        <v>0</v>
      </c>
      <c r="O243">
        <f>IF(V243="Sí",COUNTIFS(DATOS!G:G,CONFIG_METADATA!$B$4,DATOS!D:D,A243,DATOS!I:I,B243,DATOS!K:K,4),"")</f>
        <v>0</v>
      </c>
      <c r="P243">
        <f>IF(V243="Sí",COUNTIFS(DATOS!G:G,CONFIG_METADATA!$B$4,DATOS!D:D,A243,DATOS!I:I,B243,DATOS!K:K,5),"")</f>
        <v>0</v>
      </c>
      <c r="Q243">
        <f>IF(V243="Sí",COUNTIFS(DATOS!G:G,CONFIG_METADATA!$B$4,DATOS!D:D,A243,DATOS!I:I,B243,DATOS!K:K,6),"")</f>
        <v>0</v>
      </c>
      <c r="R243">
        <f>IF(V243="Sí",COUNTIFS(DATOS!G:G,CONFIG_METADATA!$B$4,DATOS!D:D,A243,DATOS!I:I,B243,DATOS!K:K,7),"")</f>
        <v>0</v>
      </c>
      <c r="S243">
        <f>IF(V243="Sí",COUNTIFS(DATOS!G:G,CONFIG_METADATA!$B$4,DATOS!D:D,A243,DATOS!I:I,B243,DATOS!K:K,8),"")</f>
        <v>0</v>
      </c>
      <c r="T243">
        <f>IF(V243="Sí",COUNTIFS(DATOS!G:G,CONFIG_METADATA!$B$4,DATOS!D:D,A243,DATOS!I:I,B243,DATOS!K:K,9),"")</f>
        <v>0</v>
      </c>
      <c r="U243">
        <f>IF(V243="Sí",COUNTIFS(DATOS!G:G,CONFIG_METADATA!$B$4,DATOS!D:D,A243,DATOS!I:I,B243,DATOS!K:K,10),"")</f>
        <v>0</v>
      </c>
      <c r="V243" t="str">
        <f>IFERROR(IF(ISERROR(FIND(A243,VLOOKUP(B243,CONFIG_ASIGNATURAS!B:C,2,FALSE()))),"No","Sí"),"No")</f>
        <v>Sí</v>
      </c>
    </row>
    <row r="244" spans="1:22">
      <c r="A244" s="3" t="inlineStr">
        <is>
          <t xml:space="preserve">3EEM</t>
        </is>
      </c>
      <c r="B244" s="3" cm="1">
        <f t="array" ref="B244">IFERROR(INDEX(_xlfn._xlws.FILTER(CONFIG_ASIGNATURAS!$B$2:$B$61,(CONFIG_ASIGNATURAS!$G$2:$G$61="Sí")*ISNUMBER(SEARCH("3EEM",CONFIG_ASIGNATURAS!$C$2:$C$61))),51),"")</f>
      </c>
      <c r="C244" s="3">
        <f>IF(B244="","",IFERROR(IF(VLOOKUP(B244,CONFIG_ASIGNATURAS!$B$2:$F$61,5,FALSE())="Sí","Especialidad","Asignatura"),"Asignatura"))</f>
      </c>
      <c r="D244">
        <f>IF(V244="Sí",COUNTIFS(DATOS!G:G,CONFIG_METADATA!$B$4,DATOS!D:D,A244,DATOS!I:I,B244),"")</f>
        <v>0</v>
      </c>
      <c r="E244" s="14" t="str">
        <f>IF(V244="Sí",IFERROR(AVERAGEIFS(DATOS!K:K,DATOS!G:G,CONFIG_METADATA!$B$4,DATOS!D:D,A244,DATOS!I:I,B244),"—"),"")</f>
        <v>—</v>
      </c>
      <c r="F244" s="14" t="str" cm="1">
        <f t="array" ref="F244">IF(V244="Sí",IFERROR(_xlfn.STDEV.P(IF((DATOS!$G$2:$G$20000=CONFIG_METADATA!$B$4)*(DATOS!$D$2:$D$20000=A244)*(DATOS!$I$2:$I$20000=B244),DATOS!$K$2:$K$20000)),"—"),"")</f>
        <v>—</v>
      </c>
      <c r="G244" t="str" cm="1">
        <f t="array" ref="G244">IF(V244="Sí",IFERROR(_xlfn.MODE.SNGL(IF((DATOS!$G$2:$G$20000=CONFIG_METADATA!$B$4)*(DATOS!$D$2:$D$20000=A244)*(DATOS!$I$2:$I$20000=B244),DATOS!$K$2:$K$20000)),"—"),"")</f>
        <v>—</v>
      </c>
      <c r="H244" s="15" t="str">
        <f>IF(V244="Sí",IFERROR(COUNTIFS(DATOS!G:G,CONFIG_METADATA!$B$4,DATOS!D:D,A244,DATOS!I:I,B244,DATOS!L:L,"S")/COUNTIFS(DATOS!G:G,CONFIG_METADATA!$B$4,DATOS!D:D,A244,DATOS!I:I,B244),"—"),"")</f>
        <v>—</v>
      </c>
      <c r="I244" s="15" t="str">
        <f>IF(V244="Sí",IFERROR(COUNTIFS(DATOS!G:G,CONFIG_METADATA!$B$4,DATOS!D:D,A244,DATOS!I:I,B244,DATOS!L:L,"N")/COUNTIFS(DATOS!G:G,CONFIG_METADATA!$B$4,DATOS!D:D,A244,DATOS!I:I,B244),"—"),"")</f>
        <v>—</v>
      </c>
      <c r="J244" t="str" cm="1">
        <f t="array" ref="J244">IF(V244="Sí",IFERROR(_xlfn.MODE.SNGL(IF((DATOS!$G$2:$G$20000=CONFIG_METADATA!$B$4)*(DATOS!$D$2:$D$20000=A244)*(DATOS!$I$2:$I$20000=B244)*(DATOS!$L$2:$L$20000="S"),DATOS!$K$2:$K$20000)),"—"),"")</f>
        <v>—</v>
      </c>
      <c r="K244" t="str" cm="1">
        <f t="array" ref="K244">IF(V244="Sí",IFERROR(_xlfn.MODE.SNGL(IF((DATOS!$G$2:$G$20000=CONFIG_METADATA!$B$4)*(DATOS!$D$2:$D$20000=A244)*(DATOS!$I$2:$I$20000=B244)*(DATOS!$L$2:$L$20000="N"),DATOS!$K$2:$K$20000)),"—"),"")</f>
        <v>—</v>
      </c>
      <c r="L244">
        <f>IF(V244="Sí",COUNTIFS(DATOS!G:G,CONFIG_METADATA!$B$4,DATOS!D:D,A244,DATOS!I:I,B244,DATOS!K:K,1),"")</f>
        <v>0</v>
      </c>
      <c r="M244">
        <f>IF(V244="Sí",COUNTIFS(DATOS!G:G,CONFIG_METADATA!$B$4,DATOS!D:D,A244,DATOS!I:I,B244,DATOS!K:K,2),"")</f>
        <v>0</v>
      </c>
      <c r="N244">
        <f>IF(V244="Sí",COUNTIFS(DATOS!G:G,CONFIG_METADATA!$B$4,DATOS!D:D,A244,DATOS!I:I,B244,DATOS!K:K,3),"")</f>
        <v>0</v>
      </c>
      <c r="O244">
        <f>IF(V244="Sí",COUNTIFS(DATOS!G:G,CONFIG_METADATA!$B$4,DATOS!D:D,A244,DATOS!I:I,B244,DATOS!K:K,4),"")</f>
        <v>0</v>
      </c>
      <c r="P244">
        <f>IF(V244="Sí",COUNTIFS(DATOS!G:G,CONFIG_METADATA!$B$4,DATOS!D:D,A244,DATOS!I:I,B244,DATOS!K:K,5),"")</f>
        <v>0</v>
      </c>
      <c r="Q244">
        <f>IF(V244="Sí",COUNTIFS(DATOS!G:G,CONFIG_METADATA!$B$4,DATOS!D:D,A244,DATOS!I:I,B244,DATOS!K:K,6),"")</f>
        <v>0</v>
      </c>
      <c r="R244">
        <f>IF(V244="Sí",COUNTIFS(DATOS!G:G,CONFIG_METADATA!$B$4,DATOS!D:D,A244,DATOS!I:I,B244,DATOS!K:K,7),"")</f>
        <v>0</v>
      </c>
      <c r="S244">
        <f>IF(V244="Sí",COUNTIFS(DATOS!G:G,CONFIG_METADATA!$B$4,DATOS!D:D,A244,DATOS!I:I,B244,DATOS!K:K,8),"")</f>
        <v>0</v>
      </c>
      <c r="T244">
        <f>IF(V244="Sí",COUNTIFS(DATOS!G:G,CONFIG_METADATA!$B$4,DATOS!D:D,A244,DATOS!I:I,B244,DATOS!K:K,9),"")</f>
        <v>0</v>
      </c>
      <c r="U244">
        <f>IF(V244="Sí",COUNTIFS(DATOS!G:G,CONFIG_METADATA!$B$4,DATOS!D:D,A244,DATOS!I:I,B244,DATOS!K:K,10),"")</f>
        <v>0</v>
      </c>
      <c r="V244" t="str">
        <f>IFERROR(IF(ISERROR(FIND(A244,VLOOKUP(B244,CONFIG_ASIGNATURAS!B:C,2,FALSE()))),"No","Sí"),"No")</f>
        <v>Sí</v>
      </c>
    </row>
    <row r="245" spans="1:22">
      <c r="A245" s="3" t="inlineStr">
        <is>
          <t xml:space="preserve">3EEM</t>
        </is>
      </c>
      <c r="B245" s="3" cm="1">
        <f t="array" ref="B245">IFERROR(INDEX(_xlfn._xlws.FILTER(CONFIG_ASIGNATURAS!$B$2:$B$61,(CONFIG_ASIGNATURAS!$G$2:$G$61="Sí")*ISNUMBER(SEARCH("3EEM",CONFIG_ASIGNATURAS!$C$2:$C$61))),52),"")</f>
      </c>
      <c r="C245" s="3">
        <f>IF(B245="","",IFERROR(IF(VLOOKUP(B245,CONFIG_ASIGNATURAS!$B$2:$F$61,5,FALSE())="Sí","Especialidad","Asignatura"),"Asignatura"))</f>
      </c>
      <c r="D245">
        <f>IF(V245="Sí",COUNTIFS(DATOS!G:G,CONFIG_METADATA!$B$4,DATOS!D:D,A245,DATOS!I:I,B245),"")</f>
        <v>0</v>
      </c>
      <c r="E245" s="14" t="str">
        <f>IF(V245="Sí",IFERROR(AVERAGEIFS(DATOS!K:K,DATOS!G:G,CONFIG_METADATA!$B$4,DATOS!D:D,A245,DATOS!I:I,B245),"—"),"")</f>
        <v>—</v>
      </c>
      <c r="F245" s="14" t="str" cm="1">
        <f t="array" ref="F245">IF(V245="Sí",IFERROR(_xlfn.STDEV.P(IF((DATOS!$G$2:$G$20000=CONFIG_METADATA!$B$4)*(DATOS!$D$2:$D$20000=A245)*(DATOS!$I$2:$I$20000=B245),DATOS!$K$2:$K$20000)),"—"),"")</f>
        <v>—</v>
      </c>
      <c r="G245" t="str" cm="1">
        <f t="array" ref="G245">IF(V245="Sí",IFERROR(_xlfn.MODE.SNGL(IF((DATOS!$G$2:$G$20000=CONFIG_METADATA!$B$4)*(DATOS!$D$2:$D$20000=A245)*(DATOS!$I$2:$I$20000=B245),DATOS!$K$2:$K$20000)),"—"),"")</f>
        <v>—</v>
      </c>
      <c r="H245" s="15" t="str">
        <f>IF(V245="Sí",IFERROR(COUNTIFS(DATOS!G:G,CONFIG_METADATA!$B$4,DATOS!D:D,A245,DATOS!I:I,B245,DATOS!L:L,"S")/COUNTIFS(DATOS!G:G,CONFIG_METADATA!$B$4,DATOS!D:D,A245,DATOS!I:I,B245),"—"),"")</f>
        <v>—</v>
      </c>
      <c r="I245" s="15" t="str">
        <f>IF(V245="Sí",IFERROR(COUNTIFS(DATOS!G:G,CONFIG_METADATA!$B$4,DATOS!D:D,A245,DATOS!I:I,B245,DATOS!L:L,"N")/COUNTIFS(DATOS!G:G,CONFIG_METADATA!$B$4,DATOS!D:D,A245,DATOS!I:I,B245),"—"),"")</f>
        <v>—</v>
      </c>
      <c r="J245" t="str" cm="1">
        <f t="array" ref="J245">IF(V245="Sí",IFERROR(_xlfn.MODE.SNGL(IF((DATOS!$G$2:$G$20000=CONFIG_METADATA!$B$4)*(DATOS!$D$2:$D$20000=A245)*(DATOS!$I$2:$I$20000=B245)*(DATOS!$L$2:$L$20000="S"),DATOS!$K$2:$K$20000)),"—"),"")</f>
        <v>—</v>
      </c>
      <c r="K245" t="str" cm="1">
        <f t="array" ref="K245">IF(V245="Sí",IFERROR(_xlfn.MODE.SNGL(IF((DATOS!$G$2:$G$20000=CONFIG_METADATA!$B$4)*(DATOS!$D$2:$D$20000=A245)*(DATOS!$I$2:$I$20000=B245)*(DATOS!$L$2:$L$20000="N"),DATOS!$K$2:$K$20000)),"—"),"")</f>
        <v>—</v>
      </c>
      <c r="L245">
        <f>IF(V245="Sí",COUNTIFS(DATOS!G:G,CONFIG_METADATA!$B$4,DATOS!D:D,A245,DATOS!I:I,B245,DATOS!K:K,1),"")</f>
        <v>0</v>
      </c>
      <c r="M245">
        <f>IF(V245="Sí",COUNTIFS(DATOS!G:G,CONFIG_METADATA!$B$4,DATOS!D:D,A245,DATOS!I:I,B245,DATOS!K:K,2),"")</f>
        <v>0</v>
      </c>
      <c r="N245">
        <f>IF(V245="Sí",COUNTIFS(DATOS!G:G,CONFIG_METADATA!$B$4,DATOS!D:D,A245,DATOS!I:I,B245,DATOS!K:K,3),"")</f>
        <v>0</v>
      </c>
      <c r="O245">
        <f>IF(V245="Sí",COUNTIFS(DATOS!G:G,CONFIG_METADATA!$B$4,DATOS!D:D,A245,DATOS!I:I,B245,DATOS!K:K,4),"")</f>
        <v>0</v>
      </c>
      <c r="P245">
        <f>IF(V245="Sí",COUNTIFS(DATOS!G:G,CONFIG_METADATA!$B$4,DATOS!D:D,A245,DATOS!I:I,B245,DATOS!K:K,5),"")</f>
        <v>0</v>
      </c>
      <c r="Q245">
        <f>IF(V245="Sí",COUNTIFS(DATOS!G:G,CONFIG_METADATA!$B$4,DATOS!D:D,A245,DATOS!I:I,B245,DATOS!K:K,6),"")</f>
        <v>0</v>
      </c>
      <c r="R245">
        <f>IF(V245="Sí",COUNTIFS(DATOS!G:G,CONFIG_METADATA!$B$4,DATOS!D:D,A245,DATOS!I:I,B245,DATOS!K:K,7),"")</f>
        <v>0</v>
      </c>
      <c r="S245">
        <f>IF(V245="Sí",COUNTIFS(DATOS!G:G,CONFIG_METADATA!$B$4,DATOS!D:D,A245,DATOS!I:I,B245,DATOS!K:K,8),"")</f>
        <v>0</v>
      </c>
      <c r="T245">
        <f>IF(V245="Sí",COUNTIFS(DATOS!G:G,CONFIG_METADATA!$B$4,DATOS!D:D,A245,DATOS!I:I,B245,DATOS!K:K,9),"")</f>
        <v>0</v>
      </c>
      <c r="U245">
        <f>IF(V245="Sí",COUNTIFS(DATOS!G:G,CONFIG_METADATA!$B$4,DATOS!D:D,A245,DATOS!I:I,B245,DATOS!K:K,10),"")</f>
        <v>0</v>
      </c>
      <c r="V245" t="str">
        <f>IFERROR(IF(ISERROR(FIND(A245,VLOOKUP(B245,CONFIG_ASIGNATURAS!B:C,2,FALSE()))),"No","Sí"),"No")</f>
        <v>Sí</v>
      </c>
    </row>
    <row r="246" spans="1:22">
      <c r="A246" s="3" t="inlineStr">
        <is>
          <t xml:space="preserve">3EEM</t>
        </is>
      </c>
      <c r="B246" s="3" cm="1">
        <f t="array" ref="B246">IFERROR(INDEX(_xlfn._xlws.FILTER(CONFIG_ASIGNATURAS!$B$2:$B$61,(CONFIG_ASIGNATURAS!$G$2:$G$61="Sí")*ISNUMBER(SEARCH("3EEM",CONFIG_ASIGNATURAS!$C$2:$C$61))),53),"")</f>
      </c>
      <c r="C246" s="3">
        <f>IF(B246="","",IFERROR(IF(VLOOKUP(B246,CONFIG_ASIGNATURAS!$B$2:$F$61,5,FALSE())="Sí","Especialidad","Asignatura"),"Asignatura"))</f>
      </c>
      <c r="D246">
        <f>IF(V246="Sí",COUNTIFS(DATOS!G:G,CONFIG_METADATA!$B$4,DATOS!D:D,A246,DATOS!I:I,B246),"")</f>
        <v>0</v>
      </c>
      <c r="E246" s="14" t="str">
        <f>IF(V246="Sí",IFERROR(AVERAGEIFS(DATOS!K:K,DATOS!G:G,CONFIG_METADATA!$B$4,DATOS!D:D,A246,DATOS!I:I,B246),"—"),"")</f>
        <v>—</v>
      </c>
      <c r="F246" s="14" t="str" cm="1">
        <f t="array" ref="F246">IF(V246="Sí",IFERROR(_xlfn.STDEV.P(IF((DATOS!$G$2:$G$20000=CONFIG_METADATA!$B$4)*(DATOS!$D$2:$D$20000=A246)*(DATOS!$I$2:$I$20000=B246),DATOS!$K$2:$K$20000)),"—"),"")</f>
        <v>—</v>
      </c>
      <c r="G246" t="str" cm="1">
        <f t="array" ref="G246">IF(V246="Sí",IFERROR(_xlfn.MODE.SNGL(IF((DATOS!$G$2:$G$20000=CONFIG_METADATA!$B$4)*(DATOS!$D$2:$D$20000=A246)*(DATOS!$I$2:$I$20000=B246),DATOS!$K$2:$K$20000)),"—"),"")</f>
        <v>—</v>
      </c>
      <c r="H246" s="15" t="str">
        <f>IF(V246="Sí",IFERROR(COUNTIFS(DATOS!G:G,CONFIG_METADATA!$B$4,DATOS!D:D,A246,DATOS!I:I,B246,DATOS!L:L,"S")/COUNTIFS(DATOS!G:G,CONFIG_METADATA!$B$4,DATOS!D:D,A246,DATOS!I:I,B246),"—"),"")</f>
        <v>—</v>
      </c>
      <c r="I246" s="15" t="str">
        <f>IF(V246="Sí",IFERROR(COUNTIFS(DATOS!G:G,CONFIG_METADATA!$B$4,DATOS!D:D,A246,DATOS!I:I,B246,DATOS!L:L,"N")/COUNTIFS(DATOS!G:G,CONFIG_METADATA!$B$4,DATOS!D:D,A246,DATOS!I:I,B246),"—"),"")</f>
        <v>—</v>
      </c>
      <c r="J246" t="str" cm="1">
        <f t="array" ref="J246">IF(V246="Sí",IFERROR(_xlfn.MODE.SNGL(IF((DATOS!$G$2:$G$20000=CONFIG_METADATA!$B$4)*(DATOS!$D$2:$D$20000=A246)*(DATOS!$I$2:$I$20000=B246)*(DATOS!$L$2:$L$20000="S"),DATOS!$K$2:$K$20000)),"—"),"")</f>
        <v>—</v>
      </c>
      <c r="K246" t="str" cm="1">
        <f t="array" ref="K246">IF(V246="Sí",IFERROR(_xlfn.MODE.SNGL(IF((DATOS!$G$2:$G$20000=CONFIG_METADATA!$B$4)*(DATOS!$D$2:$D$20000=A246)*(DATOS!$I$2:$I$20000=B246)*(DATOS!$L$2:$L$20000="N"),DATOS!$K$2:$K$20000)),"—"),"")</f>
        <v>—</v>
      </c>
      <c r="L246">
        <f>IF(V246="Sí",COUNTIFS(DATOS!G:G,CONFIG_METADATA!$B$4,DATOS!D:D,A246,DATOS!I:I,B246,DATOS!K:K,1),"")</f>
        <v>0</v>
      </c>
      <c r="M246">
        <f>IF(V246="Sí",COUNTIFS(DATOS!G:G,CONFIG_METADATA!$B$4,DATOS!D:D,A246,DATOS!I:I,B246,DATOS!K:K,2),"")</f>
        <v>0</v>
      </c>
      <c r="N246">
        <f>IF(V246="Sí",COUNTIFS(DATOS!G:G,CONFIG_METADATA!$B$4,DATOS!D:D,A246,DATOS!I:I,B246,DATOS!K:K,3),"")</f>
        <v>0</v>
      </c>
      <c r="O246">
        <f>IF(V246="Sí",COUNTIFS(DATOS!G:G,CONFIG_METADATA!$B$4,DATOS!D:D,A246,DATOS!I:I,B246,DATOS!K:K,4),"")</f>
        <v>0</v>
      </c>
      <c r="P246">
        <f>IF(V246="Sí",COUNTIFS(DATOS!G:G,CONFIG_METADATA!$B$4,DATOS!D:D,A246,DATOS!I:I,B246,DATOS!K:K,5),"")</f>
        <v>0</v>
      </c>
      <c r="Q246">
        <f>IF(V246="Sí",COUNTIFS(DATOS!G:G,CONFIG_METADATA!$B$4,DATOS!D:D,A246,DATOS!I:I,B246,DATOS!K:K,6),"")</f>
        <v>0</v>
      </c>
      <c r="R246">
        <f>IF(V246="Sí",COUNTIFS(DATOS!G:G,CONFIG_METADATA!$B$4,DATOS!D:D,A246,DATOS!I:I,B246,DATOS!K:K,7),"")</f>
        <v>0</v>
      </c>
      <c r="S246">
        <f>IF(V246="Sí",COUNTIFS(DATOS!G:G,CONFIG_METADATA!$B$4,DATOS!D:D,A246,DATOS!I:I,B246,DATOS!K:K,8),"")</f>
        <v>0</v>
      </c>
      <c r="T246">
        <f>IF(V246="Sí",COUNTIFS(DATOS!G:G,CONFIG_METADATA!$B$4,DATOS!D:D,A246,DATOS!I:I,B246,DATOS!K:K,9),"")</f>
        <v>0</v>
      </c>
      <c r="U246">
        <f>IF(V246="Sí",COUNTIFS(DATOS!G:G,CONFIG_METADATA!$B$4,DATOS!D:D,A246,DATOS!I:I,B246,DATOS!K:K,10),"")</f>
        <v>0</v>
      </c>
      <c r="V246" t="str">
        <f>IFERROR(IF(ISERROR(FIND(A246,VLOOKUP(B246,CONFIG_ASIGNATURAS!B:C,2,FALSE()))),"No","Sí"),"No")</f>
        <v>Sí</v>
      </c>
    </row>
    <row r="247" spans="1:22">
      <c r="A247" s="3" t="inlineStr">
        <is>
          <t xml:space="preserve">3EEM</t>
        </is>
      </c>
      <c r="B247" s="3" cm="1">
        <f t="array" ref="B247">IFERROR(INDEX(_xlfn._xlws.FILTER(CONFIG_ASIGNATURAS!$B$2:$B$61,(CONFIG_ASIGNATURAS!$G$2:$G$61="Sí")*ISNUMBER(SEARCH("3EEM",CONFIG_ASIGNATURAS!$C$2:$C$61))),54),"")</f>
      </c>
      <c r="C247" s="3">
        <f>IF(B247="","",IFERROR(IF(VLOOKUP(B247,CONFIG_ASIGNATURAS!$B$2:$F$61,5,FALSE())="Sí","Especialidad","Asignatura"),"Asignatura"))</f>
      </c>
      <c r="D247">
        <f>IF(V247="Sí",COUNTIFS(DATOS!G:G,CONFIG_METADATA!$B$4,DATOS!D:D,A247,DATOS!I:I,B247),"")</f>
        <v>0</v>
      </c>
      <c r="E247" s="14" t="str">
        <f>IF(V247="Sí",IFERROR(AVERAGEIFS(DATOS!K:K,DATOS!G:G,CONFIG_METADATA!$B$4,DATOS!D:D,A247,DATOS!I:I,B247),"—"),"")</f>
        <v>—</v>
      </c>
      <c r="F247" s="14" t="str" cm="1">
        <f t="array" ref="F247">IF(V247="Sí",IFERROR(_xlfn.STDEV.P(IF((DATOS!$G$2:$G$20000=CONFIG_METADATA!$B$4)*(DATOS!$D$2:$D$20000=A247)*(DATOS!$I$2:$I$20000=B247),DATOS!$K$2:$K$20000)),"—"),"")</f>
        <v>—</v>
      </c>
      <c r="G247" t="str" cm="1">
        <f t="array" ref="G247">IF(V247="Sí",IFERROR(_xlfn.MODE.SNGL(IF((DATOS!$G$2:$G$20000=CONFIG_METADATA!$B$4)*(DATOS!$D$2:$D$20000=A247)*(DATOS!$I$2:$I$20000=B247),DATOS!$K$2:$K$20000)),"—"),"")</f>
        <v>—</v>
      </c>
      <c r="H247" s="15" t="str">
        <f>IF(V247="Sí",IFERROR(COUNTIFS(DATOS!G:G,CONFIG_METADATA!$B$4,DATOS!D:D,A247,DATOS!I:I,B247,DATOS!L:L,"S")/COUNTIFS(DATOS!G:G,CONFIG_METADATA!$B$4,DATOS!D:D,A247,DATOS!I:I,B247),"—"),"")</f>
        <v>—</v>
      </c>
      <c r="I247" s="15" t="str">
        <f>IF(V247="Sí",IFERROR(COUNTIFS(DATOS!G:G,CONFIG_METADATA!$B$4,DATOS!D:D,A247,DATOS!I:I,B247,DATOS!L:L,"N")/COUNTIFS(DATOS!G:G,CONFIG_METADATA!$B$4,DATOS!D:D,A247,DATOS!I:I,B247),"—"),"")</f>
        <v>—</v>
      </c>
      <c r="J247" t="str" cm="1">
        <f t="array" ref="J247">IF(V247="Sí",IFERROR(_xlfn.MODE.SNGL(IF((DATOS!$G$2:$G$20000=CONFIG_METADATA!$B$4)*(DATOS!$D$2:$D$20000=A247)*(DATOS!$I$2:$I$20000=B247)*(DATOS!$L$2:$L$20000="S"),DATOS!$K$2:$K$20000)),"—"),"")</f>
        <v>—</v>
      </c>
      <c r="K247" t="str" cm="1">
        <f t="array" ref="K247">IF(V247="Sí",IFERROR(_xlfn.MODE.SNGL(IF((DATOS!$G$2:$G$20000=CONFIG_METADATA!$B$4)*(DATOS!$D$2:$D$20000=A247)*(DATOS!$I$2:$I$20000=B247)*(DATOS!$L$2:$L$20000="N"),DATOS!$K$2:$K$20000)),"—"),"")</f>
        <v>—</v>
      </c>
      <c r="L247">
        <f>IF(V247="Sí",COUNTIFS(DATOS!G:G,CONFIG_METADATA!$B$4,DATOS!D:D,A247,DATOS!I:I,B247,DATOS!K:K,1),"")</f>
        <v>0</v>
      </c>
      <c r="M247">
        <f>IF(V247="Sí",COUNTIFS(DATOS!G:G,CONFIG_METADATA!$B$4,DATOS!D:D,A247,DATOS!I:I,B247,DATOS!K:K,2),"")</f>
        <v>0</v>
      </c>
      <c r="N247">
        <f>IF(V247="Sí",COUNTIFS(DATOS!G:G,CONFIG_METADATA!$B$4,DATOS!D:D,A247,DATOS!I:I,B247,DATOS!K:K,3),"")</f>
        <v>0</v>
      </c>
      <c r="O247">
        <f>IF(V247="Sí",COUNTIFS(DATOS!G:G,CONFIG_METADATA!$B$4,DATOS!D:D,A247,DATOS!I:I,B247,DATOS!K:K,4),"")</f>
        <v>0</v>
      </c>
      <c r="P247">
        <f>IF(V247="Sí",COUNTIFS(DATOS!G:G,CONFIG_METADATA!$B$4,DATOS!D:D,A247,DATOS!I:I,B247,DATOS!K:K,5),"")</f>
        <v>0</v>
      </c>
      <c r="Q247">
        <f>IF(V247="Sí",COUNTIFS(DATOS!G:G,CONFIG_METADATA!$B$4,DATOS!D:D,A247,DATOS!I:I,B247,DATOS!K:K,6),"")</f>
        <v>0</v>
      </c>
      <c r="R247">
        <f>IF(V247="Sí",COUNTIFS(DATOS!G:G,CONFIG_METADATA!$B$4,DATOS!D:D,A247,DATOS!I:I,B247,DATOS!K:K,7),"")</f>
        <v>0</v>
      </c>
      <c r="S247">
        <f>IF(V247="Sí",COUNTIFS(DATOS!G:G,CONFIG_METADATA!$B$4,DATOS!D:D,A247,DATOS!I:I,B247,DATOS!K:K,8),"")</f>
        <v>0</v>
      </c>
      <c r="T247">
        <f>IF(V247="Sí",COUNTIFS(DATOS!G:G,CONFIG_METADATA!$B$4,DATOS!D:D,A247,DATOS!I:I,B247,DATOS!K:K,9),"")</f>
        <v>0</v>
      </c>
      <c r="U247">
        <f>IF(V247="Sí",COUNTIFS(DATOS!G:G,CONFIG_METADATA!$B$4,DATOS!D:D,A247,DATOS!I:I,B247,DATOS!K:K,10),"")</f>
        <v>0</v>
      </c>
      <c r="V247" t="str">
        <f>IFERROR(IF(ISERROR(FIND(A247,VLOOKUP(B247,CONFIG_ASIGNATURAS!B:C,2,FALSE()))),"No","Sí"),"No")</f>
        <v>Sí</v>
      </c>
    </row>
    <row r="248" spans="1:22">
      <c r="A248" s="3" t="inlineStr">
        <is>
          <t xml:space="preserve">3EEM</t>
        </is>
      </c>
      <c r="B248" s="3" cm="1">
        <f t="array" ref="B248">IFERROR(INDEX(_xlfn._xlws.FILTER(CONFIG_ASIGNATURAS!$B$2:$B$61,(CONFIG_ASIGNATURAS!$G$2:$G$61="Sí")*ISNUMBER(SEARCH("3EEM",CONFIG_ASIGNATURAS!$C$2:$C$61))),55),"")</f>
      </c>
      <c r="C248" s="3">
        <f>IF(B248="","",IFERROR(IF(VLOOKUP(B248,CONFIG_ASIGNATURAS!$B$2:$F$61,5,FALSE())="Sí","Especialidad","Asignatura"),"Asignatura"))</f>
      </c>
      <c r="D248">
        <f>IF(V248="Sí",COUNTIFS(DATOS!G:G,CONFIG_METADATA!$B$4,DATOS!D:D,A248,DATOS!I:I,B248),"")</f>
        <v>0</v>
      </c>
      <c r="E248" s="14" t="str">
        <f>IF(V248="Sí",IFERROR(AVERAGEIFS(DATOS!K:K,DATOS!G:G,CONFIG_METADATA!$B$4,DATOS!D:D,A248,DATOS!I:I,B248),"—"),"")</f>
        <v>—</v>
      </c>
      <c r="F248" s="14" t="str" cm="1">
        <f t="array" ref="F248">IF(V248="Sí",IFERROR(_xlfn.STDEV.P(IF((DATOS!$G$2:$G$20000=CONFIG_METADATA!$B$4)*(DATOS!$D$2:$D$20000=A248)*(DATOS!$I$2:$I$20000=B248),DATOS!$K$2:$K$20000)),"—"),"")</f>
        <v>—</v>
      </c>
      <c r="G248" t="str" cm="1">
        <f t="array" ref="G248">IF(V248="Sí",IFERROR(_xlfn.MODE.SNGL(IF((DATOS!$G$2:$G$20000=CONFIG_METADATA!$B$4)*(DATOS!$D$2:$D$20000=A248)*(DATOS!$I$2:$I$20000=B248),DATOS!$K$2:$K$20000)),"—"),"")</f>
        <v>—</v>
      </c>
      <c r="H248" s="15" t="str">
        <f>IF(V248="Sí",IFERROR(COUNTIFS(DATOS!G:G,CONFIG_METADATA!$B$4,DATOS!D:D,A248,DATOS!I:I,B248,DATOS!L:L,"S")/COUNTIFS(DATOS!G:G,CONFIG_METADATA!$B$4,DATOS!D:D,A248,DATOS!I:I,B248),"—"),"")</f>
        <v>—</v>
      </c>
      <c r="I248" s="15" t="str">
        <f>IF(V248="Sí",IFERROR(COUNTIFS(DATOS!G:G,CONFIG_METADATA!$B$4,DATOS!D:D,A248,DATOS!I:I,B248,DATOS!L:L,"N")/COUNTIFS(DATOS!G:G,CONFIG_METADATA!$B$4,DATOS!D:D,A248,DATOS!I:I,B248),"—"),"")</f>
        <v>—</v>
      </c>
      <c r="J248" t="str" cm="1">
        <f t="array" ref="J248">IF(V248="Sí",IFERROR(_xlfn.MODE.SNGL(IF((DATOS!$G$2:$G$20000=CONFIG_METADATA!$B$4)*(DATOS!$D$2:$D$20000=A248)*(DATOS!$I$2:$I$20000=B248)*(DATOS!$L$2:$L$20000="S"),DATOS!$K$2:$K$20000)),"—"),"")</f>
        <v>—</v>
      </c>
      <c r="K248" t="str" cm="1">
        <f t="array" ref="K248">IF(V248="Sí",IFERROR(_xlfn.MODE.SNGL(IF((DATOS!$G$2:$G$20000=CONFIG_METADATA!$B$4)*(DATOS!$D$2:$D$20000=A248)*(DATOS!$I$2:$I$20000=B248)*(DATOS!$L$2:$L$20000="N"),DATOS!$K$2:$K$20000)),"—"),"")</f>
        <v>—</v>
      </c>
      <c r="L248">
        <f>IF(V248="Sí",COUNTIFS(DATOS!G:G,CONFIG_METADATA!$B$4,DATOS!D:D,A248,DATOS!I:I,B248,DATOS!K:K,1),"")</f>
        <v>0</v>
      </c>
      <c r="M248">
        <f>IF(V248="Sí",COUNTIFS(DATOS!G:G,CONFIG_METADATA!$B$4,DATOS!D:D,A248,DATOS!I:I,B248,DATOS!K:K,2),"")</f>
        <v>0</v>
      </c>
      <c r="N248">
        <f>IF(V248="Sí",COUNTIFS(DATOS!G:G,CONFIG_METADATA!$B$4,DATOS!D:D,A248,DATOS!I:I,B248,DATOS!K:K,3),"")</f>
        <v>0</v>
      </c>
      <c r="O248">
        <f>IF(V248="Sí",COUNTIFS(DATOS!G:G,CONFIG_METADATA!$B$4,DATOS!D:D,A248,DATOS!I:I,B248,DATOS!K:K,4),"")</f>
        <v>0</v>
      </c>
      <c r="P248">
        <f>IF(V248="Sí",COUNTIFS(DATOS!G:G,CONFIG_METADATA!$B$4,DATOS!D:D,A248,DATOS!I:I,B248,DATOS!K:K,5),"")</f>
        <v>0</v>
      </c>
      <c r="Q248">
        <f>IF(V248="Sí",COUNTIFS(DATOS!G:G,CONFIG_METADATA!$B$4,DATOS!D:D,A248,DATOS!I:I,B248,DATOS!K:K,6),"")</f>
        <v>0</v>
      </c>
      <c r="R248">
        <f>IF(V248="Sí",COUNTIFS(DATOS!G:G,CONFIG_METADATA!$B$4,DATOS!D:D,A248,DATOS!I:I,B248,DATOS!K:K,7),"")</f>
        <v>0</v>
      </c>
      <c r="S248">
        <f>IF(V248="Sí",COUNTIFS(DATOS!G:G,CONFIG_METADATA!$B$4,DATOS!D:D,A248,DATOS!I:I,B248,DATOS!K:K,8),"")</f>
        <v>0</v>
      </c>
      <c r="T248">
        <f>IF(V248="Sí",COUNTIFS(DATOS!G:G,CONFIG_METADATA!$B$4,DATOS!D:D,A248,DATOS!I:I,B248,DATOS!K:K,9),"")</f>
        <v>0</v>
      </c>
      <c r="U248">
        <f>IF(V248="Sí",COUNTIFS(DATOS!G:G,CONFIG_METADATA!$B$4,DATOS!D:D,A248,DATOS!I:I,B248,DATOS!K:K,10),"")</f>
        <v>0</v>
      </c>
      <c r="V248" t="str">
        <f>IFERROR(IF(ISERROR(FIND(A248,VLOOKUP(B248,CONFIG_ASIGNATURAS!B:C,2,FALSE()))),"No","Sí"),"No")</f>
        <v>Sí</v>
      </c>
    </row>
    <row r="249" spans="1:22">
      <c r="A249" s="3" t="inlineStr">
        <is>
          <t xml:space="preserve">3EEM</t>
        </is>
      </c>
      <c r="B249" s="3" cm="1">
        <f t="array" ref="B249">IFERROR(INDEX(_xlfn._xlws.FILTER(CONFIG_ASIGNATURAS!$B$2:$B$61,(CONFIG_ASIGNATURAS!$G$2:$G$61="Sí")*ISNUMBER(SEARCH("3EEM",CONFIG_ASIGNATURAS!$C$2:$C$61))),56),"")</f>
      </c>
      <c r="C249" s="3">
        <f>IF(B249="","",IFERROR(IF(VLOOKUP(B249,CONFIG_ASIGNATURAS!$B$2:$F$61,5,FALSE())="Sí","Especialidad","Asignatura"),"Asignatura"))</f>
      </c>
      <c r="D249">
        <f>IF(V249="Sí",COUNTIFS(DATOS!G:G,CONFIG_METADATA!$B$4,DATOS!D:D,A249,DATOS!I:I,B249),"")</f>
        <v>0</v>
      </c>
      <c r="E249" s="14" t="str">
        <f>IF(V249="Sí",IFERROR(AVERAGEIFS(DATOS!K:K,DATOS!G:G,CONFIG_METADATA!$B$4,DATOS!D:D,A249,DATOS!I:I,B249),"—"),"")</f>
        <v>—</v>
      </c>
      <c r="F249" s="14" t="str" cm="1">
        <f t="array" ref="F249">IF(V249="Sí",IFERROR(_xlfn.STDEV.P(IF((DATOS!$G$2:$G$20000=CONFIG_METADATA!$B$4)*(DATOS!$D$2:$D$20000=A249)*(DATOS!$I$2:$I$20000=B249),DATOS!$K$2:$K$20000)),"—"),"")</f>
        <v>—</v>
      </c>
      <c r="G249" t="str" cm="1">
        <f t="array" ref="G249">IF(V249="Sí",IFERROR(_xlfn.MODE.SNGL(IF((DATOS!$G$2:$G$20000=CONFIG_METADATA!$B$4)*(DATOS!$D$2:$D$20000=A249)*(DATOS!$I$2:$I$20000=B249),DATOS!$K$2:$K$20000)),"—"),"")</f>
        <v>—</v>
      </c>
      <c r="H249" s="15" t="str">
        <f>IF(V249="Sí",IFERROR(COUNTIFS(DATOS!G:G,CONFIG_METADATA!$B$4,DATOS!D:D,A249,DATOS!I:I,B249,DATOS!L:L,"S")/COUNTIFS(DATOS!G:G,CONFIG_METADATA!$B$4,DATOS!D:D,A249,DATOS!I:I,B249),"—"),"")</f>
        <v>—</v>
      </c>
      <c r="I249" s="15" t="str">
        <f>IF(V249="Sí",IFERROR(COUNTIFS(DATOS!G:G,CONFIG_METADATA!$B$4,DATOS!D:D,A249,DATOS!I:I,B249,DATOS!L:L,"N")/COUNTIFS(DATOS!G:G,CONFIG_METADATA!$B$4,DATOS!D:D,A249,DATOS!I:I,B249),"—"),"")</f>
        <v>—</v>
      </c>
      <c r="J249" t="str" cm="1">
        <f t="array" ref="J249">IF(V249="Sí",IFERROR(_xlfn.MODE.SNGL(IF((DATOS!$G$2:$G$20000=CONFIG_METADATA!$B$4)*(DATOS!$D$2:$D$20000=A249)*(DATOS!$I$2:$I$20000=B249)*(DATOS!$L$2:$L$20000="S"),DATOS!$K$2:$K$20000)),"—"),"")</f>
        <v>—</v>
      </c>
      <c r="K249" t="str" cm="1">
        <f t="array" ref="K249">IF(V249="Sí",IFERROR(_xlfn.MODE.SNGL(IF((DATOS!$G$2:$G$20000=CONFIG_METADATA!$B$4)*(DATOS!$D$2:$D$20000=A249)*(DATOS!$I$2:$I$20000=B249)*(DATOS!$L$2:$L$20000="N"),DATOS!$K$2:$K$20000)),"—"),"")</f>
        <v>—</v>
      </c>
      <c r="L249">
        <f>IF(V249="Sí",COUNTIFS(DATOS!G:G,CONFIG_METADATA!$B$4,DATOS!D:D,A249,DATOS!I:I,B249,DATOS!K:K,1),"")</f>
        <v>0</v>
      </c>
      <c r="M249">
        <f>IF(V249="Sí",COUNTIFS(DATOS!G:G,CONFIG_METADATA!$B$4,DATOS!D:D,A249,DATOS!I:I,B249,DATOS!K:K,2),"")</f>
        <v>0</v>
      </c>
      <c r="N249">
        <f>IF(V249="Sí",COUNTIFS(DATOS!G:G,CONFIG_METADATA!$B$4,DATOS!D:D,A249,DATOS!I:I,B249,DATOS!K:K,3),"")</f>
        <v>0</v>
      </c>
      <c r="O249">
        <f>IF(V249="Sí",COUNTIFS(DATOS!G:G,CONFIG_METADATA!$B$4,DATOS!D:D,A249,DATOS!I:I,B249,DATOS!K:K,4),"")</f>
        <v>0</v>
      </c>
      <c r="P249">
        <f>IF(V249="Sí",COUNTIFS(DATOS!G:G,CONFIG_METADATA!$B$4,DATOS!D:D,A249,DATOS!I:I,B249,DATOS!K:K,5),"")</f>
        <v>0</v>
      </c>
      <c r="Q249">
        <f>IF(V249="Sí",COUNTIFS(DATOS!G:G,CONFIG_METADATA!$B$4,DATOS!D:D,A249,DATOS!I:I,B249,DATOS!K:K,6),"")</f>
        <v>0</v>
      </c>
      <c r="R249">
        <f>IF(V249="Sí",COUNTIFS(DATOS!G:G,CONFIG_METADATA!$B$4,DATOS!D:D,A249,DATOS!I:I,B249,DATOS!K:K,7),"")</f>
        <v>0</v>
      </c>
      <c r="S249">
        <f>IF(V249="Sí",COUNTIFS(DATOS!G:G,CONFIG_METADATA!$B$4,DATOS!D:D,A249,DATOS!I:I,B249,DATOS!K:K,8),"")</f>
        <v>0</v>
      </c>
      <c r="T249">
        <f>IF(V249="Sí",COUNTIFS(DATOS!G:G,CONFIG_METADATA!$B$4,DATOS!D:D,A249,DATOS!I:I,B249,DATOS!K:K,9),"")</f>
        <v>0</v>
      </c>
      <c r="U249">
        <f>IF(V249="Sí",COUNTIFS(DATOS!G:G,CONFIG_METADATA!$B$4,DATOS!D:D,A249,DATOS!I:I,B249,DATOS!K:K,10),"")</f>
        <v>0</v>
      </c>
      <c r="V249" t="str">
        <f>IFERROR(IF(ISERROR(FIND(A249,VLOOKUP(B249,CONFIG_ASIGNATURAS!B:C,2,FALSE()))),"No","Sí"),"No")</f>
        <v>Sí</v>
      </c>
    </row>
    <row r="250" spans="1:22">
      <c r="A250" s="3" t="inlineStr">
        <is>
          <t xml:space="preserve">3EEM</t>
        </is>
      </c>
      <c r="B250" s="3" cm="1">
        <f t="array" ref="B250">IFERROR(INDEX(_xlfn._xlws.FILTER(CONFIG_ASIGNATURAS!$B$2:$B$61,(CONFIG_ASIGNATURAS!$G$2:$G$61="Sí")*ISNUMBER(SEARCH("3EEM",CONFIG_ASIGNATURAS!$C$2:$C$61))),57),"")</f>
      </c>
      <c r="C250" s="3">
        <f>IF(B250="","",IFERROR(IF(VLOOKUP(B250,CONFIG_ASIGNATURAS!$B$2:$F$61,5,FALSE())="Sí","Especialidad","Asignatura"),"Asignatura"))</f>
      </c>
      <c r="D250">
        <f>IF(V250="Sí",COUNTIFS(DATOS!G:G,CONFIG_METADATA!$B$4,DATOS!D:D,A250,DATOS!I:I,B250),"")</f>
        <v>0</v>
      </c>
      <c r="E250" s="14" t="str">
        <f>IF(V250="Sí",IFERROR(AVERAGEIFS(DATOS!K:K,DATOS!G:G,CONFIG_METADATA!$B$4,DATOS!D:D,A250,DATOS!I:I,B250),"—"),"")</f>
        <v>—</v>
      </c>
      <c r="F250" s="14" t="str" cm="1">
        <f t="array" ref="F250">IF(V250="Sí",IFERROR(_xlfn.STDEV.P(IF((DATOS!$G$2:$G$20000=CONFIG_METADATA!$B$4)*(DATOS!$D$2:$D$20000=A250)*(DATOS!$I$2:$I$20000=B250),DATOS!$K$2:$K$20000)),"—"),"")</f>
        <v>—</v>
      </c>
      <c r="G250" t="str" cm="1">
        <f t="array" ref="G250">IF(V250="Sí",IFERROR(_xlfn.MODE.SNGL(IF((DATOS!$G$2:$G$20000=CONFIG_METADATA!$B$4)*(DATOS!$D$2:$D$20000=A250)*(DATOS!$I$2:$I$20000=B250),DATOS!$K$2:$K$20000)),"—"),"")</f>
        <v>—</v>
      </c>
      <c r="H250" s="15" t="str">
        <f>IF(V250="Sí",IFERROR(COUNTIFS(DATOS!G:G,CONFIG_METADATA!$B$4,DATOS!D:D,A250,DATOS!I:I,B250,DATOS!L:L,"S")/COUNTIFS(DATOS!G:G,CONFIG_METADATA!$B$4,DATOS!D:D,A250,DATOS!I:I,B250),"—"),"")</f>
        <v>—</v>
      </c>
      <c r="I250" s="15" t="str">
        <f>IF(V250="Sí",IFERROR(COUNTIFS(DATOS!G:G,CONFIG_METADATA!$B$4,DATOS!D:D,A250,DATOS!I:I,B250,DATOS!L:L,"N")/COUNTIFS(DATOS!G:G,CONFIG_METADATA!$B$4,DATOS!D:D,A250,DATOS!I:I,B250),"—"),"")</f>
        <v>—</v>
      </c>
      <c r="J250" t="str" cm="1">
        <f t="array" ref="J250">IF(V250="Sí",IFERROR(_xlfn.MODE.SNGL(IF((DATOS!$G$2:$G$20000=CONFIG_METADATA!$B$4)*(DATOS!$D$2:$D$20000=A250)*(DATOS!$I$2:$I$20000=B250)*(DATOS!$L$2:$L$20000="S"),DATOS!$K$2:$K$20000)),"—"),"")</f>
        <v>—</v>
      </c>
      <c r="K250" t="str" cm="1">
        <f t="array" ref="K250">IF(V250="Sí",IFERROR(_xlfn.MODE.SNGL(IF((DATOS!$G$2:$G$20000=CONFIG_METADATA!$B$4)*(DATOS!$D$2:$D$20000=A250)*(DATOS!$I$2:$I$20000=B250)*(DATOS!$L$2:$L$20000="N"),DATOS!$K$2:$K$20000)),"—"),"")</f>
        <v>—</v>
      </c>
      <c r="L250">
        <f>IF(V250="Sí",COUNTIFS(DATOS!G:G,CONFIG_METADATA!$B$4,DATOS!D:D,A250,DATOS!I:I,B250,DATOS!K:K,1),"")</f>
        <v>0</v>
      </c>
      <c r="M250">
        <f>IF(V250="Sí",COUNTIFS(DATOS!G:G,CONFIG_METADATA!$B$4,DATOS!D:D,A250,DATOS!I:I,B250,DATOS!K:K,2),"")</f>
        <v>0</v>
      </c>
      <c r="N250">
        <f>IF(V250="Sí",COUNTIFS(DATOS!G:G,CONFIG_METADATA!$B$4,DATOS!D:D,A250,DATOS!I:I,B250,DATOS!K:K,3),"")</f>
        <v>0</v>
      </c>
      <c r="O250">
        <f>IF(V250="Sí",COUNTIFS(DATOS!G:G,CONFIG_METADATA!$B$4,DATOS!D:D,A250,DATOS!I:I,B250,DATOS!K:K,4),"")</f>
        <v>0</v>
      </c>
      <c r="P250">
        <f>IF(V250="Sí",COUNTIFS(DATOS!G:G,CONFIG_METADATA!$B$4,DATOS!D:D,A250,DATOS!I:I,B250,DATOS!K:K,5),"")</f>
        <v>0</v>
      </c>
      <c r="Q250">
        <f>IF(V250="Sí",COUNTIFS(DATOS!G:G,CONFIG_METADATA!$B$4,DATOS!D:D,A250,DATOS!I:I,B250,DATOS!K:K,6),"")</f>
        <v>0</v>
      </c>
      <c r="R250">
        <f>IF(V250="Sí",COUNTIFS(DATOS!G:G,CONFIG_METADATA!$B$4,DATOS!D:D,A250,DATOS!I:I,B250,DATOS!K:K,7),"")</f>
        <v>0</v>
      </c>
      <c r="S250">
        <f>IF(V250="Sí",COUNTIFS(DATOS!G:G,CONFIG_METADATA!$B$4,DATOS!D:D,A250,DATOS!I:I,B250,DATOS!K:K,8),"")</f>
        <v>0</v>
      </c>
      <c r="T250">
        <f>IF(V250="Sí",COUNTIFS(DATOS!G:G,CONFIG_METADATA!$B$4,DATOS!D:D,A250,DATOS!I:I,B250,DATOS!K:K,9),"")</f>
        <v>0</v>
      </c>
      <c r="U250">
        <f>IF(V250="Sí",COUNTIFS(DATOS!G:G,CONFIG_METADATA!$B$4,DATOS!D:D,A250,DATOS!I:I,B250,DATOS!K:K,10),"")</f>
        <v>0</v>
      </c>
      <c r="V250" t="str">
        <f>IFERROR(IF(ISERROR(FIND(A250,VLOOKUP(B250,CONFIG_ASIGNATURAS!B:C,2,FALSE()))),"No","Sí"),"No")</f>
        <v>Sí</v>
      </c>
    </row>
    <row r="251" spans="1:22">
      <c r="A251" s="3" t="inlineStr">
        <is>
          <t xml:space="preserve">3EEM</t>
        </is>
      </c>
      <c r="B251" s="3" cm="1">
        <f t="array" ref="B251">IFERROR(INDEX(_xlfn._xlws.FILTER(CONFIG_ASIGNATURAS!$B$2:$B$61,(CONFIG_ASIGNATURAS!$G$2:$G$61="Sí")*ISNUMBER(SEARCH("3EEM",CONFIG_ASIGNATURAS!$C$2:$C$61))),58),"")</f>
      </c>
      <c r="C251" s="3">
        <f>IF(B251="","",IFERROR(IF(VLOOKUP(B251,CONFIG_ASIGNATURAS!$B$2:$F$61,5,FALSE())="Sí","Especialidad","Asignatura"),"Asignatura"))</f>
      </c>
      <c r="D251">
        <f>IF(V251="Sí",COUNTIFS(DATOS!G:G,CONFIG_METADATA!$B$4,DATOS!D:D,A251,DATOS!I:I,B251),"")</f>
        <v>0</v>
      </c>
      <c r="E251" s="14" t="str">
        <f>IF(V251="Sí",IFERROR(AVERAGEIFS(DATOS!K:K,DATOS!G:G,CONFIG_METADATA!$B$4,DATOS!D:D,A251,DATOS!I:I,B251),"—"),"")</f>
        <v>—</v>
      </c>
      <c r="F251" s="14" t="str" cm="1">
        <f t="array" ref="F251">IF(V251="Sí",IFERROR(_xlfn.STDEV.P(IF((DATOS!$G$2:$G$20000=CONFIG_METADATA!$B$4)*(DATOS!$D$2:$D$20000=A251)*(DATOS!$I$2:$I$20000=B251),DATOS!$K$2:$K$20000)),"—"),"")</f>
        <v>—</v>
      </c>
      <c r="G251" t="str" cm="1">
        <f t="array" ref="G251">IF(V251="Sí",IFERROR(_xlfn.MODE.SNGL(IF((DATOS!$G$2:$G$20000=CONFIG_METADATA!$B$4)*(DATOS!$D$2:$D$20000=A251)*(DATOS!$I$2:$I$20000=B251),DATOS!$K$2:$K$20000)),"—"),"")</f>
        <v>—</v>
      </c>
      <c r="H251" s="15" t="str">
        <f>IF(V251="Sí",IFERROR(COUNTIFS(DATOS!G:G,CONFIG_METADATA!$B$4,DATOS!D:D,A251,DATOS!I:I,B251,DATOS!L:L,"S")/COUNTIFS(DATOS!G:G,CONFIG_METADATA!$B$4,DATOS!D:D,A251,DATOS!I:I,B251),"—"),"")</f>
        <v>—</v>
      </c>
      <c r="I251" s="15" t="str">
        <f>IF(V251="Sí",IFERROR(COUNTIFS(DATOS!G:G,CONFIG_METADATA!$B$4,DATOS!D:D,A251,DATOS!I:I,B251,DATOS!L:L,"N")/COUNTIFS(DATOS!G:G,CONFIG_METADATA!$B$4,DATOS!D:D,A251,DATOS!I:I,B251),"—"),"")</f>
        <v>—</v>
      </c>
      <c r="J251" t="str" cm="1">
        <f t="array" ref="J251">IF(V251="Sí",IFERROR(_xlfn.MODE.SNGL(IF((DATOS!$G$2:$G$20000=CONFIG_METADATA!$B$4)*(DATOS!$D$2:$D$20000=A251)*(DATOS!$I$2:$I$20000=B251)*(DATOS!$L$2:$L$20000="S"),DATOS!$K$2:$K$20000)),"—"),"")</f>
        <v>—</v>
      </c>
      <c r="K251" t="str" cm="1">
        <f t="array" ref="K251">IF(V251="Sí",IFERROR(_xlfn.MODE.SNGL(IF((DATOS!$G$2:$G$20000=CONFIG_METADATA!$B$4)*(DATOS!$D$2:$D$20000=A251)*(DATOS!$I$2:$I$20000=B251)*(DATOS!$L$2:$L$20000="N"),DATOS!$K$2:$K$20000)),"—"),"")</f>
        <v>—</v>
      </c>
      <c r="L251">
        <f>IF(V251="Sí",COUNTIFS(DATOS!G:G,CONFIG_METADATA!$B$4,DATOS!D:D,A251,DATOS!I:I,B251,DATOS!K:K,1),"")</f>
        <v>0</v>
      </c>
      <c r="M251">
        <f>IF(V251="Sí",COUNTIFS(DATOS!G:G,CONFIG_METADATA!$B$4,DATOS!D:D,A251,DATOS!I:I,B251,DATOS!K:K,2),"")</f>
        <v>0</v>
      </c>
      <c r="N251">
        <f>IF(V251="Sí",COUNTIFS(DATOS!G:G,CONFIG_METADATA!$B$4,DATOS!D:D,A251,DATOS!I:I,B251,DATOS!K:K,3),"")</f>
        <v>0</v>
      </c>
      <c r="O251">
        <f>IF(V251="Sí",COUNTIFS(DATOS!G:G,CONFIG_METADATA!$B$4,DATOS!D:D,A251,DATOS!I:I,B251,DATOS!K:K,4),"")</f>
        <v>0</v>
      </c>
      <c r="P251">
        <f>IF(V251="Sí",COUNTIFS(DATOS!G:G,CONFIG_METADATA!$B$4,DATOS!D:D,A251,DATOS!I:I,B251,DATOS!K:K,5),"")</f>
        <v>0</v>
      </c>
      <c r="Q251">
        <f>IF(V251="Sí",COUNTIFS(DATOS!G:G,CONFIG_METADATA!$B$4,DATOS!D:D,A251,DATOS!I:I,B251,DATOS!K:K,6),"")</f>
        <v>0</v>
      </c>
      <c r="R251">
        <f>IF(V251="Sí",COUNTIFS(DATOS!G:G,CONFIG_METADATA!$B$4,DATOS!D:D,A251,DATOS!I:I,B251,DATOS!K:K,7),"")</f>
        <v>0</v>
      </c>
      <c r="S251">
        <f>IF(V251="Sí",COUNTIFS(DATOS!G:G,CONFIG_METADATA!$B$4,DATOS!D:D,A251,DATOS!I:I,B251,DATOS!K:K,8),"")</f>
        <v>0</v>
      </c>
      <c r="T251">
        <f>IF(V251="Sí",COUNTIFS(DATOS!G:G,CONFIG_METADATA!$B$4,DATOS!D:D,A251,DATOS!I:I,B251,DATOS!K:K,9),"")</f>
        <v>0</v>
      </c>
      <c r="U251">
        <f>IF(V251="Sí",COUNTIFS(DATOS!G:G,CONFIG_METADATA!$B$4,DATOS!D:D,A251,DATOS!I:I,B251,DATOS!K:K,10),"")</f>
        <v>0</v>
      </c>
      <c r="V251" t="str">
        <f>IFERROR(IF(ISERROR(FIND(A251,VLOOKUP(B251,CONFIG_ASIGNATURAS!B:C,2,FALSE()))),"No","Sí"),"No")</f>
        <v>Sí</v>
      </c>
    </row>
    <row r="252" spans="1:22">
      <c r="A252" s="3" t="inlineStr">
        <is>
          <t xml:space="preserve">3EEM</t>
        </is>
      </c>
      <c r="B252" s="3" cm="1">
        <f t="array" ref="B252">IFERROR(INDEX(_xlfn._xlws.FILTER(CONFIG_ASIGNATURAS!$B$2:$B$61,(CONFIG_ASIGNATURAS!$G$2:$G$61="Sí")*ISNUMBER(SEARCH("3EEM",CONFIG_ASIGNATURAS!$C$2:$C$61))),59),"")</f>
      </c>
      <c r="C252" s="3">
        <f>IF(B252="","",IFERROR(IF(VLOOKUP(B252,CONFIG_ASIGNATURAS!$B$2:$F$61,5,FALSE())="Sí","Especialidad","Asignatura"),"Asignatura"))</f>
      </c>
      <c r="D252">
        <f>IF(V252="Sí",COUNTIFS(DATOS!G:G,CONFIG_METADATA!$B$4,DATOS!D:D,A252,DATOS!I:I,B252),"")</f>
        <v>0</v>
      </c>
      <c r="E252" s="14" t="str">
        <f>IF(V252="Sí",IFERROR(AVERAGEIFS(DATOS!K:K,DATOS!G:G,CONFIG_METADATA!$B$4,DATOS!D:D,A252,DATOS!I:I,B252),"—"),"")</f>
        <v>—</v>
      </c>
      <c r="F252" s="14" t="str" cm="1">
        <f t="array" ref="F252">IF(V252="Sí",IFERROR(_xlfn.STDEV.P(IF((DATOS!$G$2:$G$20000=CONFIG_METADATA!$B$4)*(DATOS!$D$2:$D$20000=A252)*(DATOS!$I$2:$I$20000=B252),DATOS!$K$2:$K$20000)),"—"),"")</f>
        <v>—</v>
      </c>
      <c r="G252" t="str" cm="1">
        <f t="array" ref="G252">IF(V252="Sí",IFERROR(_xlfn.MODE.SNGL(IF((DATOS!$G$2:$G$20000=CONFIG_METADATA!$B$4)*(DATOS!$D$2:$D$20000=A252)*(DATOS!$I$2:$I$20000=B252),DATOS!$K$2:$K$20000)),"—"),"")</f>
        <v>—</v>
      </c>
      <c r="H252" s="15" t="str">
        <f>IF(V252="Sí",IFERROR(COUNTIFS(DATOS!G:G,CONFIG_METADATA!$B$4,DATOS!D:D,A252,DATOS!I:I,B252,DATOS!L:L,"S")/COUNTIFS(DATOS!G:G,CONFIG_METADATA!$B$4,DATOS!D:D,A252,DATOS!I:I,B252),"—"),"")</f>
        <v>—</v>
      </c>
      <c r="I252" s="15" t="str">
        <f>IF(V252="Sí",IFERROR(COUNTIFS(DATOS!G:G,CONFIG_METADATA!$B$4,DATOS!D:D,A252,DATOS!I:I,B252,DATOS!L:L,"N")/COUNTIFS(DATOS!G:G,CONFIG_METADATA!$B$4,DATOS!D:D,A252,DATOS!I:I,B252),"—"),"")</f>
        <v>—</v>
      </c>
      <c r="J252" t="str" cm="1">
        <f t="array" ref="J252">IF(V252="Sí",IFERROR(_xlfn.MODE.SNGL(IF((DATOS!$G$2:$G$20000=CONFIG_METADATA!$B$4)*(DATOS!$D$2:$D$20000=A252)*(DATOS!$I$2:$I$20000=B252)*(DATOS!$L$2:$L$20000="S"),DATOS!$K$2:$K$20000)),"—"),"")</f>
        <v>—</v>
      </c>
      <c r="K252" t="str" cm="1">
        <f t="array" ref="K252">IF(V252="Sí",IFERROR(_xlfn.MODE.SNGL(IF((DATOS!$G$2:$G$20000=CONFIG_METADATA!$B$4)*(DATOS!$D$2:$D$20000=A252)*(DATOS!$I$2:$I$20000=B252)*(DATOS!$L$2:$L$20000="N"),DATOS!$K$2:$K$20000)),"—"),"")</f>
        <v>—</v>
      </c>
      <c r="L252">
        <f>IF(V252="Sí",COUNTIFS(DATOS!G:G,CONFIG_METADATA!$B$4,DATOS!D:D,A252,DATOS!I:I,B252,DATOS!K:K,1),"")</f>
        <v>0</v>
      </c>
      <c r="M252">
        <f>IF(V252="Sí",COUNTIFS(DATOS!G:G,CONFIG_METADATA!$B$4,DATOS!D:D,A252,DATOS!I:I,B252,DATOS!K:K,2),"")</f>
        <v>0</v>
      </c>
      <c r="N252">
        <f>IF(V252="Sí",COUNTIFS(DATOS!G:G,CONFIG_METADATA!$B$4,DATOS!D:D,A252,DATOS!I:I,B252,DATOS!K:K,3),"")</f>
        <v>0</v>
      </c>
      <c r="O252">
        <f>IF(V252="Sí",COUNTIFS(DATOS!G:G,CONFIG_METADATA!$B$4,DATOS!D:D,A252,DATOS!I:I,B252,DATOS!K:K,4),"")</f>
        <v>0</v>
      </c>
      <c r="P252">
        <f>IF(V252="Sí",COUNTIFS(DATOS!G:G,CONFIG_METADATA!$B$4,DATOS!D:D,A252,DATOS!I:I,B252,DATOS!K:K,5),"")</f>
        <v>0</v>
      </c>
      <c r="Q252">
        <f>IF(V252="Sí",COUNTIFS(DATOS!G:G,CONFIG_METADATA!$B$4,DATOS!D:D,A252,DATOS!I:I,B252,DATOS!K:K,6),"")</f>
        <v>0</v>
      </c>
      <c r="R252">
        <f>IF(V252="Sí",COUNTIFS(DATOS!G:G,CONFIG_METADATA!$B$4,DATOS!D:D,A252,DATOS!I:I,B252,DATOS!K:K,7),"")</f>
        <v>0</v>
      </c>
      <c r="S252">
        <f>IF(V252="Sí",COUNTIFS(DATOS!G:G,CONFIG_METADATA!$B$4,DATOS!D:D,A252,DATOS!I:I,B252,DATOS!K:K,8),"")</f>
        <v>0</v>
      </c>
      <c r="T252">
        <f>IF(V252="Sí",COUNTIFS(DATOS!G:G,CONFIG_METADATA!$B$4,DATOS!D:D,A252,DATOS!I:I,B252,DATOS!K:K,9),"")</f>
        <v>0</v>
      </c>
      <c r="U252">
        <f>IF(V252="Sí",COUNTIFS(DATOS!G:G,CONFIG_METADATA!$B$4,DATOS!D:D,A252,DATOS!I:I,B252,DATOS!K:K,10),"")</f>
        <v>0</v>
      </c>
      <c r="V252" t="str">
        <f>IFERROR(IF(ISERROR(FIND(A252,VLOOKUP(B252,CONFIG_ASIGNATURAS!B:C,2,FALSE()))),"No","Sí"),"No")</f>
        <v>Sí</v>
      </c>
    </row>
    <row r="253" spans="1:22">
      <c r="A253" s="3" t="inlineStr">
        <is>
          <t xml:space="preserve">3EEM</t>
        </is>
      </c>
      <c r="B253" s="3" cm="1">
        <f t="array" ref="B253">IFERROR(INDEX(_xlfn._xlws.FILTER(CONFIG_ASIGNATURAS!$B$2:$B$61,(CONFIG_ASIGNATURAS!$G$2:$G$61="Sí")*ISNUMBER(SEARCH("3EEM",CONFIG_ASIGNATURAS!$C$2:$C$61))),60),"")</f>
      </c>
      <c r="C253" s="3">
        <f>IF(B253="","",IFERROR(IF(VLOOKUP(B253,CONFIG_ASIGNATURAS!$B$2:$F$61,5,FALSE())="Sí","Especialidad","Asignatura"),"Asignatura"))</f>
      </c>
      <c r="D253">
        <f>IF(V253="Sí",COUNTIFS(DATOS!G:G,CONFIG_METADATA!$B$4,DATOS!D:D,A253,DATOS!I:I,B253),"")</f>
        <v>0</v>
      </c>
      <c r="E253" s="14" t="str">
        <f>IF(V253="Sí",IFERROR(AVERAGEIFS(DATOS!K:K,DATOS!G:G,CONFIG_METADATA!$B$4,DATOS!D:D,A253,DATOS!I:I,B253),"—"),"")</f>
        <v>—</v>
      </c>
      <c r="F253" s="14" t="str" cm="1">
        <f t="array" ref="F253">IF(V253="Sí",IFERROR(_xlfn.STDEV.P(IF((DATOS!$G$2:$G$20000=CONFIG_METADATA!$B$4)*(DATOS!$D$2:$D$20000=A253)*(DATOS!$I$2:$I$20000=B253),DATOS!$K$2:$K$20000)),"—"),"")</f>
        <v>—</v>
      </c>
      <c r="G253" t="str" cm="1">
        <f t="array" ref="G253">IF(V253="Sí",IFERROR(_xlfn.MODE.SNGL(IF((DATOS!$G$2:$G$20000=CONFIG_METADATA!$B$4)*(DATOS!$D$2:$D$20000=A253)*(DATOS!$I$2:$I$20000=B253),DATOS!$K$2:$K$20000)),"—"),"")</f>
        <v>—</v>
      </c>
      <c r="H253" s="15" t="str">
        <f>IF(V253="Sí",IFERROR(COUNTIFS(DATOS!G:G,CONFIG_METADATA!$B$4,DATOS!D:D,A253,DATOS!I:I,B253,DATOS!L:L,"S")/COUNTIFS(DATOS!G:G,CONFIG_METADATA!$B$4,DATOS!D:D,A253,DATOS!I:I,B253),"—"),"")</f>
        <v>—</v>
      </c>
      <c r="I253" s="15" t="str">
        <f>IF(V253="Sí",IFERROR(COUNTIFS(DATOS!G:G,CONFIG_METADATA!$B$4,DATOS!D:D,A253,DATOS!I:I,B253,DATOS!L:L,"N")/COUNTIFS(DATOS!G:G,CONFIG_METADATA!$B$4,DATOS!D:D,A253,DATOS!I:I,B253),"—"),"")</f>
        <v>—</v>
      </c>
      <c r="J253" t="str" cm="1">
        <f t="array" ref="J253">IF(V253="Sí",IFERROR(_xlfn.MODE.SNGL(IF((DATOS!$G$2:$G$20000=CONFIG_METADATA!$B$4)*(DATOS!$D$2:$D$20000=A253)*(DATOS!$I$2:$I$20000=B253)*(DATOS!$L$2:$L$20000="S"),DATOS!$K$2:$K$20000)),"—"),"")</f>
        <v>—</v>
      </c>
      <c r="K253" t="str" cm="1">
        <f t="array" ref="K253">IF(V253="Sí",IFERROR(_xlfn.MODE.SNGL(IF((DATOS!$G$2:$G$20000=CONFIG_METADATA!$B$4)*(DATOS!$D$2:$D$20000=A253)*(DATOS!$I$2:$I$20000=B253)*(DATOS!$L$2:$L$20000="N"),DATOS!$K$2:$K$20000)),"—"),"")</f>
        <v>—</v>
      </c>
      <c r="L253">
        <f>IF(V253="Sí",COUNTIFS(DATOS!G:G,CONFIG_METADATA!$B$4,DATOS!D:D,A253,DATOS!I:I,B253,DATOS!K:K,1),"")</f>
        <v>0</v>
      </c>
      <c r="M253">
        <f>IF(V253="Sí",COUNTIFS(DATOS!G:G,CONFIG_METADATA!$B$4,DATOS!D:D,A253,DATOS!I:I,B253,DATOS!K:K,2),"")</f>
        <v>0</v>
      </c>
      <c r="N253">
        <f>IF(V253="Sí",COUNTIFS(DATOS!G:G,CONFIG_METADATA!$B$4,DATOS!D:D,A253,DATOS!I:I,B253,DATOS!K:K,3),"")</f>
        <v>0</v>
      </c>
      <c r="O253">
        <f>IF(V253="Sí",COUNTIFS(DATOS!G:G,CONFIG_METADATA!$B$4,DATOS!D:D,A253,DATOS!I:I,B253,DATOS!K:K,4),"")</f>
        <v>0</v>
      </c>
      <c r="P253">
        <f>IF(V253="Sí",COUNTIFS(DATOS!G:G,CONFIG_METADATA!$B$4,DATOS!D:D,A253,DATOS!I:I,B253,DATOS!K:K,5),"")</f>
        <v>0</v>
      </c>
      <c r="Q253">
        <f>IF(V253="Sí",COUNTIFS(DATOS!G:G,CONFIG_METADATA!$B$4,DATOS!D:D,A253,DATOS!I:I,B253,DATOS!K:K,6),"")</f>
        <v>0</v>
      </c>
      <c r="R253">
        <f>IF(V253="Sí",COUNTIFS(DATOS!G:G,CONFIG_METADATA!$B$4,DATOS!D:D,A253,DATOS!I:I,B253,DATOS!K:K,7),"")</f>
        <v>0</v>
      </c>
      <c r="S253">
        <f>IF(V253="Sí",COUNTIFS(DATOS!G:G,CONFIG_METADATA!$B$4,DATOS!D:D,A253,DATOS!I:I,B253,DATOS!K:K,8),"")</f>
        <v>0</v>
      </c>
      <c r="T253">
        <f>IF(V253="Sí",COUNTIFS(DATOS!G:G,CONFIG_METADATA!$B$4,DATOS!D:D,A253,DATOS!I:I,B253,DATOS!K:K,9),"")</f>
        <v>0</v>
      </c>
      <c r="U253">
        <f>IF(V253="Sí",COUNTIFS(DATOS!G:G,CONFIG_METADATA!$B$4,DATOS!D:D,A253,DATOS!I:I,B253,DATOS!K:K,10),"")</f>
        <v>0</v>
      </c>
      <c r="V253" t="str">
        <f>IFERROR(IF(ISERROR(FIND(A253,VLOOKUP(B253,CONFIG_ASIGNATURAS!B:C,2,FALSE()))),"No","Sí"),"No")</f>
        <v>Sí</v>
      </c>
    </row>
    <row r="254" spans="1:22">
      <c r="A254" s="3" t="inlineStr">
        <is>
          <t xml:space="preserve">4EEM</t>
        </is>
      </c>
      <c r="B254" s="3" t="inlineStr">
        <is>
          <t xml:space="preserve">Total</t>
        </is>
      </c>
      <c r="C254" s="3" t="inlineStr">
        <is>
          <t xml:space="preserve">Total</t>
        </is>
      </c>
      <c r="D254">
        <f>COUNTIFS(DATOS!G:G,CONFIG_METADATA!$B$4,DATOS!D:D,A254)</f>
        <v>0</v>
      </c>
      <c r="E254" s="14" t="str">
        <f>IFERROR(AVERAGEIFS(DATOS!K:K,DATOS!G:G,CONFIG_METADATA!$B$4,DATOS!D:D,A254),"—")</f>
        <v>—</v>
      </c>
      <c r="F254" s="14" t="str" cm="1">
        <f t="array" ref="F254">IFERROR(_xlfn.STDEV.P(IF((DATOS!$G$2:$G$20000=CONFIG_METADATA!$B$4)*(DATOS!$D$2:$D$20000=A254),DATOS!$K$2:$K$20000)),"—")</f>
        <v>—</v>
      </c>
      <c r="G254" t="str" cm="1">
        <f t="array" ref="G254">IFERROR(_xlfn.MODE.SNGL(IF((DATOS!$G$2:$G$20000=CONFIG_METADATA!$B$4)*(DATOS!$D$2:$D$20000=A254),DATOS!$K$2:$K$20000)),"—")</f>
        <v>—</v>
      </c>
      <c r="H254" s="15" t="str">
        <f>IFERROR(COUNTIFS(DATOS!$G$2:$G$20000,CONFIG_METADATA!$B$4,DATOS!$D$2:$D$20000,A254,DATOS!$L$2:$L$20000,"S")/COUNTIFS(DATOS!$G$2:$G$20000,CONFIG_METADATA!$B$4,DATOS!$D$2:$D$20000,A254),"—")</f>
        <v>—</v>
      </c>
      <c r="I254" s="15" t="str">
        <f>IFERROR(COUNTIFS(DATOS!$G$2:$G$20000,CONFIG_METADATA!$B$4,DATOS!$D$2:$D$20000,A254,DATOS!$L$2:$L$20000,"N")/COUNTIFS(DATOS!$G$2:$G$20000,CONFIG_METADATA!$B$4,DATOS!$D$2:$D$20000,A254),"—")</f>
        <v>—</v>
      </c>
      <c r="J254" t="str" cm="1">
        <f t="array" ref="J254">IFERROR(_xlfn.MODE.SNGL(IF((DATOS!$G$2:$G$20000=CONFIG_METADATA!$B$4)*(DATOS!$D$2:$D$20000=A254)*(DATOS!$L$2:$L$20000="S"),DATOS!$K$2:$K$20000)),"—")</f>
        <v>—</v>
      </c>
      <c r="K254" t="str" cm="1">
        <f t="array" ref="K254">IFERROR(_xlfn.MODE.SNGL(IF((DATOS!$G$2:$G$20000=CONFIG_METADATA!$B$4)*(DATOS!$D$2:$D$20000=A254)*(DATOS!$L$2:$L$20000="N"),DATOS!$K$2:$K$20000)),"—")</f>
        <v>—</v>
      </c>
      <c r="L254" cm="1">
        <f t="array" ref="L254">SUMPRODUCT((DATOS!$G$2:$G$20000=CONFIG_METADATA!$B$4)*(DATOS!$D$2:$D$20000=A254)*(DATOS!$K$2:$K$20000=1))</f>
        <v>0</v>
      </c>
      <c r="M254" cm="1">
        <f t="array" ref="M254">SUMPRODUCT((DATOS!$G$2:$G$20000=CONFIG_METADATA!$B$4)*(DATOS!$D$2:$D$20000=A254)*(DATOS!$K$2:$K$20000=2))</f>
        <v>0</v>
      </c>
      <c r="N254" cm="1">
        <f t="array" ref="N254">SUMPRODUCT((DATOS!$G$2:$G$20000=CONFIG_METADATA!$B$4)*(DATOS!$D$2:$D$20000=A254)*(DATOS!$K$2:$K$20000=3))</f>
        <v>0</v>
      </c>
      <c r="O254" cm="1">
        <f t="array" ref="O254">SUMPRODUCT((DATOS!$G$2:$G$20000=CONFIG_METADATA!$B$4)*(DATOS!$D$2:$D$20000=A254)*(DATOS!$K$2:$K$20000=4))</f>
        <v>0</v>
      </c>
      <c r="P254" cm="1">
        <f t="array" ref="P254">SUMPRODUCT((DATOS!$G$2:$G$20000=CONFIG_METADATA!$B$4)*(DATOS!$D$2:$D$20000=A254)*(DATOS!$K$2:$K$20000=5))</f>
        <v>0</v>
      </c>
      <c r="Q254" cm="1">
        <f t="array" ref="Q254">SUMPRODUCT((DATOS!$G$2:$G$20000=CONFIG_METADATA!$B$4)*(DATOS!$D$2:$D$20000=A254)*(DATOS!$K$2:$K$20000=6))</f>
        <v>0</v>
      </c>
      <c r="R254" cm="1">
        <f t="array" ref="R254">SUMPRODUCT((DATOS!$G$2:$G$20000=CONFIG_METADATA!$B$4)*(DATOS!$D$2:$D$20000=A254)*(DATOS!$K$2:$K$20000=7))</f>
        <v>0</v>
      </c>
      <c r="S254" cm="1">
        <f t="array" ref="S254">SUMPRODUCT((DATOS!$G$2:$G$20000=CONFIG_METADATA!$B$4)*(DATOS!$D$2:$D$20000=A254)*(DATOS!$K$2:$K$20000=8))</f>
        <v>0</v>
      </c>
      <c r="T254" cm="1">
        <f t="array" ref="T254">SUMPRODUCT((DATOS!$G$2:$G$20000=CONFIG_METADATA!$B$4)*(DATOS!$D$2:$D$20000=A254)*(DATOS!$K$2:$K$20000=9))</f>
        <v>0</v>
      </c>
      <c r="U254" cm="1">
        <f t="array" ref="U254">SUMPRODUCT((DATOS!$G$2:$G$20000=CONFIG_METADATA!$B$4)*(DATOS!$D$2:$D$20000=A254)*(DATOS!$K$2:$K$20000=10))</f>
        <v>0</v>
      </c>
    </row>
    <row r="255" spans="1:22">
      <c r="A255" s="3" t="inlineStr">
        <is>
          <t xml:space="preserve">4EEM</t>
        </is>
      </c>
      <c r="B255" s="3" t="inlineStr">
        <is>
          <t xml:space="preserve">Total Especialidad</t>
        </is>
      </c>
      <c r="C255" s="3" t="inlineStr">
        <is>
          <t xml:space="preserve">TotalEsp</t>
        </is>
      </c>
      <c r="D255">
        <f>SUMPRODUCT((DATOS!$G$2:$G$20000=CONFIG_METADATA!$B$4)*(DATOS!$D$2:$D$20000=A255)*(COUNTIFS(CONFIG_ASIGNATURAS!$B$2:$B$61,DATOS!$I$2:$I$20000,CONFIG_ASIGNATURAS!$D$2:$D$61,"Especialidad",CONFIG_ASIGNATURAS!$G$2:$G$61,"Sí")&gt;0)*1)</f>
      </c>
      <c r="E255" s="14">
        <f>IFERROR(AVERAGE(IF((DATOS!$G$2:$G$20000=CONFIG_METADATA!$B$4)*(DATOS!$D$2:$D$20000=A255)*(COUNTIFS(CONFIG_ASIGNATURAS!$B$2:$B$61,DATOS!$I$2:$I$20000,CONFIG_ASIGNATURAS!$D$2:$D$61,"Especialidad",CONFIG_ASIGNATURAS!$G$2:$G$61,"Sí")&gt;0),DATOS!$K$2:$K$20000)),"—")</f>
      </c>
      <c r="F255" s="14">
        <f>IFERROR(_xlfn.STDEV.P(IF((DATOS!$G$2:$G$20000=CONFIG_METADATA!$B$4)*(DATOS!$D$2:$D$20000=A255)*(COUNTIFS(CONFIG_ASIGNATURAS!$B$2:$B$61,DATOS!$I$2:$I$20000,CONFIG_ASIGNATURAS!$D$2:$D$61,"Especialidad",CONFIG_ASIGNATURAS!$G$2:$G$61,"Sí")&gt;0),DATOS!$K$2:$K$20000)),"—")</f>
      </c>
      <c r="G255">
        <f>IFERROR(_xlfn.MODE.SNGL(IF((DATOS!$G$2:$G$20000=CONFIG_METADATA!$B$4)*(DATOS!$D$2:$D$20000=A255)*(COUNTIFS(CONFIG_ASIGNATURAS!$B$2:$B$61,DATOS!$I$2:$I$20000,CONFIG_ASIGNATURAS!$D$2:$D$61,"Especialidad",CONFIG_ASIGNATURAS!$G$2:$G$61,"Sí")&gt;0),DATOS!$K$2:$K$20000)),"—")</f>
      </c>
      <c r="H255" s="15">
        <f>IFERROR(SUMPRODUCT((DATOS!$G$2:$G$20000=CONFIG_METADATA!$B$4)*(DATOS!$D$2:$D$20000=A255)*(COUNTIFS(CONFIG_ASIGNATURAS!$B$2:$B$61,DATOS!$I$2:$I$20000,CONFIG_ASIGNATURAS!$D$2:$D$61,"Especialidad",CONFIG_ASIGNATURAS!$G$2:$G$61,"Sí")&gt;0)*(DATOS!$L$2:$L$20000="S"))/SUMPRODUCT((DATOS!$G$2:$G$20000=CONFIG_METADATA!$B$4)*(DATOS!$D$2:$D$20000=A255)*(COUNTIFS(CONFIG_ASIGNATURAS!$B$2:$B$61,DATOS!$I$2:$I$20000,CONFIG_ASIGNATURAS!$D$2:$D$61,"Especialidad",CONFIG_ASIGNATURAS!$G$2:$G$61,"Sí")&gt;0)*1),"—")</f>
      </c>
      <c r="I255" s="15">
        <f>IFERROR(SUMPRODUCT((DATOS!$G$2:$G$20000=CONFIG_METADATA!$B$4)*(DATOS!$D$2:$D$20000=A255)*(COUNTIFS(CONFIG_ASIGNATURAS!$B$2:$B$61,DATOS!$I$2:$I$20000,CONFIG_ASIGNATURAS!$D$2:$D$61,"Especialidad",CONFIG_ASIGNATURAS!$G$2:$G$61,"Sí")&gt;0)*(DATOS!$L$2:$L$20000="N"))/SUMPRODUCT((DATOS!$G$2:$G$20000=CONFIG_METADATA!$B$4)*(DATOS!$D$2:$D$20000=A255)*(COUNTIFS(CONFIG_ASIGNATURAS!$B$2:$B$61,DATOS!$I$2:$I$20000,CONFIG_ASIGNATURAS!$D$2:$D$61,"Especialidad",CONFIG_ASIGNATURAS!$G$2:$G$61,"Sí")&gt;0)*1),"—")</f>
      </c>
      <c r="J255">
        <f>IFERROR(_xlfn.MODE.SNGL(IF((DATOS!$G$2:$G$20000=CONFIG_METADATA!$B$4)*(DATOS!$D$2:$D$20000=A255)*(COUNTIFS(CONFIG_ASIGNATURAS!$B$2:$B$61,DATOS!$I$2:$I$20000,CONFIG_ASIGNATURAS!$D$2:$D$61,"Especialidad",CONFIG_ASIGNATURAS!$G$2:$G$61,"Sí")&gt;0)*(DATOS!$L$2:$L$20000="S"),DATOS!$K$2:$K$20000)),"—")</f>
      </c>
      <c r="K255">
        <f>IFERROR(_xlfn.MODE.SNGL(IF((DATOS!$G$2:$G$20000=CONFIG_METADATA!$B$4)*(DATOS!$D$2:$D$20000=A255)*(COUNTIFS(CONFIG_ASIGNATURAS!$B$2:$B$61,DATOS!$I$2:$I$20000,CONFIG_ASIGNATURAS!$D$2:$D$61,"Especialidad",CONFIG_ASIGNATURAS!$G$2:$G$61,"Sí")&gt;0)*(DATOS!$L$2:$L$20000="N"),DATOS!$K$2:$K$20000)),"—")</f>
      </c>
      <c r="L255">
        <f>SUMPRODUCT((DATOS!$G$2:$G$20000=CONFIG_METADATA!$B$4)*(DATOS!$D$2:$D$20000=A255)*(COUNTIFS(CONFIG_ASIGNATURAS!$B$2:$B$61,DATOS!$I$2:$I$20000,CONFIG_ASIGNATURAS!$D$2:$D$61,"Especialidad",CONFIG_ASIGNATURAS!$G$2:$G$61,"Sí")&gt;0)*(DATOS!$K$2:$K$20000=1))</f>
      </c>
      <c r="M255">
        <f>SUMPRODUCT((DATOS!$G$2:$G$20000=CONFIG_METADATA!$B$4)*(DATOS!$D$2:$D$20000=A255)*(COUNTIFS(CONFIG_ASIGNATURAS!$B$2:$B$61,DATOS!$I$2:$I$20000,CONFIG_ASIGNATURAS!$D$2:$D$61,"Especialidad",CONFIG_ASIGNATURAS!$G$2:$G$61,"Sí")&gt;0)*(DATOS!$K$2:$K$20000=2))</f>
      </c>
      <c r="N255">
        <f>SUMPRODUCT((DATOS!$G$2:$G$20000=CONFIG_METADATA!$B$4)*(DATOS!$D$2:$D$20000=A255)*(COUNTIFS(CONFIG_ASIGNATURAS!$B$2:$B$61,DATOS!$I$2:$I$20000,CONFIG_ASIGNATURAS!$D$2:$D$61,"Especialidad",CONFIG_ASIGNATURAS!$G$2:$G$61,"Sí")&gt;0)*(DATOS!$K$2:$K$20000=3))</f>
      </c>
      <c r="O255">
        <f>SUMPRODUCT((DATOS!$G$2:$G$20000=CONFIG_METADATA!$B$4)*(DATOS!$D$2:$D$20000=A255)*(COUNTIFS(CONFIG_ASIGNATURAS!$B$2:$B$61,DATOS!$I$2:$I$20000,CONFIG_ASIGNATURAS!$D$2:$D$61,"Especialidad",CONFIG_ASIGNATURAS!$G$2:$G$61,"Sí")&gt;0)*(DATOS!$K$2:$K$20000=4))</f>
      </c>
      <c r="P255">
        <f>SUMPRODUCT((DATOS!$G$2:$G$20000=CONFIG_METADATA!$B$4)*(DATOS!$D$2:$D$20000=A255)*(COUNTIFS(CONFIG_ASIGNATURAS!$B$2:$B$61,DATOS!$I$2:$I$20000,CONFIG_ASIGNATURAS!$D$2:$D$61,"Especialidad",CONFIG_ASIGNATURAS!$G$2:$G$61,"Sí")&gt;0)*(DATOS!$K$2:$K$20000=5))</f>
      </c>
      <c r="Q255">
        <f>SUMPRODUCT((DATOS!$G$2:$G$20000=CONFIG_METADATA!$B$4)*(DATOS!$D$2:$D$20000=A255)*(COUNTIFS(CONFIG_ASIGNATURAS!$B$2:$B$61,DATOS!$I$2:$I$20000,CONFIG_ASIGNATURAS!$D$2:$D$61,"Especialidad",CONFIG_ASIGNATURAS!$G$2:$G$61,"Sí")&gt;0)*(DATOS!$K$2:$K$20000=6))</f>
      </c>
      <c r="R255">
        <f>SUMPRODUCT((DATOS!$G$2:$G$20000=CONFIG_METADATA!$B$4)*(DATOS!$D$2:$D$20000=A255)*(COUNTIFS(CONFIG_ASIGNATURAS!$B$2:$B$61,DATOS!$I$2:$I$20000,CONFIG_ASIGNATURAS!$D$2:$D$61,"Especialidad",CONFIG_ASIGNATURAS!$G$2:$G$61,"Sí")&gt;0)*(DATOS!$K$2:$K$20000=7))</f>
      </c>
      <c r="S255">
        <f>SUMPRODUCT((DATOS!$G$2:$G$20000=CONFIG_METADATA!$B$4)*(DATOS!$D$2:$D$20000=A255)*(COUNTIFS(CONFIG_ASIGNATURAS!$B$2:$B$61,DATOS!$I$2:$I$20000,CONFIG_ASIGNATURAS!$D$2:$D$61,"Especialidad",CONFIG_ASIGNATURAS!$G$2:$G$61,"Sí")&gt;0)*(DATOS!$K$2:$K$20000=8))</f>
      </c>
      <c r="T255">
        <f>SUMPRODUCT((DATOS!$G$2:$G$20000=CONFIG_METADATA!$B$4)*(DATOS!$D$2:$D$20000=A255)*(COUNTIFS(CONFIG_ASIGNATURAS!$B$2:$B$61,DATOS!$I$2:$I$20000,CONFIG_ASIGNATURAS!$D$2:$D$61,"Especialidad",CONFIG_ASIGNATURAS!$G$2:$G$61,"Sí")&gt;0)*(DATOS!$K$2:$K$20000=9))</f>
      </c>
      <c r="U255">
        <f>SUMPRODUCT((DATOS!$G$2:$G$20000=CONFIG_METADATA!$B$4)*(DATOS!$D$2:$D$20000=A255)*(COUNTIFS(CONFIG_ASIGNATURAS!$B$2:$B$61,DATOS!$I$2:$I$20000,CONFIG_ASIGNATURAS!$D$2:$D$61,"Especialidad",CONFIG_ASIGNATURAS!$G$2:$G$61,"Sí")&gt;0)*(DATOS!$K$2:$K$20000=10))</f>
      </c>
    </row>
    <row r="256" spans="1:22">
      <c r="A256" s="3" t="inlineStr">
        <is>
          <t xml:space="preserve">4EEM</t>
        </is>
      </c>
      <c r="B256" s="3" t="inlineStr">
        <is>
          <t xml:space="preserve">Total no Especialidad</t>
        </is>
      </c>
      <c r="C256" s="3" t="inlineStr">
        <is>
          <t xml:space="preserve">TotalNoEsp</t>
        </is>
      </c>
      <c r="D256">
        <f>SUMPRODUCT((DATOS!$G$2:$G$20000=CONFIG_METADATA!$B$4)*(DATOS!$D$2:$D$20000=A256)*(COUNTIFS(CONFIG_ASIGNATURAS!$B$2:$B$61,DATOS!$I$2:$I$20000,CONFIG_ASIGNATURAS!$D$2:$D$61,"&lt;&gt;Especialidad",CONFIG_ASIGNATURAS!$G$2:$G$61,"Sí")&gt;0)*1)</f>
      </c>
      <c r="E256" s="14">
        <f>IFERROR(AVERAGE(IF((DATOS!$G$2:$G$20000=CONFIG_METADATA!$B$4)*(DATOS!$D$2:$D$20000=A256)*(COUNTIFS(CONFIG_ASIGNATURAS!$B$2:$B$61,DATOS!$I$2:$I$20000,CONFIG_ASIGNATURAS!$D$2:$D$61,"&lt;&gt;Especialidad",CONFIG_ASIGNATURAS!$G$2:$G$61,"Sí")&gt;0),DATOS!$K$2:$K$20000)),"—")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F256" s="14">
        <f>IFERROR(_xlfn.STDEV.P(IF((DATOS!$G$2:$G$20000=CONFIG_METADATA!$B$4)*(DATOS!$D$2:$D$20000=A256)*(COUNTIFS(CONFIG_ASIGNATURAS!$B$2:$B$61,DATOS!$I$2:$I$20000,CONFIG_ASIGNATURAS!$D$2:$D$61,"&lt;&gt;Especialidad",CONFIG_ASIGNATURAS!$G$2:$G$61,"Sí")&gt;0),DATOS!$K$2:$K$20000)),"—")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G256">
        <f>IFERROR(_xlfn.MODE.SNGL(IF((DATOS!$G$2:$G$20000=CONFIG_METADATA!$B$4)*(DATOS!$D$2:$D$20000=A256)*(COUNTIFS(CONFIG_ASIGNATURAS!$B$2:$B$61,DATOS!$I$2:$I$20000,CONFIG_ASIGNATURAS!$D$2:$D$61,"&lt;&gt;Especialidad",CONFIG_ASIGNATURAS!$G$2:$G$61,"Sí")&gt;0),DATOS!$K$2:$K$20000)),"—")</f>
      </c>
      <c r="H256" s="15">
        <f>IFERROR(SUMPRODUCT((DATOS!$G$2:$G$20000=CONFIG_METADATA!$B$4)*(DATOS!$D$2:$D$20000=A256)*(COUNTIFS(CONFIG_ASIGNATURAS!$B$2:$B$61,DATOS!$I$2:$I$20000,CONFIG_ASIGNATURAS!$D$2:$D$61,"&lt;&gt;Especialidad",CONFIG_ASIGNATURAS!$G$2:$G$61,"Sí")&gt;0)*(DATOS!$L$2:$L$20000="S"))/SUMPRODUCT((DATOS!$G$2:$G$20000=CONFIG_METADATA!$B$4)*(DATOS!$D$2:$D$20000=A256)*(COUNTIFS(CONFIG_ASIGNATURAS!$B$2:$B$61,DATOS!$I$2:$I$20000,CONFIG_ASIGNATURAS!$D$2:$D$61,"&lt;&gt;Especialidad",CONFIG_ASIGNATURAS!$G$2:$G$61,"Sí")&gt;0)*1),"—")</f>
      </c>
      <c r="I256" s="15">
        <f>IFERROR(SUMPRODUCT((DATOS!$G$2:$G$20000=CONFIG_METADATA!$B$4)*(DATOS!$D$2:$D$20000=A256)*(COUNTIFS(CONFIG_ASIGNATURAS!$B$2:$B$61,DATOS!$I$2:$I$20000,CONFIG_ASIGNATURAS!$D$2:$D$61,"&lt;&gt;Especialidad",CONFIG_ASIGNATURAS!$G$2:$G$61,"Sí")&gt;0)*(DATOS!$L$2:$L$20000="N"))/SUMPRODUCT((DATOS!$G$2:$G$20000=CONFIG_METADATA!$B$4)*(DATOS!$D$2:$D$20000=A256)*(COUNTIFS(CONFIG_ASIGNATURAS!$B$2:$B$61,DATOS!$I$2:$I$20000,CONFIG_ASIGNATURAS!$D$2:$D$61,"&lt;&gt;Especialidad",CONFIG_ASIGNATURAS!$G$2:$G$61,"Sí")&gt;0)*1),"—")</f>
      </c>
      <c r="J256">
        <f>IFERROR(_xlfn.MODE.SNGL(IF((DATOS!$G$2:$G$20000=CONFIG_METADATA!$B$4)*(DATOS!$D$2:$D$20000=A256)*(COUNTIFS(CONFIG_ASIGNATURAS!$B$2:$B$61,DATOS!$I$2:$I$20000,CONFIG_ASIGNATURAS!$D$2:$D$61,"&lt;&gt;Especialidad",CONFIG_ASIGNATURAS!$G$2:$G$61,"Sí")&gt;0)*(DATOS!$L$2:$L$20000="S"),DATOS!$K$2:$K$20000)),"—")</f>
      </c>
      <c r="K256">
        <f>IFERROR(_xlfn.MODE.SNGL(IF((DATOS!$G$2:$G$20000=CONFIG_METADATA!$B$4)*(DATOS!$D$2:$D$20000=A256)*(COUNTIFS(CONFIG_ASIGNATURAS!$B$2:$B$61,DATOS!$I$2:$I$20000,CONFIG_ASIGNATURAS!$D$2:$D$61,"&lt;&gt;Especialidad",CONFIG_ASIGNATURAS!$G$2:$G$61,"Sí")&gt;0)*(DATOS!$L$2:$L$20000="N"),DATOS!$K$2:$K$20000)),"—")</f>
      </c>
      <c r="L256">
        <f>SUMPRODUCT((DATOS!$G$2:$G$20000=CONFIG_METADATA!$B$4)*(DATOS!$D$2:$D$20000=A256)*(COUNTIFS(CONFIG_ASIGNATURAS!$B$2:$B$61,DATOS!$I$2:$I$20000,CONFIG_ASIGNATURAS!$D$2:$D$61,"&lt;&gt;Especialidad",CONFIG_ASIGNATURAS!$G$2:$G$61,"Sí")&gt;0)*(DATOS!$K$2:$K$20000=1))</f>
      </c>
      <c r="M256">
        <f>SUMPRODUCT((DATOS!$G$2:$G$20000=CONFIG_METADATA!$B$4)*(DATOS!$D$2:$D$20000=A256)*(COUNTIFS(CONFIG_ASIGNATURAS!$B$2:$B$61,DATOS!$I$2:$I$20000,CONFIG_ASIGNATURAS!$D$2:$D$61,"&lt;&gt;Especialidad",CONFIG_ASIGNATURAS!$G$2:$G$61,"Sí")&gt;0)*(DATOS!$K$2:$K$20000=2))</f>
      </c>
      <c r="N256">
        <f>SUMPRODUCT((DATOS!$G$2:$G$20000=CONFIG_METADATA!$B$4)*(DATOS!$D$2:$D$20000=A256)*(COUNTIFS(CONFIG_ASIGNATURAS!$B$2:$B$61,DATOS!$I$2:$I$20000,CONFIG_ASIGNATURAS!$D$2:$D$61,"&lt;&gt;Especialidad",CONFIG_ASIGNATURAS!$G$2:$G$61,"Sí")&gt;0)*(DATOS!$K$2:$K$20000=3))</f>
      </c>
      <c r="O256">
        <f>SUMPRODUCT((DATOS!$G$2:$G$20000=CONFIG_METADATA!$B$4)*(DATOS!$D$2:$D$20000=A256)*(COUNTIFS(CONFIG_ASIGNATURAS!$B$2:$B$61,DATOS!$I$2:$I$20000,CONFIG_ASIGNATURAS!$D$2:$D$61,"&lt;&gt;Especialidad",CONFIG_ASIGNATURAS!$G$2:$G$61,"Sí")&gt;0)*(DATOS!$K$2:$K$20000=4))</f>
      </c>
      <c r="P256">
        <f>SUMPRODUCT((DATOS!$G$2:$G$20000=CONFIG_METADATA!$B$4)*(DATOS!$D$2:$D$20000=A256)*(COUNTIFS(CONFIG_ASIGNATURAS!$B$2:$B$61,DATOS!$I$2:$I$20000,CONFIG_ASIGNATURAS!$D$2:$D$61,"&lt;&gt;Especialidad",CONFIG_ASIGNATURAS!$G$2:$G$61,"Sí")&gt;0)*(DATOS!$K$2:$K$20000=5))</f>
      </c>
      <c r="Q256">
        <f>SUMPRODUCT((DATOS!$G$2:$G$20000=CONFIG_METADATA!$B$4)*(DATOS!$D$2:$D$20000=A256)*(COUNTIFS(CONFIG_ASIGNATURAS!$B$2:$B$61,DATOS!$I$2:$I$20000,CONFIG_ASIGNATURAS!$D$2:$D$61,"&lt;&gt;Especialidad",CONFIG_ASIGNATURAS!$G$2:$G$61,"Sí")&gt;0)*(DATOS!$K$2:$K$20000=6))</f>
      </c>
      <c r="R256">
        <f>SUMPRODUCT((DATOS!$G$2:$G$20000=CONFIG_METADATA!$B$4)*(DATOS!$D$2:$D$20000=A256)*(COUNTIFS(CONFIG_ASIGNATURAS!$B$2:$B$61,DATOS!$I$2:$I$20000,CONFIG_ASIGNATURAS!$D$2:$D$61,"&lt;&gt;Especialidad",CONFIG_ASIGNATURAS!$G$2:$G$61,"Sí")&gt;0)*(DATOS!$K$2:$K$20000=7))</f>
      </c>
      <c r="S256">
        <f>SUMPRODUCT((DATOS!$G$2:$G$20000=CONFIG_METADATA!$B$4)*(DATOS!$D$2:$D$20000=A256)*(COUNTIFS(CONFIG_ASIGNATURAS!$B$2:$B$61,DATOS!$I$2:$I$20000,CONFIG_ASIGNATURAS!$D$2:$D$61,"&lt;&gt;Especialidad",CONFIG_ASIGNATURAS!$G$2:$G$61,"Sí")&gt;0)*(DATOS!$K$2:$K$20000=8))</f>
      </c>
      <c r="T256">
        <f>SUMPRODUCT((DATOS!$G$2:$G$20000=CONFIG_METADATA!$B$4)*(DATOS!$D$2:$D$20000=A256)*(COUNTIFS(CONFIG_ASIGNATURAS!$B$2:$B$61,DATOS!$I$2:$I$20000,CONFIG_ASIGNATURAS!$D$2:$D$61,"&lt;&gt;Especialidad",CONFIG_ASIGNATURAS!$G$2:$G$61,"Sí")&gt;0)*(DATOS!$K$2:$K$20000=9))</f>
      </c>
      <c r="U256">
        <f>SUMPRODUCT((DATOS!$G$2:$G$20000=CONFIG_METADATA!$B$4)*(DATOS!$D$2:$D$20000=A256)*(COUNTIFS(CONFIG_ASIGNATURAS!$B$2:$B$61,DATOS!$I$2:$I$20000,CONFIG_ASIGNATURAS!$D$2:$D$61,"&lt;&gt;Especialidad",CONFIG_ASIGNATURAS!$G$2:$G$61,"Sí")&gt;0)*(DATOS!$K$2:$K$20000=10))</f>
      </c>
    </row>
    <row r="257" spans="1:22">
      <c r="A257" s="3" t="inlineStr">
        <is>
          <t xml:space="preserve">4EEM</t>
        </is>
      </c>
      <c r="B257" s="3" cm="1">
        <f t="array" ref="B257">IFERROR(INDEX(_xlfn._xlws.FILTER(CONFIG_ASIGNATURAS!$B$2:$B$61,(CONFIG_ASIGNATURAS!$G$2:$G$61="Sí")*ISNUMBER(SEARCH("4EEM",CONFIG_ASIGNATURAS!$C$2:$C$61))),1),"")</f>
      </c>
      <c r="C257" s="3">
        <f>IF(B257="","",IFERROR(IF(VLOOKUP(B257,CONFIG_ASIGNATURAS!$B$2:$F$61,5,FALSE())="Sí","Especialidad","Asignatura"),"Asignatura"))</f>
      </c>
      <c r="D257">
        <f>IF(V257="Sí",COUNTIFS(DATOS!G:G,CONFIG_METADATA!$B$4,DATOS!D:D,A257,DATOS!I:I,B257),"")</f>
        <v>0</v>
      </c>
      <c r="E257" s="14" t="str">
        <f>IF(V257="Sí",IFERROR(AVERAGEIFS(DATOS!K:K,DATOS!G:G,CONFIG_METADATA!$B$4,DATOS!D:D,A257,DATOS!I:I,B257),"—"),"")</f>
        <v>—</v>
      </c>
      <c r="F257" s="14" t="str" cm="1">
        <f t="array" ref="F257">IF(V257="Sí",IFERROR(_xlfn.STDEV.P(IF((DATOS!$G$2:$G$20000=CONFIG_METADATA!$B$4)*(DATOS!$D$2:$D$20000=A257)*(DATOS!$I$2:$I$20000=B257),DATOS!$K$2:$K$20000)),"—"),"")</f>
        <v>—</v>
      </c>
      <c r="G257" t="str" cm="1">
        <f t="array" ref="G257">IF(V257="Sí",IFERROR(_xlfn.MODE.SNGL(IF((DATOS!$G$2:$G$20000=CONFIG_METADATA!$B$4)*(DATOS!$D$2:$D$20000=A257)*(DATOS!$I$2:$I$20000=B257),DATOS!$K$2:$K$20000)),"—"),"")</f>
        <v>—</v>
      </c>
      <c r="H257" s="15" t="str">
        <f>IF(V257="Sí",IFERROR(COUNTIFS(DATOS!G:G,CONFIG_METADATA!$B$4,DATOS!D:D,A257,DATOS!I:I,B257,DATOS!L:L,"S")/COUNTIFS(DATOS!G:G,CONFIG_METADATA!$B$4,DATOS!D:D,A257,DATOS!I:I,B257),"—"),"")</f>
        <v>—</v>
      </c>
      <c r="I257" s="15" t="str">
        <f>IF(V257="Sí",IFERROR(COUNTIFS(DATOS!G:G,CONFIG_METADATA!$B$4,DATOS!D:D,A257,DATOS!I:I,B257,DATOS!L:L,"N")/COUNTIFS(DATOS!G:G,CONFIG_METADATA!$B$4,DATOS!D:D,A257,DATOS!I:I,B257),"—"),"")</f>
        <v>—</v>
      </c>
      <c r="J257" t="str" cm="1">
        <f t="array" ref="J257">IF(V257="Sí",IFERROR(_xlfn.MODE.SNGL(IF((DATOS!$G$2:$G$20000=CONFIG_METADATA!$B$4)*(DATOS!$D$2:$D$20000=A257)*(DATOS!$I$2:$I$20000=B257)*(DATOS!$L$2:$L$20000="S"),DATOS!$K$2:$K$20000)),"—"),"")</f>
        <v>—</v>
      </c>
      <c r="K257" t="str" cm="1">
        <f t="array" ref="K257">IF(V257="Sí",IFERROR(_xlfn.MODE.SNGL(IF((DATOS!$G$2:$G$20000=CONFIG_METADATA!$B$4)*(DATOS!$D$2:$D$20000=A257)*(DATOS!$I$2:$I$20000=B257)*(DATOS!$L$2:$L$20000="N"),DATOS!$K$2:$K$20000)),"—"),"")</f>
        <v>—</v>
      </c>
      <c r="L257">
        <f>IF(V257="Sí",COUNTIFS(DATOS!G:G,CONFIG_METADATA!$B$4,DATOS!D:D,A257,DATOS!I:I,B257,DATOS!K:K,1),"")</f>
        <v>0</v>
      </c>
      <c r="M257">
        <f>IF(V257="Sí",COUNTIFS(DATOS!G:G,CONFIG_METADATA!$B$4,DATOS!D:D,A257,DATOS!I:I,B257,DATOS!K:K,2),"")</f>
        <v>0</v>
      </c>
      <c r="N257">
        <f>IF(V257="Sí",COUNTIFS(DATOS!G:G,CONFIG_METADATA!$B$4,DATOS!D:D,A257,DATOS!I:I,B257,DATOS!K:K,3),"")</f>
        <v>0</v>
      </c>
      <c r="O257">
        <f>IF(V257="Sí",COUNTIFS(DATOS!G:G,CONFIG_METADATA!$B$4,DATOS!D:D,A257,DATOS!I:I,B257,DATOS!K:K,4),"")</f>
        <v>0</v>
      </c>
      <c r="P257">
        <f>IF(V257="Sí",COUNTIFS(DATOS!G:G,CONFIG_METADATA!$B$4,DATOS!D:D,A257,DATOS!I:I,B257,DATOS!K:K,5),"")</f>
        <v>0</v>
      </c>
      <c r="Q257">
        <f>IF(V257="Sí",COUNTIFS(DATOS!G:G,CONFIG_METADATA!$B$4,DATOS!D:D,A257,DATOS!I:I,B257,DATOS!K:K,6),"")</f>
        <v>0</v>
      </c>
      <c r="R257">
        <f>IF(V257="Sí",COUNTIFS(DATOS!G:G,CONFIG_METADATA!$B$4,DATOS!D:D,A257,DATOS!I:I,B257,DATOS!K:K,7),"")</f>
        <v>0</v>
      </c>
      <c r="S257">
        <f>IF(V257="Sí",COUNTIFS(DATOS!G:G,CONFIG_METADATA!$B$4,DATOS!D:D,A257,DATOS!I:I,B257,DATOS!K:K,8),"")</f>
        <v>0</v>
      </c>
      <c r="T257">
        <f>IF(V257="Sí",COUNTIFS(DATOS!G:G,CONFIG_METADATA!$B$4,DATOS!D:D,A257,DATOS!I:I,B257,DATOS!K:K,9),"")</f>
        <v>0</v>
      </c>
      <c r="U257">
        <f>IF(V257="Sí",COUNTIFS(DATOS!G:G,CONFIG_METADATA!$B$4,DATOS!D:D,A257,DATOS!I:I,B257,DATOS!K:K,10),"")</f>
        <v>0</v>
      </c>
      <c r="V257" t="str">
        <f>IFERROR(IF(ISERROR(FIND(A257,VLOOKUP(B257,CONFIG_ASIGNATURAS!B:C,2,FALSE()))),"No","Sí"),"No")</f>
        <v>Sí</v>
      </c>
    </row>
    <row r="258" spans="1:22">
      <c r="A258" s="3" t="inlineStr">
        <is>
          <t xml:space="preserve">4EEM</t>
        </is>
      </c>
      <c r="B258" s="3" cm="1">
        <f t="array" ref="B258">IFERROR(INDEX(_xlfn._xlws.FILTER(CONFIG_ASIGNATURAS!$B$2:$B$61,(CONFIG_ASIGNATURAS!$G$2:$G$61="Sí")*ISNUMBER(SEARCH("4EEM",CONFIG_ASIGNATURAS!$C$2:$C$61))),2),"")</f>
      </c>
      <c r="C258" s="3">
        <f>IF(B258="","",IFERROR(IF(VLOOKUP(B258,CONFIG_ASIGNATURAS!$B$2:$F$61,5,FALSE())="Sí","Especialidad","Asignatura"),"Asignatura"))</f>
      </c>
      <c r="D258">
        <f>IF(V258="Sí",COUNTIFS(DATOS!G:G,CONFIG_METADATA!$B$4,DATOS!D:D,A258,DATOS!I:I,B258),"")</f>
        <v>0</v>
      </c>
      <c r="E258" s="14" t="str">
        <f>IF(V258="Sí",IFERROR(AVERAGEIFS(DATOS!K:K,DATOS!G:G,CONFIG_METADATA!$B$4,DATOS!D:D,A258,DATOS!I:I,B258),"—"),"")</f>
        <v>—</v>
      </c>
      <c r="F258" s="14" t="str" cm="1">
        <f t="array" ref="F258">IF(V258="Sí",IFERROR(_xlfn.STDEV.P(IF((DATOS!$G$2:$G$20000=CONFIG_METADATA!$B$4)*(DATOS!$D$2:$D$20000=A258)*(DATOS!$I$2:$I$20000=B258),DATOS!$K$2:$K$20000)),"—"),"")</f>
        <v>—</v>
      </c>
      <c r="G258" t="str" cm="1">
        <f t="array" ref="G258">IF(V258="Sí",IFERROR(_xlfn.MODE.SNGL(IF((DATOS!$G$2:$G$20000=CONFIG_METADATA!$B$4)*(DATOS!$D$2:$D$20000=A258)*(DATOS!$I$2:$I$20000=B258),DATOS!$K$2:$K$20000)),"—"),"")</f>
        <v>—</v>
      </c>
      <c r="H258" s="15" t="str">
        <f>IF(V258="Sí",IFERROR(COUNTIFS(DATOS!G:G,CONFIG_METADATA!$B$4,DATOS!D:D,A258,DATOS!I:I,B258,DATOS!L:L,"S")/COUNTIFS(DATOS!G:G,CONFIG_METADATA!$B$4,DATOS!D:D,A258,DATOS!I:I,B258),"—"),"")</f>
        <v>—</v>
      </c>
      <c r="I258" s="15" t="str">
        <f>IF(V258="Sí",IFERROR(COUNTIFS(DATOS!G:G,CONFIG_METADATA!$B$4,DATOS!D:D,A258,DATOS!I:I,B258,DATOS!L:L,"N")/COUNTIFS(DATOS!G:G,CONFIG_METADATA!$B$4,DATOS!D:D,A258,DATOS!I:I,B258),"—"),"")</f>
        <v>—</v>
      </c>
      <c r="J258" t="str" cm="1">
        <f t="array" ref="J258">IF(V258="Sí",IFERROR(_xlfn.MODE.SNGL(IF((DATOS!$G$2:$G$20000=CONFIG_METADATA!$B$4)*(DATOS!$D$2:$D$20000=A258)*(DATOS!$I$2:$I$20000=B258)*(DATOS!$L$2:$L$20000="S"),DATOS!$K$2:$K$20000)),"—"),"")</f>
        <v>—</v>
      </c>
      <c r="K258" t="str" cm="1">
        <f t="array" ref="K258">IF(V258="Sí",IFERROR(_xlfn.MODE.SNGL(IF((DATOS!$G$2:$G$20000=CONFIG_METADATA!$B$4)*(DATOS!$D$2:$D$20000=A258)*(DATOS!$I$2:$I$20000=B258)*(DATOS!$L$2:$L$20000="N"),DATOS!$K$2:$K$20000)),"—"),"")</f>
        <v>—</v>
      </c>
      <c r="L258">
        <f>IF(V258="Sí",COUNTIFS(DATOS!G:G,CONFIG_METADATA!$B$4,DATOS!D:D,A258,DATOS!I:I,B258,DATOS!K:K,1),"")</f>
        <v>0</v>
      </c>
      <c r="M258">
        <f>IF(V258="Sí",COUNTIFS(DATOS!G:G,CONFIG_METADATA!$B$4,DATOS!D:D,A258,DATOS!I:I,B258,DATOS!K:K,2),"")</f>
        <v>0</v>
      </c>
      <c r="N258">
        <f>IF(V258="Sí",COUNTIFS(DATOS!G:G,CONFIG_METADATA!$B$4,DATOS!D:D,A258,DATOS!I:I,B258,DATOS!K:K,3),"")</f>
        <v>0</v>
      </c>
      <c r="O258">
        <f>IF(V258="Sí",COUNTIFS(DATOS!G:G,CONFIG_METADATA!$B$4,DATOS!D:D,A258,DATOS!I:I,B258,DATOS!K:K,4),"")</f>
        <v>0</v>
      </c>
      <c r="P258">
        <f>IF(V258="Sí",COUNTIFS(DATOS!G:G,CONFIG_METADATA!$B$4,DATOS!D:D,A258,DATOS!I:I,B258,DATOS!K:K,5),"")</f>
        <v>0</v>
      </c>
      <c r="Q258">
        <f>IF(V258="Sí",COUNTIFS(DATOS!G:G,CONFIG_METADATA!$B$4,DATOS!D:D,A258,DATOS!I:I,B258,DATOS!K:K,6),"")</f>
        <v>0</v>
      </c>
      <c r="R258">
        <f>IF(V258="Sí",COUNTIFS(DATOS!G:G,CONFIG_METADATA!$B$4,DATOS!D:D,A258,DATOS!I:I,B258,DATOS!K:K,7),"")</f>
        <v>0</v>
      </c>
      <c r="S258">
        <f>IF(V258="Sí",COUNTIFS(DATOS!G:G,CONFIG_METADATA!$B$4,DATOS!D:D,A258,DATOS!I:I,B258,DATOS!K:K,8),"")</f>
        <v>0</v>
      </c>
      <c r="T258">
        <f>IF(V258="Sí",COUNTIFS(DATOS!G:G,CONFIG_METADATA!$B$4,DATOS!D:D,A258,DATOS!I:I,B258,DATOS!K:K,9),"")</f>
        <v>0</v>
      </c>
      <c r="U258">
        <f>IF(V258="Sí",COUNTIFS(DATOS!G:G,CONFIG_METADATA!$B$4,DATOS!D:D,A258,DATOS!I:I,B258,DATOS!K:K,10),"")</f>
        <v>0</v>
      </c>
      <c r="V258" t="str">
        <f>IFERROR(IF(ISERROR(FIND(A258,VLOOKUP(B258,CONFIG_ASIGNATURAS!B:C,2,FALSE()))),"No","Sí"),"No")</f>
        <v>Sí</v>
      </c>
    </row>
    <row r="259" spans="1:22">
      <c r="A259" s="3" t="inlineStr">
        <is>
          <t xml:space="preserve">4EEM</t>
        </is>
      </c>
      <c r="B259" s="3" cm="1">
        <f t="array" ref="B259">IFERROR(INDEX(_xlfn._xlws.FILTER(CONFIG_ASIGNATURAS!$B$2:$B$61,(CONFIG_ASIGNATURAS!$G$2:$G$61="Sí")*ISNUMBER(SEARCH("4EEM",CONFIG_ASIGNATURAS!$C$2:$C$61))),3),"")</f>
      </c>
      <c r="C259" s="3">
        <f>IF(B259="","",IFERROR(IF(VLOOKUP(B259,CONFIG_ASIGNATURAS!$B$2:$F$61,5,FALSE())="Sí","Especialidad","Asignatura"),"Asignatura"))</f>
      </c>
      <c r="D259">
        <f>IF(V259="Sí",COUNTIFS(DATOS!G:G,CONFIG_METADATA!$B$4,DATOS!D:D,A259,DATOS!I:I,B259),"")</f>
        <v>0</v>
      </c>
      <c r="E259" s="14" t="str">
        <f>IF(V259="Sí",IFERROR(AVERAGEIFS(DATOS!K:K,DATOS!G:G,CONFIG_METADATA!$B$4,DATOS!D:D,A259,DATOS!I:I,B259),"—"),"")</f>
        <v>—</v>
      </c>
      <c r="F259" s="14" t="str" cm="1">
        <f t="array" ref="F259">IF(V259="Sí",IFERROR(_xlfn.STDEV.P(IF((DATOS!$G$2:$G$20000=CONFIG_METADATA!$B$4)*(DATOS!$D$2:$D$20000=A259)*(DATOS!$I$2:$I$20000=B259),DATOS!$K$2:$K$20000)),"—"),"")</f>
        <v>—</v>
      </c>
      <c r="G259" t="str" cm="1">
        <f t="array" ref="G259">IF(V259="Sí",IFERROR(_xlfn.MODE.SNGL(IF((DATOS!$G$2:$G$20000=CONFIG_METADATA!$B$4)*(DATOS!$D$2:$D$20000=A259)*(DATOS!$I$2:$I$20000=B259),DATOS!$K$2:$K$20000)),"—"),"")</f>
        <v>—</v>
      </c>
      <c r="H259" s="15" t="str">
        <f>IF(V259="Sí",IFERROR(COUNTIFS(DATOS!G:G,CONFIG_METADATA!$B$4,DATOS!D:D,A259,DATOS!I:I,B259,DATOS!L:L,"S")/COUNTIFS(DATOS!G:G,CONFIG_METADATA!$B$4,DATOS!D:D,A259,DATOS!I:I,B259),"—"),"")</f>
        <v>—</v>
      </c>
      <c r="I259" s="15" t="str">
        <f>IF(V259="Sí",IFERROR(COUNTIFS(DATOS!G:G,CONFIG_METADATA!$B$4,DATOS!D:D,A259,DATOS!I:I,B259,DATOS!L:L,"N")/COUNTIFS(DATOS!G:G,CONFIG_METADATA!$B$4,DATOS!D:D,A259,DATOS!I:I,B259),"—"),"")</f>
        <v>—</v>
      </c>
      <c r="J259" t="str" cm="1">
        <f t="array" ref="J259">IF(V259="Sí",IFERROR(_xlfn.MODE.SNGL(IF((DATOS!$G$2:$G$20000=CONFIG_METADATA!$B$4)*(DATOS!$D$2:$D$20000=A259)*(DATOS!$I$2:$I$20000=B259)*(DATOS!$L$2:$L$20000="S"),DATOS!$K$2:$K$20000)),"—"),"")</f>
        <v>—</v>
      </c>
      <c r="K259" t="str" cm="1">
        <f t="array" ref="K259">IF(V259="Sí",IFERROR(_xlfn.MODE.SNGL(IF((DATOS!$G$2:$G$20000=CONFIG_METADATA!$B$4)*(DATOS!$D$2:$D$20000=A259)*(DATOS!$I$2:$I$20000=B259)*(DATOS!$L$2:$L$20000="N"),DATOS!$K$2:$K$20000)),"—"),"")</f>
        <v>—</v>
      </c>
      <c r="L259">
        <f>IF(V259="Sí",COUNTIFS(DATOS!G:G,CONFIG_METADATA!$B$4,DATOS!D:D,A259,DATOS!I:I,B259,DATOS!K:K,1),"")</f>
        <v>0</v>
      </c>
      <c r="M259">
        <f>IF(V259="Sí",COUNTIFS(DATOS!G:G,CONFIG_METADATA!$B$4,DATOS!D:D,A259,DATOS!I:I,B259,DATOS!K:K,2),"")</f>
        <v>0</v>
      </c>
      <c r="N259">
        <f>IF(V259="Sí",COUNTIFS(DATOS!G:G,CONFIG_METADATA!$B$4,DATOS!D:D,A259,DATOS!I:I,B259,DATOS!K:K,3),"")</f>
        <v>0</v>
      </c>
      <c r="O259">
        <f>IF(V259="Sí",COUNTIFS(DATOS!G:G,CONFIG_METADATA!$B$4,DATOS!D:D,A259,DATOS!I:I,B259,DATOS!K:K,4),"")</f>
        <v>0</v>
      </c>
      <c r="P259">
        <f>IF(V259="Sí",COUNTIFS(DATOS!G:G,CONFIG_METADATA!$B$4,DATOS!D:D,A259,DATOS!I:I,B259,DATOS!K:K,5),"")</f>
        <v>0</v>
      </c>
      <c r="Q259">
        <f>IF(V259="Sí",COUNTIFS(DATOS!G:G,CONFIG_METADATA!$B$4,DATOS!D:D,A259,DATOS!I:I,B259,DATOS!K:K,6),"")</f>
        <v>0</v>
      </c>
      <c r="R259">
        <f>IF(V259="Sí",COUNTIFS(DATOS!G:G,CONFIG_METADATA!$B$4,DATOS!D:D,A259,DATOS!I:I,B259,DATOS!K:K,7),"")</f>
        <v>0</v>
      </c>
      <c r="S259">
        <f>IF(V259="Sí",COUNTIFS(DATOS!G:G,CONFIG_METADATA!$B$4,DATOS!D:D,A259,DATOS!I:I,B259,DATOS!K:K,8),"")</f>
        <v>0</v>
      </c>
      <c r="T259">
        <f>IF(V259="Sí",COUNTIFS(DATOS!G:G,CONFIG_METADATA!$B$4,DATOS!D:D,A259,DATOS!I:I,B259,DATOS!K:K,9),"")</f>
        <v>0</v>
      </c>
      <c r="U259">
        <f>IF(V259="Sí",COUNTIFS(DATOS!G:G,CONFIG_METADATA!$B$4,DATOS!D:D,A259,DATOS!I:I,B259,DATOS!K:K,10),"")</f>
        <v>0</v>
      </c>
      <c r="V259" t="str">
        <f>IFERROR(IF(ISERROR(FIND(A259,VLOOKUP(B259,CONFIG_ASIGNATURAS!B:C,2,FALSE()))),"No","Sí"),"No")</f>
        <v>Sí</v>
      </c>
    </row>
    <row r="260" spans="1:22">
      <c r="A260" s="3" t="inlineStr">
        <is>
          <t xml:space="preserve">4EEM</t>
        </is>
      </c>
      <c r="B260" s="3" cm="1">
        <f t="array" ref="B260">IFERROR(INDEX(_xlfn._xlws.FILTER(CONFIG_ASIGNATURAS!$B$2:$B$61,(CONFIG_ASIGNATURAS!$G$2:$G$61="Sí")*ISNUMBER(SEARCH("4EEM",CONFIG_ASIGNATURAS!$C$2:$C$61))),4),"")</f>
      </c>
      <c r="C260" s="3">
        <f>IF(B260="","",IFERROR(IF(VLOOKUP(B260,CONFIG_ASIGNATURAS!$B$2:$F$61,5,FALSE())="Sí","Especialidad","Asignatura"),"Asignatura"))</f>
      </c>
      <c r="D260">
        <f>IF(V260="Sí",COUNTIFS(DATOS!G:G,CONFIG_METADATA!$B$4,DATOS!D:D,A260,DATOS!I:I,B260),"")</f>
        <v>0</v>
      </c>
      <c r="E260" s="14" t="str">
        <f>IF(V260="Sí",IFERROR(AVERAGEIFS(DATOS!K:K,DATOS!G:G,CONFIG_METADATA!$B$4,DATOS!D:D,A260,DATOS!I:I,B260),"—"),"")</f>
        <v>—</v>
      </c>
      <c r="F260" s="14" t="str" cm="1">
        <f t="array" ref="F260">IF(V260="Sí",IFERROR(_xlfn.STDEV.P(IF((DATOS!$G$2:$G$20000=CONFIG_METADATA!$B$4)*(DATOS!$D$2:$D$20000=A260)*(DATOS!$I$2:$I$20000=B260),DATOS!$K$2:$K$20000)),"—"),"")</f>
        <v>—</v>
      </c>
      <c r="G260" t="str" cm="1">
        <f t="array" ref="G260">IF(V260="Sí",IFERROR(_xlfn.MODE.SNGL(IF((DATOS!$G$2:$G$20000=CONFIG_METADATA!$B$4)*(DATOS!$D$2:$D$20000=A260)*(DATOS!$I$2:$I$20000=B260),DATOS!$K$2:$K$20000)),"—"),"")</f>
        <v>—</v>
      </c>
      <c r="H260" s="15" t="str">
        <f>IF(V260="Sí",IFERROR(COUNTIFS(DATOS!G:G,CONFIG_METADATA!$B$4,DATOS!D:D,A260,DATOS!I:I,B260,DATOS!L:L,"S")/COUNTIFS(DATOS!G:G,CONFIG_METADATA!$B$4,DATOS!D:D,A260,DATOS!I:I,B260),"—"),"")</f>
        <v>—</v>
      </c>
      <c r="I260" s="15" t="str">
        <f>IF(V260="Sí",IFERROR(COUNTIFS(DATOS!G:G,CONFIG_METADATA!$B$4,DATOS!D:D,A260,DATOS!I:I,B260,DATOS!L:L,"N")/COUNTIFS(DATOS!G:G,CONFIG_METADATA!$B$4,DATOS!D:D,A260,DATOS!I:I,B260),"—"),"")</f>
        <v>—</v>
      </c>
      <c r="J260" t="str" cm="1">
        <f t="array" ref="J260">IF(V260="Sí",IFERROR(_xlfn.MODE.SNGL(IF((DATOS!$G$2:$G$20000=CONFIG_METADATA!$B$4)*(DATOS!$D$2:$D$20000=A260)*(DATOS!$I$2:$I$20000=B260)*(DATOS!$L$2:$L$20000="S"),DATOS!$K$2:$K$20000)),"—"),"")</f>
        <v>—</v>
      </c>
      <c r="K260" t="str" cm="1">
        <f t="array" ref="K260">IF(V260="Sí",IFERROR(_xlfn.MODE.SNGL(IF((DATOS!$G$2:$G$20000=CONFIG_METADATA!$B$4)*(DATOS!$D$2:$D$20000=A260)*(DATOS!$I$2:$I$20000=B260)*(DATOS!$L$2:$L$20000="N"),DATOS!$K$2:$K$20000)),"—"),"")</f>
        <v>—</v>
      </c>
      <c r="L260">
        <f>IF(V260="Sí",COUNTIFS(DATOS!G:G,CONFIG_METADATA!$B$4,DATOS!D:D,A260,DATOS!I:I,B260,DATOS!K:K,1),"")</f>
        <v>0</v>
      </c>
      <c r="M260">
        <f>IF(V260="Sí",COUNTIFS(DATOS!G:G,CONFIG_METADATA!$B$4,DATOS!D:D,A260,DATOS!I:I,B260,DATOS!K:K,2),"")</f>
        <v>0</v>
      </c>
      <c r="N260">
        <f>IF(V260="Sí",COUNTIFS(DATOS!G:G,CONFIG_METADATA!$B$4,DATOS!D:D,A260,DATOS!I:I,B260,DATOS!K:K,3),"")</f>
        <v>0</v>
      </c>
      <c r="O260">
        <f>IF(V260="Sí",COUNTIFS(DATOS!G:G,CONFIG_METADATA!$B$4,DATOS!D:D,A260,DATOS!I:I,B260,DATOS!K:K,4),"")</f>
        <v>0</v>
      </c>
      <c r="P260">
        <f>IF(V260="Sí",COUNTIFS(DATOS!G:G,CONFIG_METADATA!$B$4,DATOS!D:D,A260,DATOS!I:I,B260,DATOS!K:K,5),"")</f>
        <v>0</v>
      </c>
      <c r="Q260">
        <f>IF(V260="Sí",COUNTIFS(DATOS!G:G,CONFIG_METADATA!$B$4,DATOS!D:D,A260,DATOS!I:I,B260,DATOS!K:K,6),"")</f>
        <v>0</v>
      </c>
      <c r="R260">
        <f>IF(V260="Sí",COUNTIFS(DATOS!G:G,CONFIG_METADATA!$B$4,DATOS!D:D,A260,DATOS!I:I,B260,DATOS!K:K,7),"")</f>
        <v>0</v>
      </c>
      <c r="S260">
        <f>IF(V260="Sí",COUNTIFS(DATOS!G:G,CONFIG_METADATA!$B$4,DATOS!D:D,A260,DATOS!I:I,B260,DATOS!K:K,8),"")</f>
        <v>0</v>
      </c>
      <c r="T260">
        <f>IF(V260="Sí",COUNTIFS(DATOS!G:G,CONFIG_METADATA!$B$4,DATOS!D:D,A260,DATOS!I:I,B260,DATOS!K:K,9),"")</f>
        <v>0</v>
      </c>
      <c r="U260">
        <f>IF(V260="Sí",COUNTIFS(DATOS!G:G,CONFIG_METADATA!$B$4,DATOS!D:D,A260,DATOS!I:I,B260,DATOS!K:K,10),"")</f>
        <v>0</v>
      </c>
      <c r="V260" t="str">
        <f>IFERROR(IF(ISERROR(FIND(A260,VLOOKUP(B260,CONFIG_ASIGNATURAS!B:C,2,FALSE()))),"No","Sí"),"No")</f>
        <v>Sí</v>
      </c>
    </row>
    <row r="261" spans="1:22">
      <c r="A261" s="3" t="inlineStr">
        <is>
          <t xml:space="preserve">4EEM</t>
        </is>
      </c>
      <c r="B261" s="3" cm="1">
        <f t="array" ref="B261">IFERROR(INDEX(_xlfn._xlws.FILTER(CONFIG_ASIGNATURAS!$B$2:$B$61,(CONFIG_ASIGNATURAS!$G$2:$G$61="Sí")*ISNUMBER(SEARCH("4EEM",CONFIG_ASIGNATURAS!$C$2:$C$61))),5),"")</f>
      </c>
      <c r="C261" s="3">
        <f>IF(B261="","",IFERROR(IF(VLOOKUP(B261,CONFIG_ASIGNATURAS!$B$2:$F$61,5,FALSE())="Sí","Especialidad","Asignatura"),"Asignatura"))</f>
      </c>
      <c r="D261">
        <f>IF(V261="Sí",COUNTIFS(DATOS!G:G,CONFIG_METADATA!$B$4,DATOS!D:D,A261,DATOS!I:I,B261),"")</f>
        <v>0</v>
      </c>
      <c r="E261" s="14" t="str">
        <f>IF(V261="Sí",IFERROR(AVERAGEIFS(DATOS!K:K,DATOS!G:G,CONFIG_METADATA!$B$4,DATOS!D:D,A261,DATOS!I:I,B261),"—"),"")</f>
        <v>—</v>
      </c>
      <c r="F261" s="14" t="str" cm="1">
        <f t="array" ref="F261">IF(V261="Sí",IFERROR(_xlfn.STDEV.P(IF((DATOS!$G$2:$G$20000=CONFIG_METADATA!$B$4)*(DATOS!$D$2:$D$20000=A261)*(DATOS!$I$2:$I$20000=B261),DATOS!$K$2:$K$20000)),"—"),"")</f>
        <v>—</v>
      </c>
      <c r="G261" t="str" cm="1">
        <f t="array" ref="G261">IF(V261="Sí",IFERROR(_xlfn.MODE.SNGL(IF((DATOS!$G$2:$G$20000=CONFIG_METADATA!$B$4)*(DATOS!$D$2:$D$20000=A261)*(DATOS!$I$2:$I$20000=B261),DATOS!$K$2:$K$20000)),"—"),"")</f>
        <v>—</v>
      </c>
      <c r="H261" s="15" t="str">
        <f>IF(V261="Sí",IFERROR(COUNTIFS(DATOS!G:G,CONFIG_METADATA!$B$4,DATOS!D:D,A261,DATOS!I:I,B261,DATOS!L:L,"S")/COUNTIFS(DATOS!G:G,CONFIG_METADATA!$B$4,DATOS!D:D,A261,DATOS!I:I,B261),"—"),"")</f>
        <v>—</v>
      </c>
      <c r="I261" s="15" t="str">
        <f>IF(V261="Sí",IFERROR(COUNTIFS(DATOS!G:G,CONFIG_METADATA!$B$4,DATOS!D:D,A261,DATOS!I:I,B261,DATOS!L:L,"N")/COUNTIFS(DATOS!G:G,CONFIG_METADATA!$B$4,DATOS!D:D,A261,DATOS!I:I,B261),"—"),"")</f>
        <v>—</v>
      </c>
      <c r="J261" t="str" cm="1">
        <f t="array" ref="J261">IF(V261="Sí",IFERROR(_xlfn.MODE.SNGL(IF((DATOS!$G$2:$G$20000=CONFIG_METADATA!$B$4)*(DATOS!$D$2:$D$20000=A261)*(DATOS!$I$2:$I$20000=B261)*(DATOS!$L$2:$L$20000="S"),DATOS!$K$2:$K$20000)),"—"),"")</f>
        <v>—</v>
      </c>
      <c r="K261" t="str" cm="1">
        <f t="array" ref="K261">IF(V261="Sí",IFERROR(_xlfn.MODE.SNGL(IF((DATOS!$G$2:$G$20000=CONFIG_METADATA!$B$4)*(DATOS!$D$2:$D$20000=A261)*(DATOS!$I$2:$I$20000=B261)*(DATOS!$L$2:$L$20000="N"),DATOS!$K$2:$K$20000)),"—"),"")</f>
        <v>—</v>
      </c>
      <c r="L261">
        <f>IF(V261="Sí",COUNTIFS(DATOS!G:G,CONFIG_METADATA!$B$4,DATOS!D:D,A261,DATOS!I:I,B261,DATOS!K:K,1),"")</f>
        <v>0</v>
      </c>
      <c r="M261">
        <f>IF(V261="Sí",COUNTIFS(DATOS!G:G,CONFIG_METADATA!$B$4,DATOS!D:D,A261,DATOS!I:I,B261,DATOS!K:K,2),"")</f>
        <v>0</v>
      </c>
      <c r="N261">
        <f>IF(V261="Sí",COUNTIFS(DATOS!G:G,CONFIG_METADATA!$B$4,DATOS!D:D,A261,DATOS!I:I,B261,DATOS!K:K,3),"")</f>
        <v>0</v>
      </c>
      <c r="O261">
        <f>IF(V261="Sí",COUNTIFS(DATOS!G:G,CONFIG_METADATA!$B$4,DATOS!D:D,A261,DATOS!I:I,B261,DATOS!K:K,4),"")</f>
        <v>0</v>
      </c>
      <c r="P261">
        <f>IF(V261="Sí",COUNTIFS(DATOS!G:G,CONFIG_METADATA!$B$4,DATOS!D:D,A261,DATOS!I:I,B261,DATOS!K:K,5),"")</f>
        <v>0</v>
      </c>
      <c r="Q261">
        <f>IF(V261="Sí",COUNTIFS(DATOS!G:G,CONFIG_METADATA!$B$4,DATOS!D:D,A261,DATOS!I:I,B261,DATOS!K:K,6),"")</f>
        <v>0</v>
      </c>
      <c r="R261">
        <f>IF(V261="Sí",COUNTIFS(DATOS!G:G,CONFIG_METADATA!$B$4,DATOS!D:D,A261,DATOS!I:I,B261,DATOS!K:K,7),"")</f>
        <v>0</v>
      </c>
      <c r="S261">
        <f>IF(V261="Sí",COUNTIFS(DATOS!G:G,CONFIG_METADATA!$B$4,DATOS!D:D,A261,DATOS!I:I,B261,DATOS!K:K,8),"")</f>
        <v>0</v>
      </c>
      <c r="T261">
        <f>IF(V261="Sí",COUNTIFS(DATOS!G:G,CONFIG_METADATA!$B$4,DATOS!D:D,A261,DATOS!I:I,B261,DATOS!K:K,9),"")</f>
        <v>0</v>
      </c>
      <c r="U261">
        <f>IF(V261="Sí",COUNTIFS(DATOS!G:G,CONFIG_METADATA!$B$4,DATOS!D:D,A261,DATOS!I:I,B261,DATOS!K:K,10),"")</f>
        <v>0</v>
      </c>
      <c r="V261" t="str">
        <f>IFERROR(IF(ISERROR(FIND(A261,VLOOKUP(B261,CONFIG_ASIGNATURAS!B:C,2,FALSE()))),"No","Sí"),"No")</f>
        <v>Sí</v>
      </c>
    </row>
    <row r="262" spans="1:22">
      <c r="A262" s="3" t="inlineStr">
        <is>
          <t xml:space="preserve">4EEM</t>
        </is>
      </c>
      <c r="B262" s="3" cm="1">
        <f t="array" ref="B262">IFERROR(INDEX(_xlfn._xlws.FILTER(CONFIG_ASIGNATURAS!$B$2:$B$61,(CONFIG_ASIGNATURAS!$G$2:$G$61="Sí")*ISNUMBER(SEARCH("4EEM",CONFIG_ASIGNATURAS!$C$2:$C$61))),6),"")</f>
      </c>
      <c r="C262" s="3">
        <f>IF(B262="","",IFERROR(IF(VLOOKUP(B262,CONFIG_ASIGNATURAS!$B$2:$F$61,5,FALSE())="Sí","Especialidad","Asignatura"),"Asignatura"))</f>
      </c>
      <c r="D262">
        <f>IF(V262="Sí",COUNTIFS(DATOS!G:G,CONFIG_METADATA!$B$4,DATOS!D:D,A262,DATOS!I:I,B262),"")</f>
        <v>0</v>
      </c>
      <c r="E262" s="14" t="str">
        <f>IF(V262="Sí",IFERROR(AVERAGEIFS(DATOS!K:K,DATOS!G:G,CONFIG_METADATA!$B$4,DATOS!D:D,A262,DATOS!I:I,B262),"—"),"")</f>
        <v>—</v>
      </c>
      <c r="F262" s="14" t="str" cm="1">
        <f t="array" ref="F262">IF(V262="Sí",IFERROR(_xlfn.STDEV.P(IF((DATOS!$G$2:$G$20000=CONFIG_METADATA!$B$4)*(DATOS!$D$2:$D$20000=A262)*(DATOS!$I$2:$I$20000=B262),DATOS!$K$2:$K$20000)),"—"),"")</f>
        <v>—</v>
      </c>
      <c r="G262" t="str" cm="1">
        <f t="array" ref="G262">IF(V262="Sí",IFERROR(_xlfn.MODE.SNGL(IF((DATOS!$G$2:$G$20000=CONFIG_METADATA!$B$4)*(DATOS!$D$2:$D$20000=A262)*(DATOS!$I$2:$I$20000=B262),DATOS!$K$2:$K$20000)),"—"),"")</f>
        <v>—</v>
      </c>
      <c r="H262" s="15" t="str">
        <f>IF(V262="Sí",IFERROR(COUNTIFS(DATOS!G:G,CONFIG_METADATA!$B$4,DATOS!D:D,A262,DATOS!I:I,B262,DATOS!L:L,"S")/COUNTIFS(DATOS!G:G,CONFIG_METADATA!$B$4,DATOS!D:D,A262,DATOS!I:I,B262),"—"),"")</f>
        <v>—</v>
      </c>
      <c r="I262" s="15" t="str">
        <f>IF(V262="Sí",IFERROR(COUNTIFS(DATOS!G:G,CONFIG_METADATA!$B$4,DATOS!D:D,A262,DATOS!I:I,B262,DATOS!L:L,"N")/COUNTIFS(DATOS!G:G,CONFIG_METADATA!$B$4,DATOS!D:D,A262,DATOS!I:I,B262),"—"),"")</f>
        <v>—</v>
      </c>
      <c r="J262" t="str" cm="1">
        <f t="array" ref="J262">IF(V262="Sí",IFERROR(_xlfn.MODE.SNGL(IF((DATOS!$G$2:$G$20000=CONFIG_METADATA!$B$4)*(DATOS!$D$2:$D$20000=A262)*(DATOS!$I$2:$I$20000=B262)*(DATOS!$L$2:$L$20000="S"),DATOS!$K$2:$K$20000)),"—"),"")</f>
        <v>—</v>
      </c>
      <c r="K262" t="str" cm="1">
        <f t="array" ref="K262">IF(V262="Sí",IFERROR(_xlfn.MODE.SNGL(IF((DATOS!$G$2:$G$20000=CONFIG_METADATA!$B$4)*(DATOS!$D$2:$D$20000=A262)*(DATOS!$I$2:$I$20000=B262)*(DATOS!$L$2:$L$20000="N"),DATOS!$K$2:$K$20000)),"—"),"")</f>
        <v>—</v>
      </c>
      <c r="L262">
        <f>IF(V262="Sí",COUNTIFS(DATOS!G:G,CONFIG_METADATA!$B$4,DATOS!D:D,A262,DATOS!I:I,B262,DATOS!K:K,1),"")</f>
        <v>0</v>
      </c>
      <c r="M262">
        <f>IF(V262="Sí",COUNTIFS(DATOS!G:G,CONFIG_METADATA!$B$4,DATOS!D:D,A262,DATOS!I:I,B262,DATOS!K:K,2),"")</f>
        <v>0</v>
      </c>
      <c r="N262">
        <f>IF(V262="Sí",COUNTIFS(DATOS!G:G,CONFIG_METADATA!$B$4,DATOS!D:D,A262,DATOS!I:I,B262,DATOS!K:K,3),"")</f>
        <v>0</v>
      </c>
      <c r="O262">
        <f>IF(V262="Sí",COUNTIFS(DATOS!G:G,CONFIG_METADATA!$B$4,DATOS!D:D,A262,DATOS!I:I,B262,DATOS!K:K,4),"")</f>
        <v>0</v>
      </c>
      <c r="P262">
        <f>IF(V262="Sí",COUNTIFS(DATOS!G:G,CONFIG_METADATA!$B$4,DATOS!D:D,A262,DATOS!I:I,B262,DATOS!K:K,5),"")</f>
        <v>0</v>
      </c>
      <c r="Q262">
        <f>IF(V262="Sí",COUNTIFS(DATOS!G:G,CONFIG_METADATA!$B$4,DATOS!D:D,A262,DATOS!I:I,B262,DATOS!K:K,6),"")</f>
        <v>0</v>
      </c>
      <c r="R262">
        <f>IF(V262="Sí",COUNTIFS(DATOS!G:G,CONFIG_METADATA!$B$4,DATOS!D:D,A262,DATOS!I:I,B262,DATOS!K:K,7),"")</f>
        <v>0</v>
      </c>
      <c r="S262">
        <f>IF(V262="Sí",COUNTIFS(DATOS!G:G,CONFIG_METADATA!$B$4,DATOS!D:D,A262,DATOS!I:I,B262,DATOS!K:K,8),"")</f>
        <v>0</v>
      </c>
      <c r="T262">
        <f>IF(V262="Sí",COUNTIFS(DATOS!G:G,CONFIG_METADATA!$B$4,DATOS!D:D,A262,DATOS!I:I,B262,DATOS!K:K,9),"")</f>
        <v>0</v>
      </c>
      <c r="U262">
        <f>IF(V262="Sí",COUNTIFS(DATOS!G:G,CONFIG_METADATA!$B$4,DATOS!D:D,A262,DATOS!I:I,B262,DATOS!K:K,10),"")</f>
        <v>0</v>
      </c>
      <c r="V262" t="str">
        <f>IFERROR(IF(ISERROR(FIND(A262,VLOOKUP(B262,CONFIG_ASIGNATURAS!B:C,2,FALSE()))),"No","Sí"),"No")</f>
        <v>Sí</v>
      </c>
    </row>
    <row r="263" spans="1:22">
      <c r="A263" s="3" t="inlineStr">
        <is>
          <t xml:space="preserve">4EEM</t>
        </is>
      </c>
      <c r="B263" s="3" cm="1">
        <f t="array" ref="B263">IFERROR(INDEX(_xlfn._xlws.FILTER(CONFIG_ASIGNATURAS!$B$2:$B$61,(CONFIG_ASIGNATURAS!$G$2:$G$61="Sí")*ISNUMBER(SEARCH("4EEM",CONFIG_ASIGNATURAS!$C$2:$C$61))),7),"")</f>
      </c>
      <c r="C263" s="3">
        <f>IF(B263="","",IFERROR(IF(VLOOKUP(B263,CONFIG_ASIGNATURAS!$B$2:$F$61,5,FALSE())="Sí","Especialidad","Asignatura"),"Asignatura"))</f>
      </c>
      <c r="D263">
        <f>IF(V263="Sí",COUNTIFS(DATOS!G:G,CONFIG_METADATA!$B$4,DATOS!D:D,A263,DATOS!I:I,B263),"")</f>
        <v>0</v>
      </c>
      <c r="E263" s="14" t="str">
        <f>IF(V263="Sí",IFERROR(AVERAGEIFS(DATOS!K:K,DATOS!G:G,CONFIG_METADATA!$B$4,DATOS!D:D,A263,DATOS!I:I,B263),"—"),"")</f>
        <v>—</v>
      </c>
      <c r="F263" s="14" t="str" cm="1">
        <f t="array" ref="F263">IF(V263="Sí",IFERROR(_xlfn.STDEV.P(IF((DATOS!$G$2:$G$20000=CONFIG_METADATA!$B$4)*(DATOS!$D$2:$D$20000=A263)*(DATOS!$I$2:$I$20000=B263),DATOS!$K$2:$K$20000)),"—"),"")</f>
        <v>—</v>
      </c>
      <c r="G263" t="str" cm="1">
        <f t="array" ref="G263">IF(V263="Sí",IFERROR(_xlfn.MODE.SNGL(IF((DATOS!$G$2:$G$20000=CONFIG_METADATA!$B$4)*(DATOS!$D$2:$D$20000=A263)*(DATOS!$I$2:$I$20000=B263),DATOS!$K$2:$K$20000)),"—"),"")</f>
        <v>—</v>
      </c>
      <c r="H263" s="15" t="str">
        <f>IF(V263="Sí",IFERROR(COUNTIFS(DATOS!G:G,CONFIG_METADATA!$B$4,DATOS!D:D,A263,DATOS!I:I,B263,DATOS!L:L,"S")/COUNTIFS(DATOS!G:G,CONFIG_METADATA!$B$4,DATOS!D:D,A263,DATOS!I:I,B263),"—"),"")</f>
        <v>—</v>
      </c>
      <c r="I263" s="15" t="str">
        <f>IF(V263="Sí",IFERROR(COUNTIFS(DATOS!G:G,CONFIG_METADATA!$B$4,DATOS!D:D,A263,DATOS!I:I,B263,DATOS!L:L,"N")/COUNTIFS(DATOS!G:G,CONFIG_METADATA!$B$4,DATOS!D:D,A263,DATOS!I:I,B263),"—"),"")</f>
        <v>—</v>
      </c>
      <c r="J263" t="str" cm="1">
        <f t="array" ref="J263">IF(V263="Sí",IFERROR(_xlfn.MODE.SNGL(IF((DATOS!$G$2:$G$20000=CONFIG_METADATA!$B$4)*(DATOS!$D$2:$D$20000=A263)*(DATOS!$I$2:$I$20000=B263)*(DATOS!$L$2:$L$20000="S"),DATOS!$K$2:$K$20000)),"—"),"")</f>
        <v>—</v>
      </c>
      <c r="K263" t="str" cm="1">
        <f t="array" ref="K263">IF(V263="Sí",IFERROR(_xlfn.MODE.SNGL(IF((DATOS!$G$2:$G$20000=CONFIG_METADATA!$B$4)*(DATOS!$D$2:$D$20000=A263)*(DATOS!$I$2:$I$20000=B263)*(DATOS!$L$2:$L$20000="N"),DATOS!$K$2:$K$20000)),"—"),"")</f>
        <v>—</v>
      </c>
      <c r="L263">
        <f>IF(V263="Sí",COUNTIFS(DATOS!G:G,CONFIG_METADATA!$B$4,DATOS!D:D,A263,DATOS!I:I,B263,DATOS!K:K,1),"")</f>
        <v>0</v>
      </c>
      <c r="M263">
        <f>IF(V263="Sí",COUNTIFS(DATOS!G:G,CONFIG_METADATA!$B$4,DATOS!D:D,A263,DATOS!I:I,B263,DATOS!K:K,2),"")</f>
        <v>0</v>
      </c>
      <c r="N263">
        <f>IF(V263="Sí",COUNTIFS(DATOS!G:G,CONFIG_METADATA!$B$4,DATOS!D:D,A263,DATOS!I:I,B263,DATOS!K:K,3),"")</f>
        <v>0</v>
      </c>
      <c r="O263">
        <f>IF(V263="Sí",COUNTIFS(DATOS!G:G,CONFIG_METADATA!$B$4,DATOS!D:D,A263,DATOS!I:I,B263,DATOS!K:K,4),"")</f>
        <v>0</v>
      </c>
      <c r="P263">
        <f>IF(V263="Sí",COUNTIFS(DATOS!G:G,CONFIG_METADATA!$B$4,DATOS!D:D,A263,DATOS!I:I,B263,DATOS!K:K,5),"")</f>
        <v>0</v>
      </c>
      <c r="Q263">
        <f>IF(V263="Sí",COUNTIFS(DATOS!G:G,CONFIG_METADATA!$B$4,DATOS!D:D,A263,DATOS!I:I,B263,DATOS!K:K,6),"")</f>
        <v>0</v>
      </c>
      <c r="R263">
        <f>IF(V263="Sí",COUNTIFS(DATOS!G:G,CONFIG_METADATA!$B$4,DATOS!D:D,A263,DATOS!I:I,B263,DATOS!K:K,7),"")</f>
        <v>0</v>
      </c>
      <c r="S263">
        <f>IF(V263="Sí",COUNTIFS(DATOS!G:G,CONFIG_METADATA!$B$4,DATOS!D:D,A263,DATOS!I:I,B263,DATOS!K:K,8),"")</f>
        <v>0</v>
      </c>
      <c r="T263">
        <f>IF(V263="Sí",COUNTIFS(DATOS!G:G,CONFIG_METADATA!$B$4,DATOS!D:D,A263,DATOS!I:I,B263,DATOS!K:K,9),"")</f>
        <v>0</v>
      </c>
      <c r="U263">
        <f>IF(V263="Sí",COUNTIFS(DATOS!G:G,CONFIG_METADATA!$B$4,DATOS!D:D,A263,DATOS!I:I,B263,DATOS!K:K,10),"")</f>
        <v>0</v>
      </c>
      <c r="V263" t="str">
        <f>IFERROR(IF(ISERROR(FIND(A263,VLOOKUP(B263,CONFIG_ASIGNATURAS!B:C,2,FALSE()))),"No","Sí"),"No")</f>
        <v>Sí</v>
      </c>
    </row>
    <row r="264" spans="1:22">
      <c r="A264" s="3" t="inlineStr">
        <is>
          <t xml:space="preserve">4EEM</t>
        </is>
      </c>
      <c r="B264" s="3" cm="1">
        <f t="array" ref="B264">IFERROR(INDEX(_xlfn._xlws.FILTER(CONFIG_ASIGNATURAS!$B$2:$B$61,(CONFIG_ASIGNATURAS!$G$2:$G$61="Sí")*ISNUMBER(SEARCH("4EEM",CONFIG_ASIGNATURAS!$C$2:$C$61))),8),"")</f>
      </c>
      <c r="C264" s="3">
        <f>IF(B264="","",IFERROR(IF(VLOOKUP(B264,CONFIG_ASIGNATURAS!$B$2:$F$61,5,FALSE())="Sí","Especialidad","Asignatura"),"Asignatura"))</f>
      </c>
      <c r="D264">
        <f>IF(V264="Sí",COUNTIFS(DATOS!G:G,CONFIG_METADATA!$B$4,DATOS!D:D,A264,DATOS!I:I,B264),"")</f>
        <v>0</v>
      </c>
      <c r="E264" s="14" t="str">
        <f>IF(V264="Sí",IFERROR(AVERAGEIFS(DATOS!K:K,DATOS!G:G,CONFIG_METADATA!$B$4,DATOS!D:D,A264,DATOS!I:I,B264),"—"),"")</f>
        <v>—</v>
      </c>
      <c r="F264" s="14" t="str" cm="1">
        <f t="array" ref="F264">IF(V264="Sí",IFERROR(_xlfn.STDEV.P(IF((DATOS!$G$2:$G$20000=CONFIG_METADATA!$B$4)*(DATOS!$D$2:$D$20000=A264)*(DATOS!$I$2:$I$20000=B264),DATOS!$K$2:$K$20000)),"—"),"")</f>
        <v>—</v>
      </c>
      <c r="G264" t="str" cm="1">
        <f t="array" ref="G264">IF(V264="Sí",IFERROR(_xlfn.MODE.SNGL(IF((DATOS!$G$2:$G$20000=CONFIG_METADATA!$B$4)*(DATOS!$D$2:$D$20000=A264)*(DATOS!$I$2:$I$20000=B264),DATOS!$K$2:$K$20000)),"—"),"")</f>
        <v>—</v>
      </c>
      <c r="H264" s="15" t="str">
        <f>IF(V264="Sí",IFERROR(COUNTIFS(DATOS!G:G,CONFIG_METADATA!$B$4,DATOS!D:D,A264,DATOS!I:I,B264,DATOS!L:L,"S")/COUNTIFS(DATOS!G:G,CONFIG_METADATA!$B$4,DATOS!D:D,A264,DATOS!I:I,B264),"—"),"")</f>
        <v>—</v>
      </c>
      <c r="I264" s="15" t="str">
        <f>IF(V264="Sí",IFERROR(COUNTIFS(DATOS!G:G,CONFIG_METADATA!$B$4,DATOS!D:D,A264,DATOS!I:I,B264,DATOS!L:L,"N")/COUNTIFS(DATOS!G:G,CONFIG_METADATA!$B$4,DATOS!D:D,A264,DATOS!I:I,B264),"—"),"")</f>
        <v>—</v>
      </c>
      <c r="J264" t="str" cm="1">
        <f t="array" ref="J264">IF(V264="Sí",IFERROR(_xlfn.MODE.SNGL(IF((DATOS!$G$2:$G$20000=CONFIG_METADATA!$B$4)*(DATOS!$D$2:$D$20000=A264)*(DATOS!$I$2:$I$20000=B264)*(DATOS!$L$2:$L$20000="S"),DATOS!$K$2:$K$20000)),"—"),"")</f>
        <v>—</v>
      </c>
      <c r="K264" t="str" cm="1">
        <f t="array" ref="K264">IF(V264="Sí",IFERROR(_xlfn.MODE.SNGL(IF((DATOS!$G$2:$G$20000=CONFIG_METADATA!$B$4)*(DATOS!$D$2:$D$20000=A264)*(DATOS!$I$2:$I$20000=B264)*(DATOS!$L$2:$L$20000="N"),DATOS!$K$2:$K$20000)),"—"),"")</f>
        <v>—</v>
      </c>
      <c r="L264">
        <f>IF(V264="Sí",COUNTIFS(DATOS!G:G,CONFIG_METADATA!$B$4,DATOS!D:D,A264,DATOS!I:I,B264,DATOS!K:K,1),"")</f>
        <v>0</v>
      </c>
      <c r="M264">
        <f>IF(V264="Sí",COUNTIFS(DATOS!G:G,CONFIG_METADATA!$B$4,DATOS!D:D,A264,DATOS!I:I,B264,DATOS!K:K,2),"")</f>
        <v>0</v>
      </c>
      <c r="N264">
        <f>IF(V264="Sí",COUNTIFS(DATOS!G:G,CONFIG_METADATA!$B$4,DATOS!D:D,A264,DATOS!I:I,B264,DATOS!K:K,3),"")</f>
        <v>0</v>
      </c>
      <c r="O264">
        <f>IF(V264="Sí",COUNTIFS(DATOS!G:G,CONFIG_METADATA!$B$4,DATOS!D:D,A264,DATOS!I:I,B264,DATOS!K:K,4),"")</f>
        <v>0</v>
      </c>
      <c r="P264">
        <f>IF(V264="Sí",COUNTIFS(DATOS!G:G,CONFIG_METADATA!$B$4,DATOS!D:D,A264,DATOS!I:I,B264,DATOS!K:K,5),"")</f>
        <v>0</v>
      </c>
      <c r="Q264">
        <f>IF(V264="Sí",COUNTIFS(DATOS!G:G,CONFIG_METADATA!$B$4,DATOS!D:D,A264,DATOS!I:I,B264,DATOS!K:K,6),"")</f>
        <v>0</v>
      </c>
      <c r="R264">
        <f>IF(V264="Sí",COUNTIFS(DATOS!G:G,CONFIG_METADATA!$B$4,DATOS!D:D,A264,DATOS!I:I,B264,DATOS!K:K,7),"")</f>
        <v>0</v>
      </c>
      <c r="S264">
        <f>IF(V264="Sí",COUNTIFS(DATOS!G:G,CONFIG_METADATA!$B$4,DATOS!D:D,A264,DATOS!I:I,B264,DATOS!K:K,8),"")</f>
        <v>0</v>
      </c>
      <c r="T264">
        <f>IF(V264="Sí",COUNTIFS(DATOS!G:G,CONFIG_METADATA!$B$4,DATOS!D:D,A264,DATOS!I:I,B264,DATOS!K:K,9),"")</f>
        <v>0</v>
      </c>
      <c r="U264">
        <f>IF(V264="Sí",COUNTIFS(DATOS!G:G,CONFIG_METADATA!$B$4,DATOS!D:D,A264,DATOS!I:I,B264,DATOS!K:K,10),"")</f>
        <v>0</v>
      </c>
      <c r="V264" t="str">
        <f>IFERROR(IF(ISERROR(FIND(A264,VLOOKUP(B264,CONFIG_ASIGNATURAS!B:C,2,FALSE()))),"No","Sí"),"No")</f>
        <v>Sí</v>
      </c>
    </row>
    <row r="265" spans="1:22">
      <c r="A265" s="3" t="inlineStr">
        <is>
          <t xml:space="preserve">4EEM</t>
        </is>
      </c>
      <c r="B265" s="3" cm="1">
        <f t="array" ref="B265">IFERROR(INDEX(_xlfn._xlws.FILTER(CONFIG_ASIGNATURAS!$B$2:$B$61,(CONFIG_ASIGNATURAS!$G$2:$G$61="Sí")*ISNUMBER(SEARCH("4EEM",CONFIG_ASIGNATURAS!$C$2:$C$61))),9),"")</f>
      </c>
      <c r="C265" s="3">
        <f>IF(B265="","",IFERROR(IF(VLOOKUP(B265,CONFIG_ASIGNATURAS!$B$2:$F$61,5,FALSE())="Sí","Especialidad","Asignatura"),"Asignatura"))</f>
      </c>
      <c r="D265">
        <f>IF(V265="Sí",COUNTIFS(DATOS!G:G,CONFIG_METADATA!$B$4,DATOS!D:D,A265,DATOS!I:I,B265),"")</f>
        <v>0</v>
      </c>
      <c r="E265" s="14" t="str">
        <f>IF(V265="Sí",IFERROR(AVERAGEIFS(DATOS!K:K,DATOS!G:G,CONFIG_METADATA!$B$4,DATOS!D:D,A265,DATOS!I:I,B265),"—"),"")</f>
        <v>—</v>
      </c>
      <c r="F265" s="14" t="str" cm="1">
        <f t="array" ref="F265">IF(V265="Sí",IFERROR(_xlfn.STDEV.P(IF((DATOS!$G$2:$G$20000=CONFIG_METADATA!$B$4)*(DATOS!$D$2:$D$20000=A265)*(DATOS!$I$2:$I$20000=B265),DATOS!$K$2:$K$20000)),"—"),"")</f>
        <v>—</v>
      </c>
      <c r="G265" t="str" cm="1">
        <f t="array" ref="G265">IF(V265="Sí",IFERROR(_xlfn.MODE.SNGL(IF((DATOS!$G$2:$G$20000=CONFIG_METADATA!$B$4)*(DATOS!$D$2:$D$20000=A265)*(DATOS!$I$2:$I$20000=B265),DATOS!$K$2:$K$20000)),"—"),"")</f>
        <v>—</v>
      </c>
      <c r="H265" s="15" t="str">
        <f>IF(V265="Sí",IFERROR(COUNTIFS(DATOS!G:G,CONFIG_METADATA!$B$4,DATOS!D:D,A265,DATOS!I:I,B265,DATOS!L:L,"S")/COUNTIFS(DATOS!G:G,CONFIG_METADATA!$B$4,DATOS!D:D,A265,DATOS!I:I,B265),"—"),"")</f>
        <v>—</v>
      </c>
      <c r="I265" s="15" t="str">
        <f>IF(V265="Sí",IFERROR(COUNTIFS(DATOS!G:G,CONFIG_METADATA!$B$4,DATOS!D:D,A265,DATOS!I:I,B265,DATOS!L:L,"N")/COUNTIFS(DATOS!G:G,CONFIG_METADATA!$B$4,DATOS!D:D,A265,DATOS!I:I,B265),"—"),"")</f>
        <v>—</v>
      </c>
      <c r="J265" t="str" cm="1">
        <f t="array" ref="J265">IF(V265="Sí",IFERROR(_xlfn.MODE.SNGL(IF((DATOS!$G$2:$G$20000=CONFIG_METADATA!$B$4)*(DATOS!$D$2:$D$20000=A265)*(DATOS!$I$2:$I$20000=B265)*(DATOS!$L$2:$L$20000="S"),DATOS!$K$2:$K$20000)),"—"),"")</f>
        <v>—</v>
      </c>
      <c r="K265" t="str" cm="1">
        <f t="array" ref="K265">IF(V265="Sí",IFERROR(_xlfn.MODE.SNGL(IF((DATOS!$G$2:$G$20000=CONFIG_METADATA!$B$4)*(DATOS!$D$2:$D$20000=A265)*(DATOS!$I$2:$I$20000=B265)*(DATOS!$L$2:$L$20000="N"),DATOS!$K$2:$K$20000)),"—"),"")</f>
        <v>—</v>
      </c>
      <c r="L265">
        <f>IF(V265="Sí",COUNTIFS(DATOS!G:G,CONFIG_METADATA!$B$4,DATOS!D:D,A265,DATOS!I:I,B265,DATOS!K:K,1),"")</f>
        <v>0</v>
      </c>
      <c r="M265">
        <f>IF(V265="Sí",COUNTIFS(DATOS!G:G,CONFIG_METADATA!$B$4,DATOS!D:D,A265,DATOS!I:I,B265,DATOS!K:K,2),"")</f>
        <v>0</v>
      </c>
      <c r="N265">
        <f>IF(V265="Sí",COUNTIFS(DATOS!G:G,CONFIG_METADATA!$B$4,DATOS!D:D,A265,DATOS!I:I,B265,DATOS!K:K,3),"")</f>
        <v>0</v>
      </c>
      <c r="O265">
        <f>IF(V265="Sí",COUNTIFS(DATOS!G:G,CONFIG_METADATA!$B$4,DATOS!D:D,A265,DATOS!I:I,B265,DATOS!K:K,4),"")</f>
        <v>0</v>
      </c>
      <c r="P265">
        <f>IF(V265="Sí",COUNTIFS(DATOS!G:G,CONFIG_METADATA!$B$4,DATOS!D:D,A265,DATOS!I:I,B265,DATOS!K:K,5),"")</f>
        <v>0</v>
      </c>
      <c r="Q265">
        <f>IF(V265="Sí",COUNTIFS(DATOS!G:G,CONFIG_METADATA!$B$4,DATOS!D:D,A265,DATOS!I:I,B265,DATOS!K:K,6),"")</f>
        <v>0</v>
      </c>
      <c r="R265">
        <f>IF(V265="Sí",COUNTIFS(DATOS!G:G,CONFIG_METADATA!$B$4,DATOS!D:D,A265,DATOS!I:I,B265,DATOS!K:K,7),"")</f>
        <v>0</v>
      </c>
      <c r="S265">
        <f>IF(V265="Sí",COUNTIFS(DATOS!G:G,CONFIG_METADATA!$B$4,DATOS!D:D,A265,DATOS!I:I,B265,DATOS!K:K,8),"")</f>
        <v>0</v>
      </c>
      <c r="T265">
        <f>IF(V265="Sí",COUNTIFS(DATOS!G:G,CONFIG_METADATA!$B$4,DATOS!D:D,A265,DATOS!I:I,B265,DATOS!K:K,9),"")</f>
        <v>0</v>
      </c>
      <c r="U265">
        <f>IF(V265="Sí",COUNTIFS(DATOS!G:G,CONFIG_METADATA!$B$4,DATOS!D:D,A265,DATOS!I:I,B265,DATOS!K:K,10),"")</f>
        <v>0</v>
      </c>
      <c r="V265" t="str">
        <f>IFERROR(IF(ISERROR(FIND(A265,VLOOKUP(B265,CONFIG_ASIGNATURAS!B:C,2,FALSE()))),"No","Sí"),"No")</f>
        <v>Sí</v>
      </c>
    </row>
    <row r="266" spans="1:22">
      <c r="A266" s="3" t="inlineStr">
        <is>
          <t xml:space="preserve">4EEM</t>
        </is>
      </c>
      <c r="B266" s="3" cm="1">
        <f t="array" ref="B266">IFERROR(INDEX(_xlfn._xlws.FILTER(CONFIG_ASIGNATURAS!$B$2:$B$61,(CONFIG_ASIGNATURAS!$G$2:$G$61="Sí")*ISNUMBER(SEARCH("4EEM",CONFIG_ASIGNATURAS!$C$2:$C$61))),10),"")</f>
      </c>
      <c r="C266" s="3">
        <f>IF(B266="","",IFERROR(IF(VLOOKUP(B266,CONFIG_ASIGNATURAS!$B$2:$F$61,5,FALSE())="Sí","Especialidad","Asignatura"),"Asignatura"))</f>
      </c>
      <c r="D266">
        <f>IF(V266="Sí",COUNTIFS(DATOS!G:G,CONFIG_METADATA!$B$4,DATOS!D:D,A266,DATOS!I:I,B266),"")</f>
        <v>0</v>
      </c>
      <c r="E266" s="14" t="str">
        <f>IF(V266="Sí",IFERROR(AVERAGEIFS(DATOS!K:K,DATOS!G:G,CONFIG_METADATA!$B$4,DATOS!D:D,A266,DATOS!I:I,B266),"—"),"")</f>
        <v>—</v>
      </c>
      <c r="F266" s="14" t="str" cm="1">
        <f t="array" ref="F266">IF(V266="Sí",IFERROR(_xlfn.STDEV.P(IF((DATOS!$G$2:$G$20000=CONFIG_METADATA!$B$4)*(DATOS!$D$2:$D$20000=A266)*(DATOS!$I$2:$I$20000=B266),DATOS!$K$2:$K$20000)),"—"),"")</f>
        <v>—</v>
      </c>
      <c r="G266" t="str" cm="1">
        <f t="array" ref="G266">IF(V266="Sí",IFERROR(_xlfn.MODE.SNGL(IF((DATOS!$G$2:$G$20000=CONFIG_METADATA!$B$4)*(DATOS!$D$2:$D$20000=A266)*(DATOS!$I$2:$I$20000=B266),DATOS!$K$2:$K$20000)),"—"),"")</f>
        <v>—</v>
      </c>
      <c r="H266" s="15" t="str">
        <f>IF(V266="Sí",IFERROR(COUNTIFS(DATOS!G:G,CONFIG_METADATA!$B$4,DATOS!D:D,A266,DATOS!I:I,B266,DATOS!L:L,"S")/COUNTIFS(DATOS!G:G,CONFIG_METADATA!$B$4,DATOS!D:D,A266,DATOS!I:I,B266),"—"),"")</f>
        <v>—</v>
      </c>
      <c r="I266" s="15" t="str">
        <f>IF(V266="Sí",IFERROR(COUNTIFS(DATOS!G:G,CONFIG_METADATA!$B$4,DATOS!D:D,A266,DATOS!I:I,B266,DATOS!L:L,"N")/COUNTIFS(DATOS!G:G,CONFIG_METADATA!$B$4,DATOS!D:D,A266,DATOS!I:I,B266),"—"),"")</f>
        <v>—</v>
      </c>
      <c r="J266" t="str" cm="1">
        <f t="array" ref="J266">IF(V266="Sí",IFERROR(_xlfn.MODE.SNGL(IF((DATOS!$G$2:$G$20000=CONFIG_METADATA!$B$4)*(DATOS!$D$2:$D$20000=A266)*(DATOS!$I$2:$I$20000=B266)*(DATOS!$L$2:$L$20000="S"),DATOS!$K$2:$K$20000)),"—"),"")</f>
        <v>—</v>
      </c>
      <c r="K266" t="str" cm="1">
        <f t="array" ref="K266">IF(V266="Sí",IFERROR(_xlfn.MODE.SNGL(IF((DATOS!$G$2:$G$20000=CONFIG_METADATA!$B$4)*(DATOS!$D$2:$D$20000=A266)*(DATOS!$I$2:$I$20000=B266)*(DATOS!$L$2:$L$20000="N"),DATOS!$K$2:$K$20000)),"—"),"")</f>
        <v>—</v>
      </c>
      <c r="L266">
        <f>IF(V266="Sí",COUNTIFS(DATOS!G:G,CONFIG_METADATA!$B$4,DATOS!D:D,A266,DATOS!I:I,B266,DATOS!K:K,1),"")</f>
        <v>0</v>
      </c>
      <c r="M266">
        <f>IF(V266="Sí",COUNTIFS(DATOS!G:G,CONFIG_METADATA!$B$4,DATOS!D:D,A266,DATOS!I:I,B266,DATOS!K:K,2),"")</f>
        <v>0</v>
      </c>
      <c r="N266">
        <f>IF(V266="Sí",COUNTIFS(DATOS!G:G,CONFIG_METADATA!$B$4,DATOS!D:D,A266,DATOS!I:I,B266,DATOS!K:K,3),"")</f>
        <v>0</v>
      </c>
      <c r="O266">
        <f>IF(V266="Sí",COUNTIFS(DATOS!G:G,CONFIG_METADATA!$B$4,DATOS!D:D,A266,DATOS!I:I,B266,DATOS!K:K,4),"")</f>
        <v>0</v>
      </c>
      <c r="P266">
        <f>IF(V266="Sí",COUNTIFS(DATOS!G:G,CONFIG_METADATA!$B$4,DATOS!D:D,A266,DATOS!I:I,B266,DATOS!K:K,5),"")</f>
        <v>0</v>
      </c>
      <c r="Q266">
        <f>IF(V266="Sí",COUNTIFS(DATOS!G:G,CONFIG_METADATA!$B$4,DATOS!D:D,A266,DATOS!I:I,B266,DATOS!K:K,6),"")</f>
        <v>0</v>
      </c>
      <c r="R266">
        <f>IF(V266="Sí",COUNTIFS(DATOS!G:G,CONFIG_METADATA!$B$4,DATOS!D:D,A266,DATOS!I:I,B266,DATOS!K:K,7),"")</f>
        <v>0</v>
      </c>
      <c r="S266">
        <f>IF(V266="Sí",COUNTIFS(DATOS!G:G,CONFIG_METADATA!$B$4,DATOS!D:D,A266,DATOS!I:I,B266,DATOS!K:K,8),"")</f>
        <v>0</v>
      </c>
      <c r="T266">
        <f>IF(V266="Sí",COUNTIFS(DATOS!G:G,CONFIG_METADATA!$B$4,DATOS!D:D,A266,DATOS!I:I,B266,DATOS!K:K,9),"")</f>
        <v>0</v>
      </c>
      <c r="U266">
        <f>IF(V266="Sí",COUNTIFS(DATOS!G:G,CONFIG_METADATA!$B$4,DATOS!D:D,A266,DATOS!I:I,B266,DATOS!K:K,10),"")</f>
        <v>0</v>
      </c>
      <c r="V266" t="str">
        <f>IFERROR(IF(ISERROR(FIND(A266,VLOOKUP(B266,CONFIG_ASIGNATURAS!B:C,2,FALSE()))),"No","Sí"),"No")</f>
        <v>Sí</v>
      </c>
    </row>
    <row r="267" spans="1:22">
      <c r="A267" s="3" t="inlineStr">
        <is>
          <t xml:space="preserve">4EEM</t>
        </is>
      </c>
      <c r="B267" s="3" cm="1">
        <f t="array" ref="B267">IFERROR(INDEX(_xlfn._xlws.FILTER(CONFIG_ASIGNATURAS!$B$2:$B$61,(CONFIG_ASIGNATURAS!$G$2:$G$61="Sí")*ISNUMBER(SEARCH("4EEM",CONFIG_ASIGNATURAS!$C$2:$C$61))),11),"")</f>
      </c>
      <c r="C267" s="3">
        <f>IF(B267="","",IFERROR(IF(VLOOKUP(B267,CONFIG_ASIGNATURAS!$B$2:$F$61,5,FALSE())="Sí","Especialidad","Asignatura"),"Asignatura"))</f>
      </c>
      <c r="D267">
        <f>IF(V267="Sí",COUNTIFS(DATOS!G:G,CONFIG_METADATA!$B$4,DATOS!D:D,A267,DATOS!I:I,B267),"")</f>
        <v>0</v>
      </c>
      <c r="E267" s="14" t="str">
        <f>IF(V267="Sí",IFERROR(AVERAGEIFS(DATOS!K:K,DATOS!G:G,CONFIG_METADATA!$B$4,DATOS!D:D,A267,DATOS!I:I,B267),"—"),"")</f>
        <v>—</v>
      </c>
      <c r="F267" s="14" t="str" cm="1">
        <f t="array" ref="F267">IF(V267="Sí",IFERROR(_xlfn.STDEV.P(IF((DATOS!$G$2:$G$20000=CONFIG_METADATA!$B$4)*(DATOS!$D$2:$D$20000=A267)*(DATOS!$I$2:$I$20000=B267),DATOS!$K$2:$K$20000)),"—"),"")</f>
        <v>—</v>
      </c>
      <c r="G267" t="str" cm="1">
        <f t="array" ref="G267">IF(V267="Sí",IFERROR(_xlfn.MODE.SNGL(IF((DATOS!$G$2:$G$20000=CONFIG_METADATA!$B$4)*(DATOS!$D$2:$D$20000=A267)*(DATOS!$I$2:$I$20000=B267),DATOS!$K$2:$K$20000)),"—"),"")</f>
        <v>—</v>
      </c>
      <c r="H267" s="15" t="str">
        <f>IF(V267="Sí",IFERROR(COUNTIFS(DATOS!G:G,CONFIG_METADATA!$B$4,DATOS!D:D,A267,DATOS!I:I,B267,DATOS!L:L,"S")/COUNTIFS(DATOS!G:G,CONFIG_METADATA!$B$4,DATOS!D:D,A267,DATOS!I:I,B267),"—"),"")</f>
        <v>—</v>
      </c>
      <c r="I267" s="15" t="str">
        <f>IF(V267="Sí",IFERROR(COUNTIFS(DATOS!G:G,CONFIG_METADATA!$B$4,DATOS!D:D,A267,DATOS!I:I,B267,DATOS!L:L,"N")/COUNTIFS(DATOS!G:G,CONFIG_METADATA!$B$4,DATOS!D:D,A267,DATOS!I:I,B267),"—"),"")</f>
        <v>—</v>
      </c>
      <c r="J267" t="str" cm="1">
        <f t="array" ref="J267">IF(V267="Sí",IFERROR(_xlfn.MODE.SNGL(IF((DATOS!$G$2:$G$20000=CONFIG_METADATA!$B$4)*(DATOS!$D$2:$D$20000=A267)*(DATOS!$I$2:$I$20000=B267)*(DATOS!$L$2:$L$20000="S"),DATOS!$K$2:$K$20000)),"—"),"")</f>
        <v>—</v>
      </c>
      <c r="K267" t="str" cm="1">
        <f t="array" ref="K267">IF(V267="Sí",IFERROR(_xlfn.MODE.SNGL(IF((DATOS!$G$2:$G$20000=CONFIG_METADATA!$B$4)*(DATOS!$D$2:$D$20000=A267)*(DATOS!$I$2:$I$20000=B267)*(DATOS!$L$2:$L$20000="N"),DATOS!$K$2:$K$20000)),"—"),"")</f>
        <v>—</v>
      </c>
      <c r="L267">
        <f>IF(V267="Sí",COUNTIFS(DATOS!G:G,CONFIG_METADATA!$B$4,DATOS!D:D,A267,DATOS!I:I,B267,DATOS!K:K,1),"")</f>
        <v>0</v>
      </c>
      <c r="M267">
        <f>IF(V267="Sí",COUNTIFS(DATOS!G:G,CONFIG_METADATA!$B$4,DATOS!D:D,A267,DATOS!I:I,B267,DATOS!K:K,2),"")</f>
        <v>0</v>
      </c>
      <c r="N267">
        <f>IF(V267="Sí",COUNTIFS(DATOS!G:G,CONFIG_METADATA!$B$4,DATOS!D:D,A267,DATOS!I:I,B267,DATOS!K:K,3),"")</f>
        <v>0</v>
      </c>
      <c r="O267">
        <f>IF(V267="Sí",COUNTIFS(DATOS!G:G,CONFIG_METADATA!$B$4,DATOS!D:D,A267,DATOS!I:I,B267,DATOS!K:K,4),"")</f>
        <v>0</v>
      </c>
      <c r="P267">
        <f>IF(V267="Sí",COUNTIFS(DATOS!G:G,CONFIG_METADATA!$B$4,DATOS!D:D,A267,DATOS!I:I,B267,DATOS!K:K,5),"")</f>
        <v>0</v>
      </c>
      <c r="Q267">
        <f>IF(V267="Sí",COUNTIFS(DATOS!G:G,CONFIG_METADATA!$B$4,DATOS!D:D,A267,DATOS!I:I,B267,DATOS!K:K,6),"")</f>
        <v>0</v>
      </c>
      <c r="R267">
        <f>IF(V267="Sí",COUNTIFS(DATOS!G:G,CONFIG_METADATA!$B$4,DATOS!D:D,A267,DATOS!I:I,B267,DATOS!K:K,7),"")</f>
        <v>0</v>
      </c>
      <c r="S267">
        <f>IF(V267="Sí",COUNTIFS(DATOS!G:G,CONFIG_METADATA!$B$4,DATOS!D:D,A267,DATOS!I:I,B267,DATOS!K:K,8),"")</f>
        <v>0</v>
      </c>
      <c r="T267">
        <f>IF(V267="Sí",COUNTIFS(DATOS!G:G,CONFIG_METADATA!$B$4,DATOS!D:D,A267,DATOS!I:I,B267,DATOS!K:K,9),"")</f>
        <v>0</v>
      </c>
      <c r="U267">
        <f>IF(V267="Sí",COUNTIFS(DATOS!G:G,CONFIG_METADATA!$B$4,DATOS!D:D,A267,DATOS!I:I,B267,DATOS!K:K,10),"")</f>
        <v>0</v>
      </c>
      <c r="V267" t="str">
        <f>IFERROR(IF(ISERROR(FIND(A267,VLOOKUP(B267,CONFIG_ASIGNATURAS!B:C,2,FALSE()))),"No","Sí"),"No")</f>
        <v>Sí</v>
      </c>
    </row>
    <row r="268" spans="1:22">
      <c r="A268" s="3" t="inlineStr">
        <is>
          <t xml:space="preserve">4EEM</t>
        </is>
      </c>
      <c r="B268" s="3" cm="1">
        <f t="array" ref="B268">IFERROR(INDEX(_xlfn._xlws.FILTER(CONFIG_ASIGNATURAS!$B$2:$B$61,(CONFIG_ASIGNATURAS!$G$2:$G$61="Sí")*ISNUMBER(SEARCH("4EEM",CONFIG_ASIGNATURAS!$C$2:$C$61))),12),"")</f>
      </c>
      <c r="C268" s="3">
        <f>IF(B268="","",IFERROR(IF(VLOOKUP(B268,CONFIG_ASIGNATURAS!$B$2:$F$61,5,FALSE())="Sí","Especialidad","Asignatura"),"Asignatura"))</f>
      </c>
      <c r="D268">
        <f>IF(V268="Sí",COUNTIFS(DATOS!G:G,CONFIG_METADATA!$B$4,DATOS!D:D,A268,DATOS!I:I,B268),"")</f>
        <v>0</v>
      </c>
      <c r="E268" s="14" t="str">
        <f>IF(V268="Sí",IFERROR(AVERAGEIFS(DATOS!K:K,DATOS!G:G,CONFIG_METADATA!$B$4,DATOS!D:D,A268,DATOS!I:I,B268),"—"),"")</f>
        <v>—</v>
      </c>
      <c r="F268" s="14" t="str" cm="1">
        <f t="array" ref="F268">IF(V268="Sí",IFERROR(_xlfn.STDEV.P(IF((DATOS!$G$2:$G$20000=CONFIG_METADATA!$B$4)*(DATOS!$D$2:$D$20000=A268)*(DATOS!$I$2:$I$20000=B268),DATOS!$K$2:$K$20000)),"—"),"")</f>
        <v>—</v>
      </c>
      <c r="G268" t="str" cm="1">
        <f t="array" ref="G268">IF(V268="Sí",IFERROR(_xlfn.MODE.SNGL(IF((DATOS!$G$2:$G$20000=CONFIG_METADATA!$B$4)*(DATOS!$D$2:$D$20000=A268)*(DATOS!$I$2:$I$20000=B268),DATOS!$K$2:$K$20000)),"—"),"")</f>
        <v>—</v>
      </c>
      <c r="H268" s="15" t="str">
        <f>IF(V268="Sí",IFERROR(COUNTIFS(DATOS!G:G,CONFIG_METADATA!$B$4,DATOS!D:D,A268,DATOS!I:I,B268,DATOS!L:L,"S")/COUNTIFS(DATOS!G:G,CONFIG_METADATA!$B$4,DATOS!D:D,A268,DATOS!I:I,B268),"—"),"")</f>
        <v>—</v>
      </c>
      <c r="I268" s="15" t="str">
        <f>IF(V268="Sí",IFERROR(COUNTIFS(DATOS!G:G,CONFIG_METADATA!$B$4,DATOS!D:D,A268,DATOS!I:I,B268,DATOS!L:L,"N")/COUNTIFS(DATOS!G:G,CONFIG_METADATA!$B$4,DATOS!D:D,A268,DATOS!I:I,B268),"—"),"")</f>
        <v>—</v>
      </c>
      <c r="J268" t="str" cm="1">
        <f t="array" ref="J268">IF(V268="Sí",IFERROR(_xlfn.MODE.SNGL(IF((DATOS!$G$2:$G$20000=CONFIG_METADATA!$B$4)*(DATOS!$D$2:$D$20000=A268)*(DATOS!$I$2:$I$20000=B268)*(DATOS!$L$2:$L$20000="S"),DATOS!$K$2:$K$20000)),"—"),"")</f>
        <v>—</v>
      </c>
      <c r="K268" t="str" cm="1">
        <f t="array" ref="K268">IF(V268="Sí",IFERROR(_xlfn.MODE.SNGL(IF((DATOS!$G$2:$G$20000=CONFIG_METADATA!$B$4)*(DATOS!$D$2:$D$20000=A268)*(DATOS!$I$2:$I$20000=B268)*(DATOS!$L$2:$L$20000="N"),DATOS!$K$2:$K$20000)),"—"),"")</f>
        <v>—</v>
      </c>
      <c r="L268">
        <f>IF(V268="Sí",COUNTIFS(DATOS!G:G,CONFIG_METADATA!$B$4,DATOS!D:D,A268,DATOS!I:I,B268,DATOS!K:K,1),"")</f>
        <v>0</v>
      </c>
      <c r="M268">
        <f>IF(V268="Sí",COUNTIFS(DATOS!G:G,CONFIG_METADATA!$B$4,DATOS!D:D,A268,DATOS!I:I,B268,DATOS!K:K,2),"")</f>
        <v>0</v>
      </c>
      <c r="N268">
        <f>IF(V268="Sí",COUNTIFS(DATOS!G:G,CONFIG_METADATA!$B$4,DATOS!D:D,A268,DATOS!I:I,B268,DATOS!K:K,3),"")</f>
        <v>0</v>
      </c>
      <c r="O268">
        <f>IF(V268="Sí",COUNTIFS(DATOS!G:G,CONFIG_METADATA!$B$4,DATOS!D:D,A268,DATOS!I:I,B268,DATOS!K:K,4),"")</f>
        <v>0</v>
      </c>
      <c r="P268">
        <f>IF(V268="Sí",COUNTIFS(DATOS!G:G,CONFIG_METADATA!$B$4,DATOS!D:D,A268,DATOS!I:I,B268,DATOS!K:K,5),"")</f>
        <v>0</v>
      </c>
      <c r="Q268">
        <f>IF(V268="Sí",COUNTIFS(DATOS!G:G,CONFIG_METADATA!$B$4,DATOS!D:D,A268,DATOS!I:I,B268,DATOS!K:K,6),"")</f>
        <v>0</v>
      </c>
      <c r="R268">
        <f>IF(V268="Sí",COUNTIFS(DATOS!G:G,CONFIG_METADATA!$B$4,DATOS!D:D,A268,DATOS!I:I,B268,DATOS!K:K,7),"")</f>
        <v>0</v>
      </c>
      <c r="S268">
        <f>IF(V268="Sí",COUNTIFS(DATOS!G:G,CONFIG_METADATA!$B$4,DATOS!D:D,A268,DATOS!I:I,B268,DATOS!K:K,8),"")</f>
        <v>0</v>
      </c>
      <c r="T268">
        <f>IF(V268="Sí",COUNTIFS(DATOS!G:G,CONFIG_METADATA!$B$4,DATOS!D:D,A268,DATOS!I:I,B268,DATOS!K:K,9),"")</f>
        <v>0</v>
      </c>
      <c r="U268">
        <f>IF(V268="Sí",COUNTIFS(DATOS!G:G,CONFIG_METADATA!$B$4,DATOS!D:D,A268,DATOS!I:I,B268,DATOS!K:K,10),"")</f>
        <v>0</v>
      </c>
      <c r="V268" t="str">
        <f>IFERROR(IF(ISERROR(FIND(A268,VLOOKUP(B268,CONFIG_ASIGNATURAS!B:C,2,FALSE()))),"No","Sí"),"No")</f>
        <v>Sí</v>
      </c>
    </row>
    <row r="269" spans="1:22">
      <c r="A269" s="3" t="inlineStr">
        <is>
          <t xml:space="preserve">4EEM</t>
        </is>
      </c>
      <c r="B269" s="3" cm="1">
        <f t="array" ref="B269">IFERROR(INDEX(_xlfn._xlws.FILTER(CONFIG_ASIGNATURAS!$B$2:$B$61,(CONFIG_ASIGNATURAS!$G$2:$G$61="Sí")*ISNUMBER(SEARCH("4EEM",CONFIG_ASIGNATURAS!$C$2:$C$61))),13),"")</f>
      </c>
      <c r="C269" s="3">
        <f>IF(B269="","",IFERROR(IF(VLOOKUP(B269,CONFIG_ASIGNATURAS!$B$2:$F$61,5,FALSE())="Sí","Especialidad","Asignatura"),"Asignatura"))</f>
      </c>
      <c r="D269">
        <f>IF(V269="Sí",COUNTIFS(DATOS!G:G,CONFIG_METADATA!$B$4,DATOS!D:D,A269,DATOS!I:I,B269),"")</f>
        <v>0</v>
      </c>
      <c r="E269" s="14" t="str">
        <f>IF(V269="Sí",IFERROR(AVERAGEIFS(DATOS!K:K,DATOS!G:G,CONFIG_METADATA!$B$4,DATOS!D:D,A269,DATOS!I:I,B269),"—"),"")</f>
        <v>—</v>
      </c>
      <c r="F269" s="14" t="str" cm="1">
        <f t="array" ref="F269">IF(V269="Sí",IFERROR(_xlfn.STDEV.P(IF((DATOS!$G$2:$G$20000=CONFIG_METADATA!$B$4)*(DATOS!$D$2:$D$20000=A269)*(DATOS!$I$2:$I$20000=B269),DATOS!$K$2:$K$20000)),"—"),"")</f>
        <v>—</v>
      </c>
      <c r="G269" t="str" cm="1">
        <f t="array" ref="G269">IF(V269="Sí",IFERROR(_xlfn.MODE.SNGL(IF((DATOS!$G$2:$G$20000=CONFIG_METADATA!$B$4)*(DATOS!$D$2:$D$20000=A269)*(DATOS!$I$2:$I$20000=B269),DATOS!$K$2:$K$20000)),"—"),"")</f>
        <v>—</v>
      </c>
      <c r="H269" s="15" t="str">
        <f>IF(V269="Sí",IFERROR(COUNTIFS(DATOS!G:G,CONFIG_METADATA!$B$4,DATOS!D:D,A269,DATOS!I:I,B269,DATOS!L:L,"S")/COUNTIFS(DATOS!G:G,CONFIG_METADATA!$B$4,DATOS!D:D,A269,DATOS!I:I,B269),"—"),"")</f>
        <v>—</v>
      </c>
      <c r="I269" s="15" t="str">
        <f>IF(V269="Sí",IFERROR(COUNTIFS(DATOS!G:G,CONFIG_METADATA!$B$4,DATOS!D:D,A269,DATOS!I:I,B269,DATOS!L:L,"N")/COUNTIFS(DATOS!G:G,CONFIG_METADATA!$B$4,DATOS!D:D,A269,DATOS!I:I,B269),"—"),"")</f>
        <v>—</v>
      </c>
      <c r="J269" t="str" cm="1">
        <f t="array" ref="J269">IF(V269="Sí",IFERROR(_xlfn.MODE.SNGL(IF((DATOS!$G$2:$G$20000=CONFIG_METADATA!$B$4)*(DATOS!$D$2:$D$20000=A269)*(DATOS!$I$2:$I$20000=B269)*(DATOS!$L$2:$L$20000="S"),DATOS!$K$2:$K$20000)),"—"),"")</f>
        <v>—</v>
      </c>
      <c r="K269" t="str" cm="1">
        <f t="array" ref="K269">IF(V269="Sí",IFERROR(_xlfn.MODE.SNGL(IF((DATOS!$G$2:$G$20000=CONFIG_METADATA!$B$4)*(DATOS!$D$2:$D$20000=A269)*(DATOS!$I$2:$I$20000=B269)*(DATOS!$L$2:$L$20000="N"),DATOS!$K$2:$K$20000)),"—"),"")</f>
        <v>—</v>
      </c>
      <c r="L269">
        <f>IF(V269="Sí",COUNTIFS(DATOS!G:G,CONFIG_METADATA!$B$4,DATOS!D:D,A269,DATOS!I:I,B269,DATOS!K:K,1),"")</f>
        <v>0</v>
      </c>
      <c r="M269">
        <f>IF(V269="Sí",COUNTIFS(DATOS!G:G,CONFIG_METADATA!$B$4,DATOS!D:D,A269,DATOS!I:I,B269,DATOS!K:K,2),"")</f>
        <v>0</v>
      </c>
      <c r="N269">
        <f>IF(V269="Sí",COUNTIFS(DATOS!G:G,CONFIG_METADATA!$B$4,DATOS!D:D,A269,DATOS!I:I,B269,DATOS!K:K,3),"")</f>
        <v>0</v>
      </c>
      <c r="O269">
        <f>IF(V269="Sí",COUNTIFS(DATOS!G:G,CONFIG_METADATA!$B$4,DATOS!D:D,A269,DATOS!I:I,B269,DATOS!K:K,4),"")</f>
        <v>0</v>
      </c>
      <c r="P269">
        <f>IF(V269="Sí",COUNTIFS(DATOS!G:G,CONFIG_METADATA!$B$4,DATOS!D:D,A269,DATOS!I:I,B269,DATOS!K:K,5),"")</f>
        <v>0</v>
      </c>
      <c r="Q269">
        <f>IF(V269="Sí",COUNTIFS(DATOS!G:G,CONFIG_METADATA!$B$4,DATOS!D:D,A269,DATOS!I:I,B269,DATOS!K:K,6),"")</f>
        <v>0</v>
      </c>
      <c r="R269">
        <f>IF(V269="Sí",COUNTIFS(DATOS!G:G,CONFIG_METADATA!$B$4,DATOS!D:D,A269,DATOS!I:I,B269,DATOS!K:K,7),"")</f>
        <v>0</v>
      </c>
      <c r="S269">
        <f>IF(V269="Sí",COUNTIFS(DATOS!G:G,CONFIG_METADATA!$B$4,DATOS!D:D,A269,DATOS!I:I,B269,DATOS!K:K,8),"")</f>
        <v>0</v>
      </c>
      <c r="T269">
        <f>IF(V269="Sí",COUNTIFS(DATOS!G:G,CONFIG_METADATA!$B$4,DATOS!D:D,A269,DATOS!I:I,B269,DATOS!K:K,9),"")</f>
        <v>0</v>
      </c>
      <c r="U269">
        <f>IF(V269="Sí",COUNTIFS(DATOS!G:G,CONFIG_METADATA!$B$4,DATOS!D:D,A269,DATOS!I:I,B269,DATOS!K:K,10),"")</f>
        <v>0</v>
      </c>
      <c r="V269" t="str">
        <f>IFERROR(IF(ISERROR(FIND(A269,VLOOKUP(B269,CONFIG_ASIGNATURAS!B:C,2,FALSE()))),"No","Sí"),"No")</f>
        <v>Sí</v>
      </c>
    </row>
    <row r="270" spans="1:22">
      <c r="A270" s="3" t="inlineStr">
        <is>
          <t xml:space="preserve">4EEM</t>
        </is>
      </c>
      <c r="B270" s="3" cm="1">
        <f t="array" ref="B270">IFERROR(INDEX(_xlfn._xlws.FILTER(CONFIG_ASIGNATURAS!$B$2:$B$61,(CONFIG_ASIGNATURAS!$G$2:$G$61="Sí")*ISNUMBER(SEARCH("4EEM",CONFIG_ASIGNATURAS!$C$2:$C$61))),14),"")</f>
      </c>
      <c r="C270" s="3">
        <f>IF(B270="","",IFERROR(IF(VLOOKUP(B270,CONFIG_ASIGNATURAS!$B$2:$F$61,5,FALSE())="Sí","Especialidad","Asignatura"),"Asignatura"))</f>
      </c>
      <c r="D270">
        <f>IF(V270="Sí",COUNTIFS(DATOS!G:G,CONFIG_METADATA!$B$4,DATOS!D:D,A270,DATOS!I:I,B270),"")</f>
        <v>0</v>
      </c>
      <c r="E270" s="14" t="str">
        <f>IF(V270="Sí",IFERROR(AVERAGEIFS(DATOS!K:K,DATOS!G:G,CONFIG_METADATA!$B$4,DATOS!D:D,A270,DATOS!I:I,B270),"—"),"")</f>
        <v>—</v>
      </c>
      <c r="F270" s="14" t="str" cm="1">
        <f t="array" ref="F270">IF(V270="Sí",IFERROR(_xlfn.STDEV.P(IF((DATOS!$G$2:$G$20000=CONFIG_METADATA!$B$4)*(DATOS!$D$2:$D$20000=A270)*(DATOS!$I$2:$I$20000=B270),DATOS!$K$2:$K$20000)),"—"),"")</f>
        <v>—</v>
      </c>
      <c r="G270" t="str" cm="1">
        <f t="array" ref="G270">IF(V270="Sí",IFERROR(_xlfn.MODE.SNGL(IF((DATOS!$G$2:$G$20000=CONFIG_METADATA!$B$4)*(DATOS!$D$2:$D$20000=A270)*(DATOS!$I$2:$I$20000=B270),DATOS!$K$2:$K$20000)),"—"),"")</f>
        <v>—</v>
      </c>
      <c r="H270" s="15" t="str">
        <f>IF(V270="Sí",IFERROR(COUNTIFS(DATOS!G:G,CONFIG_METADATA!$B$4,DATOS!D:D,A270,DATOS!I:I,B270,DATOS!L:L,"S")/COUNTIFS(DATOS!G:G,CONFIG_METADATA!$B$4,DATOS!D:D,A270,DATOS!I:I,B270),"—"),"")</f>
        <v>—</v>
      </c>
      <c r="I270" s="15" t="str">
        <f>IF(V270="Sí",IFERROR(COUNTIFS(DATOS!G:G,CONFIG_METADATA!$B$4,DATOS!D:D,A270,DATOS!I:I,B270,DATOS!L:L,"N")/COUNTIFS(DATOS!G:G,CONFIG_METADATA!$B$4,DATOS!D:D,A270,DATOS!I:I,B270),"—"),"")</f>
        <v>—</v>
      </c>
      <c r="J270" t="str" cm="1">
        <f t="array" ref="J270">IF(V270="Sí",IFERROR(_xlfn.MODE.SNGL(IF((DATOS!$G$2:$G$20000=CONFIG_METADATA!$B$4)*(DATOS!$D$2:$D$20000=A270)*(DATOS!$I$2:$I$20000=B270)*(DATOS!$L$2:$L$20000="S"),DATOS!$K$2:$K$20000)),"—"),"")</f>
        <v>—</v>
      </c>
      <c r="K270" t="str" cm="1">
        <f t="array" ref="K270">IF(V270="Sí",IFERROR(_xlfn.MODE.SNGL(IF((DATOS!$G$2:$G$20000=CONFIG_METADATA!$B$4)*(DATOS!$D$2:$D$20000=A270)*(DATOS!$I$2:$I$20000=B270)*(DATOS!$L$2:$L$20000="N"),DATOS!$K$2:$K$20000)),"—"),"")</f>
        <v>—</v>
      </c>
      <c r="L270">
        <f>IF(V270="Sí",COUNTIFS(DATOS!G:G,CONFIG_METADATA!$B$4,DATOS!D:D,A270,DATOS!I:I,B270,DATOS!K:K,1),"")</f>
        <v>0</v>
      </c>
      <c r="M270">
        <f>IF(V270="Sí",COUNTIFS(DATOS!G:G,CONFIG_METADATA!$B$4,DATOS!D:D,A270,DATOS!I:I,B270,DATOS!K:K,2),"")</f>
        <v>0</v>
      </c>
      <c r="N270">
        <f>IF(V270="Sí",COUNTIFS(DATOS!G:G,CONFIG_METADATA!$B$4,DATOS!D:D,A270,DATOS!I:I,B270,DATOS!K:K,3),"")</f>
        <v>0</v>
      </c>
      <c r="O270">
        <f>IF(V270="Sí",COUNTIFS(DATOS!G:G,CONFIG_METADATA!$B$4,DATOS!D:D,A270,DATOS!I:I,B270,DATOS!K:K,4),"")</f>
        <v>0</v>
      </c>
      <c r="P270">
        <f>IF(V270="Sí",COUNTIFS(DATOS!G:G,CONFIG_METADATA!$B$4,DATOS!D:D,A270,DATOS!I:I,B270,DATOS!K:K,5),"")</f>
        <v>0</v>
      </c>
      <c r="Q270">
        <f>IF(V270="Sí",COUNTIFS(DATOS!G:G,CONFIG_METADATA!$B$4,DATOS!D:D,A270,DATOS!I:I,B270,DATOS!K:K,6),"")</f>
        <v>0</v>
      </c>
      <c r="R270">
        <f>IF(V270="Sí",COUNTIFS(DATOS!G:G,CONFIG_METADATA!$B$4,DATOS!D:D,A270,DATOS!I:I,B270,DATOS!K:K,7),"")</f>
        <v>0</v>
      </c>
      <c r="S270">
        <f>IF(V270="Sí",COUNTIFS(DATOS!G:G,CONFIG_METADATA!$B$4,DATOS!D:D,A270,DATOS!I:I,B270,DATOS!K:K,8),"")</f>
        <v>0</v>
      </c>
      <c r="T270">
        <f>IF(V270="Sí",COUNTIFS(DATOS!G:G,CONFIG_METADATA!$B$4,DATOS!D:D,A270,DATOS!I:I,B270,DATOS!K:K,9),"")</f>
        <v>0</v>
      </c>
      <c r="U270">
        <f>IF(V270="Sí",COUNTIFS(DATOS!G:G,CONFIG_METADATA!$B$4,DATOS!D:D,A270,DATOS!I:I,B270,DATOS!K:K,10),"")</f>
        <v>0</v>
      </c>
      <c r="V270" t="str">
        <f>IFERROR(IF(ISERROR(FIND(A270,VLOOKUP(B270,CONFIG_ASIGNATURAS!B:C,2,FALSE()))),"No","Sí"),"No")</f>
        <v>Sí</v>
      </c>
    </row>
    <row r="271" spans="1:22">
      <c r="A271" s="3" t="inlineStr">
        <is>
          <t xml:space="preserve">4EEM</t>
        </is>
      </c>
      <c r="B271" s="3" cm="1">
        <f t="array" ref="B271">IFERROR(INDEX(_xlfn._xlws.FILTER(CONFIG_ASIGNATURAS!$B$2:$B$61,(CONFIG_ASIGNATURAS!$G$2:$G$61="Sí")*ISNUMBER(SEARCH("4EEM",CONFIG_ASIGNATURAS!$C$2:$C$61))),15),"")</f>
      </c>
      <c r="C271" s="3">
        <f>IF(B271="","",IFERROR(IF(VLOOKUP(B271,CONFIG_ASIGNATURAS!$B$2:$F$61,5,FALSE())="Sí","Especialidad","Asignatura"),"Asignatura"))</f>
      </c>
      <c r="D271">
        <f>IF(V271="Sí",COUNTIFS(DATOS!G:G,CONFIG_METADATA!$B$4,DATOS!D:D,A271,DATOS!I:I,B271),"")</f>
        <v>0</v>
      </c>
      <c r="E271" s="14" t="str">
        <f>IF(V271="Sí",IFERROR(AVERAGEIFS(DATOS!K:K,DATOS!G:G,CONFIG_METADATA!$B$4,DATOS!D:D,A271,DATOS!I:I,B271),"—"),"")</f>
        <v>—</v>
      </c>
      <c r="F271" s="14" t="str" cm="1">
        <f t="array" ref="F271">IF(V271="Sí",IFERROR(_xlfn.STDEV.P(IF((DATOS!$G$2:$G$20000=CONFIG_METADATA!$B$4)*(DATOS!$D$2:$D$20000=A271)*(DATOS!$I$2:$I$20000=B271),DATOS!$K$2:$K$20000)),"—"),"")</f>
        <v>—</v>
      </c>
      <c r="G271" t="str" cm="1">
        <f t="array" ref="G271">IF(V271="Sí",IFERROR(_xlfn.MODE.SNGL(IF((DATOS!$G$2:$G$20000=CONFIG_METADATA!$B$4)*(DATOS!$D$2:$D$20000=A271)*(DATOS!$I$2:$I$20000=B271),DATOS!$K$2:$K$20000)),"—"),"")</f>
        <v>—</v>
      </c>
      <c r="H271" s="15" t="str">
        <f>IF(V271="Sí",IFERROR(COUNTIFS(DATOS!G:G,CONFIG_METADATA!$B$4,DATOS!D:D,A271,DATOS!I:I,B271,DATOS!L:L,"S")/COUNTIFS(DATOS!G:G,CONFIG_METADATA!$B$4,DATOS!D:D,A271,DATOS!I:I,B271),"—"),"")</f>
        <v>—</v>
      </c>
      <c r="I271" s="15" t="str">
        <f>IF(V271="Sí",IFERROR(COUNTIFS(DATOS!G:G,CONFIG_METADATA!$B$4,DATOS!D:D,A271,DATOS!I:I,B271,DATOS!L:L,"N")/COUNTIFS(DATOS!G:G,CONFIG_METADATA!$B$4,DATOS!D:D,A271,DATOS!I:I,B271),"—"),"")</f>
        <v>—</v>
      </c>
      <c r="J271" t="str" cm="1">
        <f t="array" ref="J271">IF(V271="Sí",IFERROR(_xlfn.MODE.SNGL(IF((DATOS!$G$2:$G$20000=CONFIG_METADATA!$B$4)*(DATOS!$D$2:$D$20000=A271)*(DATOS!$I$2:$I$20000=B271)*(DATOS!$L$2:$L$20000="S"),DATOS!$K$2:$K$20000)),"—"),"")</f>
        <v>—</v>
      </c>
      <c r="K271" t="str" cm="1">
        <f t="array" ref="K271">IF(V271="Sí",IFERROR(_xlfn.MODE.SNGL(IF((DATOS!$G$2:$G$20000=CONFIG_METADATA!$B$4)*(DATOS!$D$2:$D$20000=A271)*(DATOS!$I$2:$I$20000=B271)*(DATOS!$L$2:$L$20000="N"),DATOS!$K$2:$K$20000)),"—"),"")</f>
        <v>—</v>
      </c>
      <c r="L271">
        <f>IF(V271="Sí",COUNTIFS(DATOS!G:G,CONFIG_METADATA!$B$4,DATOS!D:D,A271,DATOS!I:I,B271,DATOS!K:K,1),"")</f>
        <v>0</v>
      </c>
      <c r="M271">
        <f>IF(V271="Sí",COUNTIFS(DATOS!G:G,CONFIG_METADATA!$B$4,DATOS!D:D,A271,DATOS!I:I,B271,DATOS!K:K,2),"")</f>
        <v>0</v>
      </c>
      <c r="N271">
        <f>IF(V271="Sí",COUNTIFS(DATOS!G:G,CONFIG_METADATA!$B$4,DATOS!D:D,A271,DATOS!I:I,B271,DATOS!K:K,3),"")</f>
        <v>0</v>
      </c>
      <c r="O271">
        <f>IF(V271="Sí",COUNTIFS(DATOS!G:G,CONFIG_METADATA!$B$4,DATOS!D:D,A271,DATOS!I:I,B271,DATOS!K:K,4),"")</f>
        <v>0</v>
      </c>
      <c r="P271">
        <f>IF(V271="Sí",COUNTIFS(DATOS!G:G,CONFIG_METADATA!$B$4,DATOS!D:D,A271,DATOS!I:I,B271,DATOS!K:K,5),"")</f>
        <v>0</v>
      </c>
      <c r="Q271">
        <f>IF(V271="Sí",COUNTIFS(DATOS!G:G,CONFIG_METADATA!$B$4,DATOS!D:D,A271,DATOS!I:I,B271,DATOS!K:K,6),"")</f>
        <v>0</v>
      </c>
      <c r="R271">
        <f>IF(V271="Sí",COUNTIFS(DATOS!G:G,CONFIG_METADATA!$B$4,DATOS!D:D,A271,DATOS!I:I,B271,DATOS!K:K,7),"")</f>
        <v>0</v>
      </c>
      <c r="S271">
        <f>IF(V271="Sí",COUNTIFS(DATOS!G:G,CONFIG_METADATA!$B$4,DATOS!D:D,A271,DATOS!I:I,B271,DATOS!K:K,8),"")</f>
        <v>0</v>
      </c>
      <c r="T271">
        <f>IF(V271="Sí",COUNTIFS(DATOS!G:G,CONFIG_METADATA!$B$4,DATOS!D:D,A271,DATOS!I:I,B271,DATOS!K:K,9),"")</f>
        <v>0</v>
      </c>
      <c r="U271">
        <f>IF(V271="Sí",COUNTIFS(DATOS!G:G,CONFIG_METADATA!$B$4,DATOS!D:D,A271,DATOS!I:I,B271,DATOS!K:K,10),"")</f>
        <v>0</v>
      </c>
      <c r="V271" t="str">
        <f>IFERROR(IF(ISERROR(FIND(A271,VLOOKUP(B271,CONFIG_ASIGNATURAS!B:C,2,FALSE()))),"No","Sí"),"No")</f>
        <v>Sí</v>
      </c>
    </row>
    <row r="272" spans="1:22">
      <c r="A272" s="3" t="inlineStr">
        <is>
          <t xml:space="preserve">4EEM</t>
        </is>
      </c>
      <c r="B272" s="3" cm="1">
        <f t="array" ref="B272">IFERROR(INDEX(_xlfn._xlws.FILTER(CONFIG_ASIGNATURAS!$B$2:$B$61,(CONFIG_ASIGNATURAS!$G$2:$G$61="Sí")*ISNUMBER(SEARCH("4EEM",CONFIG_ASIGNATURAS!$C$2:$C$61))),16),"")</f>
      </c>
      <c r="C272" s="3">
        <f>IF(B272="","",IFERROR(IF(VLOOKUP(B272,CONFIG_ASIGNATURAS!$B$2:$F$61,5,FALSE())="Sí","Especialidad","Asignatura"),"Asignatura"))</f>
      </c>
      <c r="D272">
        <f>IF(V272="Sí",COUNTIFS(DATOS!G:G,CONFIG_METADATA!$B$4,DATOS!D:D,A272,DATOS!I:I,B272),"")</f>
        <v>0</v>
      </c>
      <c r="E272" s="14" t="str">
        <f>IF(V272="Sí",IFERROR(AVERAGEIFS(DATOS!K:K,DATOS!G:G,CONFIG_METADATA!$B$4,DATOS!D:D,A272,DATOS!I:I,B272),"—"),"")</f>
        <v>—</v>
      </c>
      <c r="F272" s="14" t="str" cm="1">
        <f t="array" ref="F272">IF(V272="Sí",IFERROR(_xlfn.STDEV.P(IF((DATOS!$G$2:$G$20000=CONFIG_METADATA!$B$4)*(DATOS!$D$2:$D$20000=A272)*(DATOS!$I$2:$I$20000=B272),DATOS!$K$2:$K$20000)),"—"),"")</f>
        <v>—</v>
      </c>
      <c r="G272" t="str" cm="1">
        <f t="array" ref="G272">IF(V272="Sí",IFERROR(_xlfn.MODE.SNGL(IF((DATOS!$G$2:$G$20000=CONFIG_METADATA!$B$4)*(DATOS!$D$2:$D$20000=A272)*(DATOS!$I$2:$I$20000=B272),DATOS!$K$2:$K$20000)),"—"),"")</f>
        <v>—</v>
      </c>
      <c r="H272" s="15" t="str">
        <f>IF(V272="Sí",IFERROR(COUNTIFS(DATOS!G:G,CONFIG_METADATA!$B$4,DATOS!D:D,A272,DATOS!I:I,B272,DATOS!L:L,"S")/COUNTIFS(DATOS!G:G,CONFIG_METADATA!$B$4,DATOS!D:D,A272,DATOS!I:I,B272),"—"),"")</f>
        <v>—</v>
      </c>
      <c r="I272" s="15" t="str">
        <f>IF(V272="Sí",IFERROR(COUNTIFS(DATOS!G:G,CONFIG_METADATA!$B$4,DATOS!D:D,A272,DATOS!I:I,B272,DATOS!L:L,"N")/COUNTIFS(DATOS!G:G,CONFIG_METADATA!$B$4,DATOS!D:D,A272,DATOS!I:I,B272),"—"),"")</f>
        <v>—</v>
      </c>
      <c r="J272" t="str" cm="1">
        <f t="array" ref="J272">IF(V272="Sí",IFERROR(_xlfn.MODE.SNGL(IF((DATOS!$G$2:$G$20000=CONFIG_METADATA!$B$4)*(DATOS!$D$2:$D$20000=A272)*(DATOS!$I$2:$I$20000=B272)*(DATOS!$L$2:$L$20000="S"),DATOS!$K$2:$K$20000)),"—"),"")</f>
        <v>—</v>
      </c>
      <c r="K272" t="str" cm="1">
        <f t="array" ref="K272">IF(V272="Sí",IFERROR(_xlfn.MODE.SNGL(IF((DATOS!$G$2:$G$20000=CONFIG_METADATA!$B$4)*(DATOS!$D$2:$D$20000=A272)*(DATOS!$I$2:$I$20000=B272)*(DATOS!$L$2:$L$20000="N"),DATOS!$K$2:$K$20000)),"—"),"")</f>
        <v>—</v>
      </c>
      <c r="L272">
        <f>IF(V272="Sí",COUNTIFS(DATOS!G:G,CONFIG_METADATA!$B$4,DATOS!D:D,A272,DATOS!I:I,B272,DATOS!K:K,1),"")</f>
        <v>0</v>
      </c>
      <c r="M272">
        <f>IF(V272="Sí",COUNTIFS(DATOS!G:G,CONFIG_METADATA!$B$4,DATOS!D:D,A272,DATOS!I:I,B272,DATOS!K:K,2),"")</f>
        <v>0</v>
      </c>
      <c r="N272">
        <f>IF(V272="Sí",COUNTIFS(DATOS!G:G,CONFIG_METADATA!$B$4,DATOS!D:D,A272,DATOS!I:I,B272,DATOS!K:K,3),"")</f>
        <v>0</v>
      </c>
      <c r="O272">
        <f>IF(V272="Sí",COUNTIFS(DATOS!G:G,CONFIG_METADATA!$B$4,DATOS!D:D,A272,DATOS!I:I,B272,DATOS!K:K,4),"")</f>
        <v>0</v>
      </c>
      <c r="P272">
        <f>IF(V272="Sí",COUNTIFS(DATOS!G:G,CONFIG_METADATA!$B$4,DATOS!D:D,A272,DATOS!I:I,B272,DATOS!K:K,5),"")</f>
        <v>0</v>
      </c>
      <c r="Q272">
        <f>IF(V272="Sí",COUNTIFS(DATOS!G:G,CONFIG_METADATA!$B$4,DATOS!D:D,A272,DATOS!I:I,B272,DATOS!K:K,6),"")</f>
        <v>0</v>
      </c>
      <c r="R272">
        <f>IF(V272="Sí",COUNTIFS(DATOS!G:G,CONFIG_METADATA!$B$4,DATOS!D:D,A272,DATOS!I:I,B272,DATOS!K:K,7),"")</f>
        <v>0</v>
      </c>
      <c r="S272">
        <f>IF(V272="Sí",COUNTIFS(DATOS!G:G,CONFIG_METADATA!$B$4,DATOS!D:D,A272,DATOS!I:I,B272,DATOS!K:K,8),"")</f>
        <v>0</v>
      </c>
      <c r="T272">
        <f>IF(V272="Sí",COUNTIFS(DATOS!G:G,CONFIG_METADATA!$B$4,DATOS!D:D,A272,DATOS!I:I,B272,DATOS!K:K,9),"")</f>
        <v>0</v>
      </c>
      <c r="U272">
        <f>IF(V272="Sí",COUNTIFS(DATOS!G:G,CONFIG_METADATA!$B$4,DATOS!D:D,A272,DATOS!I:I,B272,DATOS!K:K,10),"")</f>
        <v>0</v>
      </c>
      <c r="V272" t="str">
        <f>IFERROR(IF(ISERROR(FIND(A272,VLOOKUP(B272,CONFIG_ASIGNATURAS!B:C,2,FALSE()))),"No","Sí"),"No")</f>
        <v>Sí</v>
      </c>
    </row>
    <row r="273" spans="1:22">
      <c r="A273" s="3" t="inlineStr">
        <is>
          <t xml:space="preserve">4EEM</t>
        </is>
      </c>
      <c r="B273" s="3" cm="1">
        <f t="array" ref="B273">IFERROR(INDEX(_xlfn._xlws.FILTER(CONFIG_ASIGNATURAS!$B$2:$B$61,(CONFIG_ASIGNATURAS!$G$2:$G$61="Sí")*ISNUMBER(SEARCH("4EEM",CONFIG_ASIGNATURAS!$C$2:$C$61))),17),"")</f>
      </c>
      <c r="C273" s="3">
        <f>IF(B273="","",IFERROR(IF(VLOOKUP(B273,CONFIG_ASIGNATURAS!$B$2:$F$61,5,FALSE())="Sí","Especialidad","Asignatura"),"Asignatura"))</f>
      </c>
      <c r="D273">
        <f>IF(V273="Sí",COUNTIFS(DATOS!G:G,CONFIG_METADATA!$B$4,DATOS!D:D,A273,DATOS!I:I,B273),"")</f>
        <v>0</v>
      </c>
      <c r="E273" s="14" t="str">
        <f>IF(V273="Sí",IFERROR(AVERAGEIFS(DATOS!K:K,DATOS!G:G,CONFIG_METADATA!$B$4,DATOS!D:D,A273,DATOS!I:I,B273),"—"),"")</f>
        <v>—</v>
      </c>
      <c r="F273" s="14" t="str" cm="1">
        <f t="array" ref="F273">IF(V273="Sí",IFERROR(_xlfn.STDEV.P(IF((DATOS!$G$2:$G$20000=CONFIG_METADATA!$B$4)*(DATOS!$D$2:$D$20000=A273)*(DATOS!$I$2:$I$20000=B273),DATOS!$K$2:$K$20000)),"—"),"")</f>
        <v>—</v>
      </c>
      <c r="G273" t="str" cm="1">
        <f t="array" ref="G273">IF(V273="Sí",IFERROR(_xlfn.MODE.SNGL(IF((DATOS!$G$2:$G$20000=CONFIG_METADATA!$B$4)*(DATOS!$D$2:$D$20000=A273)*(DATOS!$I$2:$I$20000=B273),DATOS!$K$2:$K$20000)),"—"),"")</f>
        <v>—</v>
      </c>
      <c r="H273" s="15" t="str">
        <f>IF(V273="Sí",IFERROR(COUNTIFS(DATOS!G:G,CONFIG_METADATA!$B$4,DATOS!D:D,A273,DATOS!I:I,B273,DATOS!L:L,"S")/COUNTIFS(DATOS!G:G,CONFIG_METADATA!$B$4,DATOS!D:D,A273,DATOS!I:I,B273),"—"),"")</f>
        <v>—</v>
      </c>
      <c r="I273" s="15" t="str">
        <f>IF(V273="Sí",IFERROR(COUNTIFS(DATOS!G:G,CONFIG_METADATA!$B$4,DATOS!D:D,A273,DATOS!I:I,B273,DATOS!L:L,"N")/COUNTIFS(DATOS!G:G,CONFIG_METADATA!$B$4,DATOS!D:D,A273,DATOS!I:I,B273),"—"),"")</f>
        <v>—</v>
      </c>
      <c r="J273" t="str" cm="1">
        <f t="array" ref="J273">IF(V273="Sí",IFERROR(_xlfn.MODE.SNGL(IF((DATOS!$G$2:$G$20000=CONFIG_METADATA!$B$4)*(DATOS!$D$2:$D$20000=A273)*(DATOS!$I$2:$I$20000=B273)*(DATOS!$L$2:$L$20000="S"),DATOS!$K$2:$K$20000)),"—"),"")</f>
        <v>—</v>
      </c>
      <c r="K273" t="str" cm="1">
        <f t="array" ref="K273">IF(V273="Sí",IFERROR(_xlfn.MODE.SNGL(IF((DATOS!$G$2:$G$20000=CONFIG_METADATA!$B$4)*(DATOS!$D$2:$D$20000=A273)*(DATOS!$I$2:$I$20000=B273)*(DATOS!$L$2:$L$20000="N"),DATOS!$K$2:$K$20000)),"—"),"")</f>
        <v>—</v>
      </c>
      <c r="L273">
        <f>IF(V273="Sí",COUNTIFS(DATOS!G:G,CONFIG_METADATA!$B$4,DATOS!D:D,A273,DATOS!I:I,B273,DATOS!K:K,1),"")</f>
        <v>0</v>
      </c>
      <c r="M273">
        <f>IF(V273="Sí",COUNTIFS(DATOS!G:G,CONFIG_METADATA!$B$4,DATOS!D:D,A273,DATOS!I:I,B273,DATOS!K:K,2),"")</f>
        <v>0</v>
      </c>
      <c r="N273">
        <f>IF(V273="Sí",COUNTIFS(DATOS!G:G,CONFIG_METADATA!$B$4,DATOS!D:D,A273,DATOS!I:I,B273,DATOS!K:K,3),"")</f>
        <v>0</v>
      </c>
      <c r="O273">
        <f>IF(V273="Sí",COUNTIFS(DATOS!G:G,CONFIG_METADATA!$B$4,DATOS!D:D,A273,DATOS!I:I,B273,DATOS!K:K,4),"")</f>
        <v>0</v>
      </c>
      <c r="P273">
        <f>IF(V273="Sí",COUNTIFS(DATOS!G:G,CONFIG_METADATA!$B$4,DATOS!D:D,A273,DATOS!I:I,B273,DATOS!K:K,5),"")</f>
        <v>0</v>
      </c>
      <c r="Q273">
        <f>IF(V273="Sí",COUNTIFS(DATOS!G:G,CONFIG_METADATA!$B$4,DATOS!D:D,A273,DATOS!I:I,B273,DATOS!K:K,6),"")</f>
        <v>0</v>
      </c>
      <c r="R273">
        <f>IF(V273="Sí",COUNTIFS(DATOS!G:G,CONFIG_METADATA!$B$4,DATOS!D:D,A273,DATOS!I:I,B273,DATOS!K:K,7),"")</f>
        <v>0</v>
      </c>
      <c r="S273">
        <f>IF(V273="Sí",COUNTIFS(DATOS!G:G,CONFIG_METADATA!$B$4,DATOS!D:D,A273,DATOS!I:I,B273,DATOS!K:K,8),"")</f>
        <v>0</v>
      </c>
      <c r="T273">
        <f>IF(V273="Sí",COUNTIFS(DATOS!G:G,CONFIG_METADATA!$B$4,DATOS!D:D,A273,DATOS!I:I,B273,DATOS!K:K,9),"")</f>
        <v>0</v>
      </c>
      <c r="U273">
        <f>IF(V273="Sí",COUNTIFS(DATOS!G:G,CONFIG_METADATA!$B$4,DATOS!D:D,A273,DATOS!I:I,B273,DATOS!K:K,10),"")</f>
        <v>0</v>
      </c>
      <c r="V273" t="str">
        <f>IFERROR(IF(ISERROR(FIND(A273,VLOOKUP(B273,CONFIG_ASIGNATURAS!B:C,2,FALSE()))),"No","Sí"),"No")</f>
        <v>Sí</v>
      </c>
    </row>
    <row r="274" spans="1:22">
      <c r="A274" s="3" t="inlineStr">
        <is>
          <t xml:space="preserve">4EEM</t>
        </is>
      </c>
      <c r="B274" s="3" cm="1">
        <f t="array" ref="B274">IFERROR(INDEX(_xlfn._xlws.FILTER(CONFIG_ASIGNATURAS!$B$2:$B$61,(CONFIG_ASIGNATURAS!$G$2:$G$61="Sí")*ISNUMBER(SEARCH("4EEM",CONFIG_ASIGNATURAS!$C$2:$C$61))),18),"")</f>
      </c>
      <c r="C274" s="3">
        <f>IF(B274="","",IFERROR(IF(VLOOKUP(B274,CONFIG_ASIGNATURAS!$B$2:$F$61,5,FALSE())="Sí","Especialidad","Asignatura"),"Asignatura"))</f>
      </c>
      <c r="D274">
        <f>IF(V274="Sí",COUNTIFS(DATOS!G:G,CONFIG_METADATA!$B$4,DATOS!D:D,A274,DATOS!I:I,B274),"")</f>
        <v>0</v>
      </c>
      <c r="E274" s="14" t="str">
        <f>IF(V274="Sí",IFERROR(AVERAGEIFS(DATOS!K:K,DATOS!G:G,CONFIG_METADATA!$B$4,DATOS!D:D,A274,DATOS!I:I,B274),"—"),"")</f>
        <v>—</v>
      </c>
      <c r="F274" s="14" t="str" cm="1">
        <f t="array" ref="F274">IF(V274="Sí",IFERROR(_xlfn.STDEV.P(IF((DATOS!$G$2:$G$20000=CONFIG_METADATA!$B$4)*(DATOS!$D$2:$D$20000=A274)*(DATOS!$I$2:$I$20000=B274),DATOS!$K$2:$K$20000)),"—"),"")</f>
        <v>—</v>
      </c>
      <c r="G274" t="str" cm="1">
        <f t="array" ref="G274">IF(V274="Sí",IFERROR(_xlfn.MODE.SNGL(IF((DATOS!$G$2:$G$20000=CONFIG_METADATA!$B$4)*(DATOS!$D$2:$D$20000=A274)*(DATOS!$I$2:$I$20000=B274),DATOS!$K$2:$K$20000)),"—"),"")</f>
        <v>—</v>
      </c>
      <c r="H274" s="15" t="str">
        <f>IF(V274="Sí",IFERROR(COUNTIFS(DATOS!G:G,CONFIG_METADATA!$B$4,DATOS!D:D,A274,DATOS!I:I,B274,DATOS!L:L,"S")/COUNTIFS(DATOS!G:G,CONFIG_METADATA!$B$4,DATOS!D:D,A274,DATOS!I:I,B274),"—"),"")</f>
        <v>—</v>
      </c>
      <c r="I274" s="15" t="str">
        <f>IF(V274="Sí",IFERROR(COUNTIFS(DATOS!G:G,CONFIG_METADATA!$B$4,DATOS!D:D,A274,DATOS!I:I,B274,DATOS!L:L,"N")/COUNTIFS(DATOS!G:G,CONFIG_METADATA!$B$4,DATOS!D:D,A274,DATOS!I:I,B274),"—"),"")</f>
        <v>—</v>
      </c>
      <c r="J274" t="str" cm="1">
        <f t="array" ref="J274">IF(V274="Sí",IFERROR(_xlfn.MODE.SNGL(IF((DATOS!$G$2:$G$20000=CONFIG_METADATA!$B$4)*(DATOS!$D$2:$D$20000=A274)*(DATOS!$I$2:$I$20000=B274)*(DATOS!$L$2:$L$20000="S"),DATOS!$K$2:$K$20000)),"—"),"")</f>
        <v>—</v>
      </c>
      <c r="K274" t="str" cm="1">
        <f t="array" ref="K274">IF(V274="Sí",IFERROR(_xlfn.MODE.SNGL(IF((DATOS!$G$2:$G$20000=CONFIG_METADATA!$B$4)*(DATOS!$D$2:$D$20000=A274)*(DATOS!$I$2:$I$20000=B274)*(DATOS!$L$2:$L$20000="N"),DATOS!$K$2:$K$20000)),"—"),"")</f>
        <v>—</v>
      </c>
      <c r="L274">
        <f>IF(V274="Sí",COUNTIFS(DATOS!G:G,CONFIG_METADATA!$B$4,DATOS!D:D,A274,DATOS!I:I,B274,DATOS!K:K,1),"")</f>
        <v>0</v>
      </c>
      <c r="M274">
        <f>IF(V274="Sí",COUNTIFS(DATOS!G:G,CONFIG_METADATA!$B$4,DATOS!D:D,A274,DATOS!I:I,B274,DATOS!K:K,2),"")</f>
        <v>0</v>
      </c>
      <c r="N274">
        <f>IF(V274="Sí",COUNTIFS(DATOS!G:G,CONFIG_METADATA!$B$4,DATOS!D:D,A274,DATOS!I:I,B274,DATOS!K:K,3),"")</f>
        <v>0</v>
      </c>
      <c r="O274">
        <f>IF(V274="Sí",COUNTIFS(DATOS!G:G,CONFIG_METADATA!$B$4,DATOS!D:D,A274,DATOS!I:I,B274,DATOS!K:K,4),"")</f>
        <v>0</v>
      </c>
      <c r="P274">
        <f>IF(V274="Sí",COUNTIFS(DATOS!G:G,CONFIG_METADATA!$B$4,DATOS!D:D,A274,DATOS!I:I,B274,DATOS!K:K,5),"")</f>
        <v>0</v>
      </c>
      <c r="Q274">
        <f>IF(V274="Sí",COUNTIFS(DATOS!G:G,CONFIG_METADATA!$B$4,DATOS!D:D,A274,DATOS!I:I,B274,DATOS!K:K,6),"")</f>
        <v>0</v>
      </c>
      <c r="R274">
        <f>IF(V274="Sí",COUNTIFS(DATOS!G:G,CONFIG_METADATA!$B$4,DATOS!D:D,A274,DATOS!I:I,B274,DATOS!K:K,7),"")</f>
        <v>0</v>
      </c>
      <c r="S274">
        <f>IF(V274="Sí",COUNTIFS(DATOS!G:G,CONFIG_METADATA!$B$4,DATOS!D:D,A274,DATOS!I:I,B274,DATOS!K:K,8),"")</f>
        <v>0</v>
      </c>
      <c r="T274">
        <f>IF(V274="Sí",COUNTIFS(DATOS!G:G,CONFIG_METADATA!$B$4,DATOS!D:D,A274,DATOS!I:I,B274,DATOS!K:K,9),"")</f>
        <v>0</v>
      </c>
      <c r="U274">
        <f>IF(V274="Sí",COUNTIFS(DATOS!G:G,CONFIG_METADATA!$B$4,DATOS!D:D,A274,DATOS!I:I,B274,DATOS!K:K,10),"")</f>
        <v>0</v>
      </c>
      <c r="V274" t="str">
        <f>IFERROR(IF(ISERROR(FIND(A274,VLOOKUP(B274,CONFIG_ASIGNATURAS!B:C,2,FALSE()))),"No","Sí"),"No")</f>
        <v>Sí</v>
      </c>
    </row>
    <row r="275" spans="1:22">
      <c r="A275" s="3" t="inlineStr">
        <is>
          <t xml:space="preserve">4EEM</t>
        </is>
      </c>
      <c r="B275" s="3" cm="1">
        <f t="array" ref="B275">IFERROR(INDEX(_xlfn._xlws.FILTER(CONFIG_ASIGNATURAS!$B$2:$B$61,(CONFIG_ASIGNATURAS!$G$2:$G$61="Sí")*ISNUMBER(SEARCH("4EEM",CONFIG_ASIGNATURAS!$C$2:$C$61))),19),"")</f>
      </c>
      <c r="C275" s="3">
        <f>IF(B275="","",IFERROR(IF(VLOOKUP(B275,CONFIG_ASIGNATURAS!$B$2:$F$61,5,FALSE())="Sí","Especialidad","Asignatura"),"Asignatura"))</f>
      </c>
      <c r="D275">
        <f>IF(V275="Sí",COUNTIFS(DATOS!G:G,CONFIG_METADATA!$B$4,DATOS!D:D,A275,DATOS!I:I,B275),"")</f>
        <v>0</v>
      </c>
      <c r="E275" s="14" t="str">
        <f>IF(V275="Sí",IFERROR(AVERAGEIFS(DATOS!K:K,DATOS!G:G,CONFIG_METADATA!$B$4,DATOS!D:D,A275,DATOS!I:I,B275),"—"),"")</f>
        <v>—</v>
      </c>
      <c r="F275" s="14" t="str" cm="1">
        <f t="array" ref="F275">IF(V275="Sí",IFERROR(_xlfn.STDEV.P(IF((DATOS!$G$2:$G$20000=CONFIG_METADATA!$B$4)*(DATOS!$D$2:$D$20000=A275)*(DATOS!$I$2:$I$20000=B275),DATOS!$K$2:$K$20000)),"—"),"")</f>
        <v>—</v>
      </c>
      <c r="G275" t="str" cm="1">
        <f t="array" ref="G275">IF(V275="Sí",IFERROR(_xlfn.MODE.SNGL(IF((DATOS!$G$2:$G$20000=CONFIG_METADATA!$B$4)*(DATOS!$D$2:$D$20000=A275)*(DATOS!$I$2:$I$20000=B275),DATOS!$K$2:$K$20000)),"—"),"")</f>
        <v>—</v>
      </c>
      <c r="H275" s="15" t="str">
        <f>IF(V275="Sí",IFERROR(COUNTIFS(DATOS!G:G,CONFIG_METADATA!$B$4,DATOS!D:D,A275,DATOS!I:I,B275,DATOS!L:L,"S")/COUNTIFS(DATOS!G:G,CONFIG_METADATA!$B$4,DATOS!D:D,A275,DATOS!I:I,B275),"—"),"")</f>
        <v>—</v>
      </c>
      <c r="I275" s="15" t="str">
        <f>IF(V275="Sí",IFERROR(COUNTIFS(DATOS!G:G,CONFIG_METADATA!$B$4,DATOS!D:D,A275,DATOS!I:I,B275,DATOS!L:L,"N")/COUNTIFS(DATOS!G:G,CONFIG_METADATA!$B$4,DATOS!D:D,A275,DATOS!I:I,B275),"—"),"")</f>
        <v>—</v>
      </c>
      <c r="J275" t="str" cm="1">
        <f t="array" ref="J275">IF(V275="Sí",IFERROR(_xlfn.MODE.SNGL(IF((DATOS!$G$2:$G$20000=CONFIG_METADATA!$B$4)*(DATOS!$D$2:$D$20000=A275)*(DATOS!$I$2:$I$20000=B275)*(DATOS!$L$2:$L$20000="S"),DATOS!$K$2:$K$20000)),"—"),"")</f>
        <v>—</v>
      </c>
      <c r="K275" t="str" cm="1">
        <f t="array" ref="K275">IF(V275="Sí",IFERROR(_xlfn.MODE.SNGL(IF((DATOS!$G$2:$G$20000=CONFIG_METADATA!$B$4)*(DATOS!$D$2:$D$20000=A275)*(DATOS!$I$2:$I$20000=B275)*(DATOS!$L$2:$L$20000="N"),DATOS!$K$2:$K$20000)),"—"),"")</f>
        <v>—</v>
      </c>
      <c r="L275">
        <f>IF(V275="Sí",COUNTIFS(DATOS!G:G,CONFIG_METADATA!$B$4,DATOS!D:D,A275,DATOS!I:I,B275,DATOS!K:K,1),"")</f>
        <v>0</v>
      </c>
      <c r="M275">
        <f>IF(V275="Sí",COUNTIFS(DATOS!G:G,CONFIG_METADATA!$B$4,DATOS!D:D,A275,DATOS!I:I,B275,DATOS!K:K,2),"")</f>
        <v>0</v>
      </c>
      <c r="N275">
        <f>IF(V275="Sí",COUNTIFS(DATOS!G:G,CONFIG_METADATA!$B$4,DATOS!D:D,A275,DATOS!I:I,B275,DATOS!K:K,3),"")</f>
        <v>0</v>
      </c>
      <c r="O275">
        <f>IF(V275="Sí",COUNTIFS(DATOS!G:G,CONFIG_METADATA!$B$4,DATOS!D:D,A275,DATOS!I:I,B275,DATOS!K:K,4),"")</f>
        <v>0</v>
      </c>
      <c r="P275">
        <f>IF(V275="Sí",COUNTIFS(DATOS!G:G,CONFIG_METADATA!$B$4,DATOS!D:D,A275,DATOS!I:I,B275,DATOS!K:K,5),"")</f>
        <v>0</v>
      </c>
      <c r="Q275">
        <f>IF(V275="Sí",COUNTIFS(DATOS!G:G,CONFIG_METADATA!$B$4,DATOS!D:D,A275,DATOS!I:I,B275,DATOS!K:K,6),"")</f>
        <v>0</v>
      </c>
      <c r="R275">
        <f>IF(V275="Sí",COUNTIFS(DATOS!G:G,CONFIG_METADATA!$B$4,DATOS!D:D,A275,DATOS!I:I,B275,DATOS!K:K,7),"")</f>
        <v>0</v>
      </c>
      <c r="S275">
        <f>IF(V275="Sí",COUNTIFS(DATOS!G:G,CONFIG_METADATA!$B$4,DATOS!D:D,A275,DATOS!I:I,B275,DATOS!K:K,8),"")</f>
        <v>0</v>
      </c>
      <c r="T275">
        <f>IF(V275="Sí",COUNTIFS(DATOS!G:G,CONFIG_METADATA!$B$4,DATOS!D:D,A275,DATOS!I:I,B275,DATOS!K:K,9),"")</f>
        <v>0</v>
      </c>
      <c r="U275">
        <f>IF(V275="Sí",COUNTIFS(DATOS!G:G,CONFIG_METADATA!$B$4,DATOS!D:D,A275,DATOS!I:I,B275,DATOS!K:K,10),"")</f>
        <v>0</v>
      </c>
      <c r="V275" t="str">
        <f>IFERROR(IF(ISERROR(FIND(A275,VLOOKUP(B275,CONFIG_ASIGNATURAS!B:C,2,FALSE()))),"No","Sí"),"No")</f>
        <v>Sí</v>
      </c>
    </row>
    <row r="276" spans="1:22">
      <c r="A276" s="3" t="inlineStr">
        <is>
          <t xml:space="preserve">4EEM</t>
        </is>
      </c>
      <c r="B276" s="3" cm="1">
        <f t="array" ref="B276">IFERROR(INDEX(_xlfn._xlws.FILTER(CONFIG_ASIGNATURAS!$B$2:$B$61,(CONFIG_ASIGNATURAS!$G$2:$G$61="Sí")*ISNUMBER(SEARCH("4EEM",CONFIG_ASIGNATURAS!$C$2:$C$61))),20),"")</f>
      </c>
      <c r="C276" s="3">
        <f>IF(B276="","",IFERROR(IF(VLOOKUP(B276,CONFIG_ASIGNATURAS!$B$2:$F$61,5,FALSE())="Sí","Especialidad","Asignatura"),"Asignatura"))</f>
      </c>
      <c r="D276">
        <f>IF(V276="Sí",COUNTIFS(DATOS!G:G,CONFIG_METADATA!$B$4,DATOS!D:D,A276,DATOS!I:I,B276),"")</f>
        <v>0</v>
      </c>
      <c r="E276" s="14" t="str">
        <f>IF(V276="Sí",IFERROR(AVERAGEIFS(DATOS!K:K,DATOS!G:G,CONFIG_METADATA!$B$4,DATOS!D:D,A276,DATOS!I:I,B276),"—"),"")</f>
        <v>—</v>
      </c>
      <c r="F276" s="14" t="str" cm="1">
        <f t="array" ref="F276">IF(V276="Sí",IFERROR(_xlfn.STDEV.P(IF((DATOS!$G$2:$G$20000=CONFIG_METADATA!$B$4)*(DATOS!$D$2:$D$20000=A276)*(DATOS!$I$2:$I$20000=B276),DATOS!$K$2:$K$20000)),"—"),"")</f>
        <v>—</v>
      </c>
      <c r="G276" t="str" cm="1">
        <f t="array" ref="G276">IF(V276="Sí",IFERROR(_xlfn.MODE.SNGL(IF((DATOS!$G$2:$G$20000=CONFIG_METADATA!$B$4)*(DATOS!$D$2:$D$20000=A276)*(DATOS!$I$2:$I$20000=B276),DATOS!$K$2:$K$20000)),"—"),"")</f>
        <v>—</v>
      </c>
      <c r="H276" s="15" t="str">
        <f>IF(V276="Sí",IFERROR(COUNTIFS(DATOS!G:G,CONFIG_METADATA!$B$4,DATOS!D:D,A276,DATOS!I:I,B276,DATOS!L:L,"S")/COUNTIFS(DATOS!G:G,CONFIG_METADATA!$B$4,DATOS!D:D,A276,DATOS!I:I,B276),"—"),"")</f>
        <v>—</v>
      </c>
      <c r="I276" s="15" t="str">
        <f>IF(V276="Sí",IFERROR(COUNTIFS(DATOS!G:G,CONFIG_METADATA!$B$4,DATOS!D:D,A276,DATOS!I:I,B276,DATOS!L:L,"N")/COUNTIFS(DATOS!G:G,CONFIG_METADATA!$B$4,DATOS!D:D,A276,DATOS!I:I,B276),"—"),"")</f>
        <v>—</v>
      </c>
      <c r="J276" t="str" cm="1">
        <f t="array" ref="J276">IF(V276="Sí",IFERROR(_xlfn.MODE.SNGL(IF((DATOS!$G$2:$G$20000=CONFIG_METADATA!$B$4)*(DATOS!$D$2:$D$20000=A276)*(DATOS!$I$2:$I$20000=B276)*(DATOS!$L$2:$L$20000="S"),DATOS!$K$2:$K$20000)),"—"),"")</f>
        <v>—</v>
      </c>
      <c r="K276" t="str" cm="1">
        <f t="array" ref="K276">IF(V276="Sí",IFERROR(_xlfn.MODE.SNGL(IF((DATOS!$G$2:$G$20000=CONFIG_METADATA!$B$4)*(DATOS!$D$2:$D$20000=A276)*(DATOS!$I$2:$I$20000=B276)*(DATOS!$L$2:$L$20000="N"),DATOS!$K$2:$K$20000)),"—"),"")</f>
        <v>—</v>
      </c>
      <c r="L276">
        <f>IF(V276="Sí",COUNTIFS(DATOS!G:G,CONFIG_METADATA!$B$4,DATOS!D:D,A276,DATOS!I:I,B276,DATOS!K:K,1),"")</f>
        <v>0</v>
      </c>
      <c r="M276">
        <f>IF(V276="Sí",COUNTIFS(DATOS!G:G,CONFIG_METADATA!$B$4,DATOS!D:D,A276,DATOS!I:I,B276,DATOS!K:K,2),"")</f>
        <v>0</v>
      </c>
      <c r="N276">
        <f>IF(V276="Sí",COUNTIFS(DATOS!G:G,CONFIG_METADATA!$B$4,DATOS!D:D,A276,DATOS!I:I,B276,DATOS!K:K,3),"")</f>
        <v>0</v>
      </c>
      <c r="O276">
        <f>IF(V276="Sí",COUNTIFS(DATOS!G:G,CONFIG_METADATA!$B$4,DATOS!D:D,A276,DATOS!I:I,B276,DATOS!K:K,4),"")</f>
        <v>0</v>
      </c>
      <c r="P276">
        <f>IF(V276="Sí",COUNTIFS(DATOS!G:G,CONFIG_METADATA!$B$4,DATOS!D:D,A276,DATOS!I:I,B276,DATOS!K:K,5),"")</f>
        <v>0</v>
      </c>
      <c r="Q276">
        <f>IF(V276="Sí",COUNTIFS(DATOS!G:G,CONFIG_METADATA!$B$4,DATOS!D:D,A276,DATOS!I:I,B276,DATOS!K:K,6),"")</f>
        <v>0</v>
      </c>
      <c r="R276">
        <f>IF(V276="Sí",COUNTIFS(DATOS!G:G,CONFIG_METADATA!$B$4,DATOS!D:D,A276,DATOS!I:I,B276,DATOS!K:K,7),"")</f>
        <v>0</v>
      </c>
      <c r="S276">
        <f>IF(V276="Sí",COUNTIFS(DATOS!G:G,CONFIG_METADATA!$B$4,DATOS!D:D,A276,DATOS!I:I,B276,DATOS!K:K,8),"")</f>
        <v>0</v>
      </c>
      <c r="T276">
        <f>IF(V276="Sí",COUNTIFS(DATOS!G:G,CONFIG_METADATA!$B$4,DATOS!D:D,A276,DATOS!I:I,B276,DATOS!K:K,9),"")</f>
        <v>0</v>
      </c>
      <c r="U276">
        <f>IF(V276="Sí",COUNTIFS(DATOS!G:G,CONFIG_METADATA!$B$4,DATOS!D:D,A276,DATOS!I:I,B276,DATOS!K:K,10),"")</f>
        <v>0</v>
      </c>
      <c r="V276" t="str">
        <f>IFERROR(IF(ISERROR(FIND(A276,VLOOKUP(B276,CONFIG_ASIGNATURAS!B:C,2,FALSE()))),"No","Sí"),"No")</f>
        <v>Sí</v>
      </c>
    </row>
    <row r="277" spans="1:22">
      <c r="A277" s="3" t="inlineStr">
        <is>
          <t xml:space="preserve">4EEM</t>
        </is>
      </c>
      <c r="B277" s="3" cm="1">
        <f t="array" ref="B277">IFERROR(INDEX(_xlfn._xlws.FILTER(CONFIG_ASIGNATURAS!$B$2:$B$61,(CONFIG_ASIGNATURAS!$G$2:$G$61="Sí")*ISNUMBER(SEARCH("4EEM",CONFIG_ASIGNATURAS!$C$2:$C$61))),21),"")</f>
      </c>
      <c r="C277" s="3">
        <f>IF(B277="","",IFERROR(IF(VLOOKUP(B277,CONFIG_ASIGNATURAS!$B$2:$F$61,5,FALSE())="Sí","Especialidad","Asignatura"),"Asignatura"))</f>
      </c>
      <c r="D277">
        <f>IF(V277="Sí",COUNTIFS(DATOS!G:G,CONFIG_METADATA!$B$4,DATOS!D:D,A277,DATOS!I:I,B277),"")</f>
        <v>0</v>
      </c>
      <c r="E277" s="14" t="str">
        <f>IF(V277="Sí",IFERROR(AVERAGEIFS(DATOS!K:K,DATOS!G:G,CONFIG_METADATA!$B$4,DATOS!D:D,A277,DATOS!I:I,B277),"—"),"")</f>
        <v>—</v>
      </c>
      <c r="F277" s="14" t="str" cm="1">
        <f t="array" ref="F277">IF(V277="Sí",IFERROR(_xlfn.STDEV.P(IF((DATOS!$G$2:$G$20000=CONFIG_METADATA!$B$4)*(DATOS!$D$2:$D$20000=A277)*(DATOS!$I$2:$I$20000=B277),DATOS!$K$2:$K$20000)),"—"),"")</f>
        <v>—</v>
      </c>
      <c r="G277" t="str" cm="1">
        <f t="array" ref="G277">IF(V277="Sí",IFERROR(_xlfn.MODE.SNGL(IF((DATOS!$G$2:$G$20000=CONFIG_METADATA!$B$4)*(DATOS!$D$2:$D$20000=A277)*(DATOS!$I$2:$I$20000=B277),DATOS!$K$2:$K$20000)),"—"),"")</f>
        <v>—</v>
      </c>
      <c r="H277" s="15" t="str">
        <f>IF(V277="Sí",IFERROR(COUNTIFS(DATOS!G:G,CONFIG_METADATA!$B$4,DATOS!D:D,A277,DATOS!I:I,B277,DATOS!L:L,"S")/COUNTIFS(DATOS!G:G,CONFIG_METADATA!$B$4,DATOS!D:D,A277,DATOS!I:I,B277),"—"),"")</f>
        <v>—</v>
      </c>
      <c r="I277" s="15" t="str">
        <f>IF(V277="Sí",IFERROR(COUNTIFS(DATOS!G:G,CONFIG_METADATA!$B$4,DATOS!D:D,A277,DATOS!I:I,B277,DATOS!L:L,"N")/COUNTIFS(DATOS!G:G,CONFIG_METADATA!$B$4,DATOS!D:D,A277,DATOS!I:I,B277),"—"),"")</f>
        <v>—</v>
      </c>
      <c r="J277" t="str" cm="1">
        <f t="array" ref="J277">IF(V277="Sí",IFERROR(_xlfn.MODE.SNGL(IF((DATOS!$G$2:$G$20000=CONFIG_METADATA!$B$4)*(DATOS!$D$2:$D$20000=A277)*(DATOS!$I$2:$I$20000=B277)*(DATOS!$L$2:$L$20000="S"),DATOS!$K$2:$K$20000)),"—"),"")</f>
        <v>—</v>
      </c>
      <c r="K277" t="str" cm="1">
        <f t="array" ref="K277">IF(V277="Sí",IFERROR(_xlfn.MODE.SNGL(IF((DATOS!$G$2:$G$20000=CONFIG_METADATA!$B$4)*(DATOS!$D$2:$D$20000=A277)*(DATOS!$I$2:$I$20000=B277)*(DATOS!$L$2:$L$20000="N"),DATOS!$K$2:$K$20000)),"—"),"")</f>
        <v>—</v>
      </c>
      <c r="L277">
        <f>IF(V277="Sí",COUNTIFS(DATOS!G:G,CONFIG_METADATA!$B$4,DATOS!D:D,A277,DATOS!I:I,B277,DATOS!K:K,1),"")</f>
        <v>0</v>
      </c>
      <c r="M277">
        <f>IF(V277="Sí",COUNTIFS(DATOS!G:G,CONFIG_METADATA!$B$4,DATOS!D:D,A277,DATOS!I:I,B277,DATOS!K:K,2),"")</f>
        <v>0</v>
      </c>
      <c r="N277">
        <f>IF(V277="Sí",COUNTIFS(DATOS!G:G,CONFIG_METADATA!$B$4,DATOS!D:D,A277,DATOS!I:I,B277,DATOS!K:K,3),"")</f>
        <v>0</v>
      </c>
      <c r="O277">
        <f>IF(V277="Sí",COUNTIFS(DATOS!G:G,CONFIG_METADATA!$B$4,DATOS!D:D,A277,DATOS!I:I,B277,DATOS!K:K,4),"")</f>
        <v>0</v>
      </c>
      <c r="P277">
        <f>IF(V277="Sí",COUNTIFS(DATOS!G:G,CONFIG_METADATA!$B$4,DATOS!D:D,A277,DATOS!I:I,B277,DATOS!K:K,5),"")</f>
        <v>0</v>
      </c>
      <c r="Q277">
        <f>IF(V277="Sí",COUNTIFS(DATOS!G:G,CONFIG_METADATA!$B$4,DATOS!D:D,A277,DATOS!I:I,B277,DATOS!K:K,6),"")</f>
        <v>0</v>
      </c>
      <c r="R277">
        <f>IF(V277="Sí",COUNTIFS(DATOS!G:G,CONFIG_METADATA!$B$4,DATOS!D:D,A277,DATOS!I:I,B277,DATOS!K:K,7),"")</f>
        <v>0</v>
      </c>
      <c r="S277">
        <f>IF(V277="Sí",COUNTIFS(DATOS!G:G,CONFIG_METADATA!$B$4,DATOS!D:D,A277,DATOS!I:I,B277,DATOS!K:K,8),"")</f>
        <v>0</v>
      </c>
      <c r="T277">
        <f>IF(V277="Sí",COUNTIFS(DATOS!G:G,CONFIG_METADATA!$B$4,DATOS!D:D,A277,DATOS!I:I,B277,DATOS!K:K,9),"")</f>
        <v>0</v>
      </c>
      <c r="U277">
        <f>IF(V277="Sí",COUNTIFS(DATOS!G:G,CONFIG_METADATA!$B$4,DATOS!D:D,A277,DATOS!I:I,B277,DATOS!K:K,10),"")</f>
        <v>0</v>
      </c>
      <c r="V277" t="str">
        <f>IFERROR(IF(ISERROR(FIND(A277,VLOOKUP(B277,CONFIG_ASIGNATURAS!B:C,2,FALSE()))),"No","Sí"),"No")</f>
        <v>Sí</v>
      </c>
    </row>
    <row r="278" spans="1:22">
      <c r="A278" s="3" t="inlineStr">
        <is>
          <t xml:space="preserve">4EEM</t>
        </is>
      </c>
      <c r="B278" s="3" cm="1">
        <f t="array" ref="B278">IFERROR(INDEX(_xlfn._xlws.FILTER(CONFIG_ASIGNATURAS!$B$2:$B$61,(CONFIG_ASIGNATURAS!$G$2:$G$61="Sí")*ISNUMBER(SEARCH("4EEM",CONFIG_ASIGNATURAS!$C$2:$C$61))),22),"")</f>
      </c>
      <c r="C278" s="3">
        <f>IF(B278="","",IFERROR(IF(VLOOKUP(B278,CONFIG_ASIGNATURAS!$B$2:$F$61,5,FALSE())="Sí","Especialidad","Asignatura"),"Asignatura"))</f>
      </c>
      <c r="D278">
        <f>IF(V278="Sí",COUNTIFS(DATOS!G:G,CONFIG_METADATA!$B$4,DATOS!D:D,A278,DATOS!I:I,B278),"")</f>
        <v>0</v>
      </c>
      <c r="E278" s="14" t="str">
        <f>IF(V278="Sí",IFERROR(AVERAGEIFS(DATOS!K:K,DATOS!G:G,CONFIG_METADATA!$B$4,DATOS!D:D,A278,DATOS!I:I,B278),"—"),"")</f>
        <v>—</v>
      </c>
      <c r="F278" s="14" t="str" cm="1">
        <f t="array" ref="F278">IF(V278="Sí",IFERROR(_xlfn.STDEV.P(IF((DATOS!$G$2:$G$20000=CONFIG_METADATA!$B$4)*(DATOS!$D$2:$D$20000=A278)*(DATOS!$I$2:$I$20000=B278),DATOS!$K$2:$K$20000)),"—"),"")</f>
        <v>—</v>
      </c>
      <c r="G278" t="str" cm="1">
        <f t="array" ref="G278">IF(V278="Sí",IFERROR(_xlfn.MODE.SNGL(IF((DATOS!$G$2:$G$20000=CONFIG_METADATA!$B$4)*(DATOS!$D$2:$D$20000=A278)*(DATOS!$I$2:$I$20000=B278),DATOS!$K$2:$K$20000)),"—"),"")</f>
        <v>—</v>
      </c>
      <c r="H278" s="15" t="str">
        <f>IF(V278="Sí",IFERROR(COUNTIFS(DATOS!G:G,CONFIG_METADATA!$B$4,DATOS!D:D,A278,DATOS!I:I,B278,DATOS!L:L,"S")/COUNTIFS(DATOS!G:G,CONFIG_METADATA!$B$4,DATOS!D:D,A278,DATOS!I:I,B278),"—"),"")</f>
        <v>—</v>
      </c>
      <c r="I278" s="15" t="str">
        <f>IF(V278="Sí",IFERROR(COUNTIFS(DATOS!G:G,CONFIG_METADATA!$B$4,DATOS!D:D,A278,DATOS!I:I,B278,DATOS!L:L,"N")/COUNTIFS(DATOS!G:G,CONFIG_METADATA!$B$4,DATOS!D:D,A278,DATOS!I:I,B278),"—"),"")</f>
        <v>—</v>
      </c>
      <c r="J278" t="str" cm="1">
        <f t="array" ref="J278">IF(V278="Sí",IFERROR(_xlfn.MODE.SNGL(IF((DATOS!$G$2:$G$20000=CONFIG_METADATA!$B$4)*(DATOS!$D$2:$D$20000=A278)*(DATOS!$I$2:$I$20000=B278)*(DATOS!$L$2:$L$20000="S"),DATOS!$K$2:$K$20000)),"—"),"")</f>
        <v>—</v>
      </c>
      <c r="K278" t="str" cm="1">
        <f t="array" ref="K278">IF(V278="Sí",IFERROR(_xlfn.MODE.SNGL(IF((DATOS!$G$2:$G$20000=CONFIG_METADATA!$B$4)*(DATOS!$D$2:$D$20000=A278)*(DATOS!$I$2:$I$20000=B278)*(DATOS!$L$2:$L$20000="N"),DATOS!$K$2:$K$20000)),"—"),"")</f>
        <v>—</v>
      </c>
      <c r="L278">
        <f>IF(V278="Sí",COUNTIFS(DATOS!G:G,CONFIG_METADATA!$B$4,DATOS!D:D,A278,DATOS!I:I,B278,DATOS!K:K,1),"")</f>
        <v>0</v>
      </c>
      <c r="M278">
        <f>IF(V278="Sí",COUNTIFS(DATOS!G:G,CONFIG_METADATA!$B$4,DATOS!D:D,A278,DATOS!I:I,B278,DATOS!K:K,2),"")</f>
        <v>0</v>
      </c>
      <c r="N278">
        <f>IF(V278="Sí",COUNTIFS(DATOS!G:G,CONFIG_METADATA!$B$4,DATOS!D:D,A278,DATOS!I:I,B278,DATOS!K:K,3),"")</f>
        <v>0</v>
      </c>
      <c r="O278">
        <f>IF(V278="Sí",COUNTIFS(DATOS!G:G,CONFIG_METADATA!$B$4,DATOS!D:D,A278,DATOS!I:I,B278,DATOS!K:K,4),"")</f>
        <v>0</v>
      </c>
      <c r="P278">
        <f>IF(V278="Sí",COUNTIFS(DATOS!G:G,CONFIG_METADATA!$B$4,DATOS!D:D,A278,DATOS!I:I,B278,DATOS!K:K,5),"")</f>
        <v>0</v>
      </c>
      <c r="Q278">
        <f>IF(V278="Sí",COUNTIFS(DATOS!G:G,CONFIG_METADATA!$B$4,DATOS!D:D,A278,DATOS!I:I,B278,DATOS!K:K,6),"")</f>
        <v>0</v>
      </c>
      <c r="R278">
        <f>IF(V278="Sí",COUNTIFS(DATOS!G:G,CONFIG_METADATA!$B$4,DATOS!D:D,A278,DATOS!I:I,B278,DATOS!K:K,7),"")</f>
        <v>0</v>
      </c>
      <c r="S278">
        <f>IF(V278="Sí",COUNTIFS(DATOS!G:G,CONFIG_METADATA!$B$4,DATOS!D:D,A278,DATOS!I:I,B278,DATOS!K:K,8),"")</f>
        <v>0</v>
      </c>
      <c r="T278">
        <f>IF(V278="Sí",COUNTIFS(DATOS!G:G,CONFIG_METADATA!$B$4,DATOS!D:D,A278,DATOS!I:I,B278,DATOS!K:K,9),"")</f>
        <v>0</v>
      </c>
      <c r="U278">
        <f>IF(V278="Sí",COUNTIFS(DATOS!G:G,CONFIG_METADATA!$B$4,DATOS!D:D,A278,DATOS!I:I,B278,DATOS!K:K,10),"")</f>
        <v>0</v>
      </c>
      <c r="V278" t="str">
        <f>IFERROR(IF(ISERROR(FIND(A278,VLOOKUP(B278,CONFIG_ASIGNATURAS!B:C,2,FALSE()))),"No","Sí"),"No")</f>
        <v>Sí</v>
      </c>
    </row>
    <row r="279" spans="1:22">
      <c r="A279" s="3" t="inlineStr">
        <is>
          <t xml:space="preserve">4EEM</t>
        </is>
      </c>
      <c r="B279" s="3" cm="1">
        <f t="array" ref="B279">IFERROR(INDEX(_xlfn._xlws.FILTER(CONFIG_ASIGNATURAS!$B$2:$B$61,(CONFIG_ASIGNATURAS!$G$2:$G$61="Sí")*ISNUMBER(SEARCH("4EEM",CONFIG_ASIGNATURAS!$C$2:$C$61))),23),"")</f>
      </c>
      <c r="C279" s="3">
        <f>IF(B279="","",IFERROR(IF(VLOOKUP(B279,CONFIG_ASIGNATURAS!$B$2:$F$61,5,FALSE())="Sí","Especialidad","Asignatura"),"Asignatura"))</f>
      </c>
      <c r="D279">
        <f>IF(V279="Sí",COUNTIFS(DATOS!G:G,CONFIG_METADATA!$B$4,DATOS!D:D,A279,DATOS!I:I,B279),"")</f>
        <v>0</v>
      </c>
      <c r="E279" s="14" t="str">
        <f>IF(V279="Sí",IFERROR(AVERAGEIFS(DATOS!K:K,DATOS!G:G,CONFIG_METADATA!$B$4,DATOS!D:D,A279,DATOS!I:I,B279),"—"),"")</f>
        <v>—</v>
      </c>
      <c r="F279" s="14" t="str" cm="1">
        <f t="array" ref="F279">IF(V279="Sí",IFERROR(_xlfn.STDEV.P(IF((DATOS!$G$2:$G$20000=CONFIG_METADATA!$B$4)*(DATOS!$D$2:$D$20000=A279)*(DATOS!$I$2:$I$20000=B279),DATOS!$K$2:$K$20000)),"—"),"")</f>
        <v>—</v>
      </c>
      <c r="G279" t="str" cm="1">
        <f t="array" ref="G279">IF(V279="Sí",IFERROR(_xlfn.MODE.SNGL(IF((DATOS!$G$2:$G$20000=CONFIG_METADATA!$B$4)*(DATOS!$D$2:$D$20000=A279)*(DATOS!$I$2:$I$20000=B279),DATOS!$K$2:$K$20000)),"—"),"")</f>
        <v>—</v>
      </c>
      <c r="H279" s="15" t="str">
        <f>IF(V279="Sí",IFERROR(COUNTIFS(DATOS!G:G,CONFIG_METADATA!$B$4,DATOS!D:D,A279,DATOS!I:I,B279,DATOS!L:L,"S")/COUNTIFS(DATOS!G:G,CONFIG_METADATA!$B$4,DATOS!D:D,A279,DATOS!I:I,B279),"—"),"")</f>
        <v>—</v>
      </c>
      <c r="I279" s="15" t="str">
        <f>IF(V279="Sí",IFERROR(COUNTIFS(DATOS!G:G,CONFIG_METADATA!$B$4,DATOS!D:D,A279,DATOS!I:I,B279,DATOS!L:L,"N")/COUNTIFS(DATOS!G:G,CONFIG_METADATA!$B$4,DATOS!D:D,A279,DATOS!I:I,B279),"—"),"")</f>
        <v>—</v>
      </c>
      <c r="J279" t="str" cm="1">
        <f t="array" ref="J279">IF(V279="Sí",IFERROR(_xlfn.MODE.SNGL(IF((DATOS!$G$2:$G$20000=CONFIG_METADATA!$B$4)*(DATOS!$D$2:$D$20000=A279)*(DATOS!$I$2:$I$20000=B279)*(DATOS!$L$2:$L$20000="S"),DATOS!$K$2:$K$20000)),"—"),"")</f>
        <v>—</v>
      </c>
      <c r="K279" t="str" cm="1">
        <f t="array" ref="K279">IF(V279="Sí",IFERROR(_xlfn.MODE.SNGL(IF((DATOS!$G$2:$G$20000=CONFIG_METADATA!$B$4)*(DATOS!$D$2:$D$20000=A279)*(DATOS!$I$2:$I$20000=B279)*(DATOS!$L$2:$L$20000="N"),DATOS!$K$2:$K$20000)),"—"),"")</f>
        <v>—</v>
      </c>
      <c r="L279">
        <f>IF(V279="Sí",COUNTIFS(DATOS!G:G,CONFIG_METADATA!$B$4,DATOS!D:D,A279,DATOS!I:I,B279,DATOS!K:K,1),"")</f>
        <v>0</v>
      </c>
      <c r="M279">
        <f>IF(V279="Sí",COUNTIFS(DATOS!G:G,CONFIG_METADATA!$B$4,DATOS!D:D,A279,DATOS!I:I,B279,DATOS!K:K,2),"")</f>
        <v>0</v>
      </c>
      <c r="N279">
        <f>IF(V279="Sí",COUNTIFS(DATOS!G:G,CONFIG_METADATA!$B$4,DATOS!D:D,A279,DATOS!I:I,B279,DATOS!K:K,3),"")</f>
        <v>0</v>
      </c>
      <c r="O279">
        <f>IF(V279="Sí",COUNTIFS(DATOS!G:G,CONFIG_METADATA!$B$4,DATOS!D:D,A279,DATOS!I:I,B279,DATOS!K:K,4),"")</f>
        <v>0</v>
      </c>
      <c r="P279">
        <f>IF(V279="Sí",COUNTIFS(DATOS!G:G,CONFIG_METADATA!$B$4,DATOS!D:D,A279,DATOS!I:I,B279,DATOS!K:K,5),"")</f>
        <v>0</v>
      </c>
      <c r="Q279">
        <f>IF(V279="Sí",COUNTIFS(DATOS!G:G,CONFIG_METADATA!$B$4,DATOS!D:D,A279,DATOS!I:I,B279,DATOS!K:K,6),"")</f>
        <v>0</v>
      </c>
      <c r="R279">
        <f>IF(V279="Sí",COUNTIFS(DATOS!G:G,CONFIG_METADATA!$B$4,DATOS!D:D,A279,DATOS!I:I,B279,DATOS!K:K,7),"")</f>
        <v>0</v>
      </c>
      <c r="S279">
        <f>IF(V279="Sí",COUNTIFS(DATOS!G:G,CONFIG_METADATA!$B$4,DATOS!D:D,A279,DATOS!I:I,B279,DATOS!K:K,8),"")</f>
        <v>0</v>
      </c>
      <c r="T279">
        <f>IF(V279="Sí",COUNTIFS(DATOS!G:G,CONFIG_METADATA!$B$4,DATOS!D:D,A279,DATOS!I:I,B279,DATOS!K:K,9),"")</f>
        <v>0</v>
      </c>
      <c r="U279">
        <f>IF(V279="Sí",COUNTIFS(DATOS!G:G,CONFIG_METADATA!$B$4,DATOS!D:D,A279,DATOS!I:I,B279,DATOS!K:K,10),"")</f>
        <v>0</v>
      </c>
      <c r="V279" t="str">
        <f>IFERROR(IF(ISERROR(FIND(A279,VLOOKUP(B279,CONFIG_ASIGNATURAS!B:C,2,FALSE()))),"No","Sí"),"No")</f>
        <v>Sí</v>
      </c>
    </row>
    <row r="280" spans="1:22">
      <c r="A280" s="3" t="inlineStr">
        <is>
          <t xml:space="preserve">4EEM</t>
        </is>
      </c>
      <c r="B280" s="3" cm="1">
        <f t="array" ref="B280">IFERROR(INDEX(_xlfn._xlws.FILTER(CONFIG_ASIGNATURAS!$B$2:$B$61,(CONFIG_ASIGNATURAS!$G$2:$G$61="Sí")*ISNUMBER(SEARCH("4EEM",CONFIG_ASIGNATURAS!$C$2:$C$61))),24),"")</f>
      </c>
      <c r="C280" s="3">
        <f>IF(B280="","",IFERROR(IF(VLOOKUP(B280,CONFIG_ASIGNATURAS!$B$2:$F$61,5,FALSE())="Sí","Especialidad","Asignatura"),"Asignatura"))</f>
      </c>
      <c r="D280">
        <f>IF(V280="Sí",COUNTIFS(DATOS!G:G,CONFIG_METADATA!$B$4,DATOS!D:D,A280,DATOS!I:I,B280),"")</f>
        <v>0</v>
      </c>
      <c r="E280" s="14" t="str">
        <f>IF(V280="Sí",IFERROR(AVERAGEIFS(DATOS!K:K,DATOS!G:G,CONFIG_METADATA!$B$4,DATOS!D:D,A280,DATOS!I:I,B280),"—"),"")</f>
        <v>—</v>
      </c>
      <c r="F280" s="14" t="str" cm="1">
        <f t="array" ref="F280">IF(V280="Sí",IFERROR(_xlfn.STDEV.P(IF((DATOS!$G$2:$G$20000=CONFIG_METADATA!$B$4)*(DATOS!$D$2:$D$20000=A280)*(DATOS!$I$2:$I$20000=B280),DATOS!$K$2:$K$20000)),"—"),"")</f>
        <v>—</v>
      </c>
      <c r="G280" t="str" cm="1">
        <f t="array" ref="G280">IF(V280="Sí",IFERROR(_xlfn.MODE.SNGL(IF((DATOS!$G$2:$G$20000=CONFIG_METADATA!$B$4)*(DATOS!$D$2:$D$20000=A280)*(DATOS!$I$2:$I$20000=B280),DATOS!$K$2:$K$20000)),"—"),"")</f>
        <v>—</v>
      </c>
      <c r="H280" s="15" t="str">
        <f>IF(V280="Sí",IFERROR(COUNTIFS(DATOS!G:G,CONFIG_METADATA!$B$4,DATOS!D:D,A280,DATOS!I:I,B280,DATOS!L:L,"S")/COUNTIFS(DATOS!G:G,CONFIG_METADATA!$B$4,DATOS!D:D,A280,DATOS!I:I,B280),"—"),"")</f>
        <v>—</v>
      </c>
      <c r="I280" s="15" t="str">
        <f>IF(V280="Sí",IFERROR(COUNTIFS(DATOS!G:G,CONFIG_METADATA!$B$4,DATOS!D:D,A280,DATOS!I:I,B280,DATOS!L:L,"N")/COUNTIFS(DATOS!G:G,CONFIG_METADATA!$B$4,DATOS!D:D,A280,DATOS!I:I,B280),"—"),"")</f>
        <v>—</v>
      </c>
      <c r="J280" t="str" cm="1">
        <f t="array" ref="J280">IF(V280="Sí",IFERROR(_xlfn.MODE.SNGL(IF((DATOS!$G$2:$G$20000=CONFIG_METADATA!$B$4)*(DATOS!$D$2:$D$20000=A280)*(DATOS!$I$2:$I$20000=B280)*(DATOS!$L$2:$L$20000="S"),DATOS!$K$2:$K$20000)),"—"),"")</f>
        <v>—</v>
      </c>
      <c r="K280" t="str" cm="1">
        <f t="array" ref="K280">IF(V280="Sí",IFERROR(_xlfn.MODE.SNGL(IF((DATOS!$G$2:$G$20000=CONFIG_METADATA!$B$4)*(DATOS!$D$2:$D$20000=A280)*(DATOS!$I$2:$I$20000=B280)*(DATOS!$L$2:$L$20000="N"),DATOS!$K$2:$K$20000)),"—"),"")</f>
        <v>—</v>
      </c>
      <c r="L280">
        <f>IF(V280="Sí",COUNTIFS(DATOS!G:G,CONFIG_METADATA!$B$4,DATOS!D:D,A280,DATOS!I:I,B280,DATOS!K:K,1),"")</f>
        <v>0</v>
      </c>
      <c r="M280">
        <f>IF(V280="Sí",COUNTIFS(DATOS!G:G,CONFIG_METADATA!$B$4,DATOS!D:D,A280,DATOS!I:I,B280,DATOS!K:K,2),"")</f>
        <v>0</v>
      </c>
      <c r="N280">
        <f>IF(V280="Sí",COUNTIFS(DATOS!G:G,CONFIG_METADATA!$B$4,DATOS!D:D,A280,DATOS!I:I,B280,DATOS!K:K,3),"")</f>
        <v>0</v>
      </c>
      <c r="O280">
        <f>IF(V280="Sí",COUNTIFS(DATOS!G:G,CONFIG_METADATA!$B$4,DATOS!D:D,A280,DATOS!I:I,B280,DATOS!K:K,4),"")</f>
        <v>0</v>
      </c>
      <c r="P280">
        <f>IF(V280="Sí",COUNTIFS(DATOS!G:G,CONFIG_METADATA!$B$4,DATOS!D:D,A280,DATOS!I:I,B280,DATOS!K:K,5),"")</f>
        <v>0</v>
      </c>
      <c r="Q280">
        <f>IF(V280="Sí",COUNTIFS(DATOS!G:G,CONFIG_METADATA!$B$4,DATOS!D:D,A280,DATOS!I:I,B280,DATOS!K:K,6),"")</f>
        <v>0</v>
      </c>
      <c r="R280">
        <f>IF(V280="Sí",COUNTIFS(DATOS!G:G,CONFIG_METADATA!$B$4,DATOS!D:D,A280,DATOS!I:I,B280,DATOS!K:K,7),"")</f>
        <v>0</v>
      </c>
      <c r="S280">
        <f>IF(V280="Sí",COUNTIFS(DATOS!G:G,CONFIG_METADATA!$B$4,DATOS!D:D,A280,DATOS!I:I,B280,DATOS!K:K,8),"")</f>
        <v>0</v>
      </c>
      <c r="T280">
        <f>IF(V280="Sí",COUNTIFS(DATOS!G:G,CONFIG_METADATA!$B$4,DATOS!D:D,A280,DATOS!I:I,B280,DATOS!K:K,9),"")</f>
        <v>0</v>
      </c>
      <c r="U280">
        <f>IF(V280="Sí",COUNTIFS(DATOS!G:G,CONFIG_METADATA!$B$4,DATOS!D:D,A280,DATOS!I:I,B280,DATOS!K:K,10),"")</f>
        <v>0</v>
      </c>
      <c r="V280" t="str">
        <f>IFERROR(IF(ISERROR(FIND(A280,VLOOKUP(B280,CONFIG_ASIGNATURAS!B:C,2,FALSE()))),"No","Sí"),"No")</f>
        <v>Sí</v>
      </c>
    </row>
    <row r="281" spans="1:22">
      <c r="A281" s="3" t="inlineStr">
        <is>
          <t xml:space="preserve">4EEM</t>
        </is>
      </c>
      <c r="B281" s="3" cm="1">
        <f t="array" ref="B281">IFERROR(INDEX(_xlfn._xlws.FILTER(CONFIG_ASIGNATURAS!$B$2:$B$61,(CONFIG_ASIGNATURAS!$G$2:$G$61="Sí")*ISNUMBER(SEARCH("4EEM",CONFIG_ASIGNATURAS!$C$2:$C$61))),25),"")</f>
      </c>
      <c r="C281" s="3">
        <f>IF(B281="","",IFERROR(IF(VLOOKUP(B281,CONFIG_ASIGNATURAS!$B$2:$F$61,5,FALSE())="Sí","Especialidad","Asignatura"),"Asignatura"))</f>
      </c>
      <c r="D281">
        <f>IF(V281="Sí",COUNTIFS(DATOS!G:G,CONFIG_METADATA!$B$4,DATOS!D:D,A281,DATOS!I:I,B281),"")</f>
        <v>0</v>
      </c>
      <c r="E281" s="14" t="str">
        <f>IF(V281="Sí",IFERROR(AVERAGEIFS(DATOS!K:K,DATOS!G:G,CONFIG_METADATA!$B$4,DATOS!D:D,A281,DATOS!I:I,B281),"—"),"")</f>
        <v>—</v>
      </c>
      <c r="F281" s="14" t="str" cm="1">
        <f t="array" ref="F281">IF(V281="Sí",IFERROR(_xlfn.STDEV.P(IF((DATOS!$G$2:$G$20000=CONFIG_METADATA!$B$4)*(DATOS!$D$2:$D$20000=A281)*(DATOS!$I$2:$I$20000=B281),DATOS!$K$2:$K$20000)),"—"),"")</f>
        <v>—</v>
      </c>
      <c r="G281" t="str" cm="1">
        <f t="array" ref="G281">IF(V281="Sí",IFERROR(_xlfn.MODE.SNGL(IF((DATOS!$G$2:$G$20000=CONFIG_METADATA!$B$4)*(DATOS!$D$2:$D$20000=A281)*(DATOS!$I$2:$I$20000=B281),DATOS!$K$2:$K$20000)),"—"),"")</f>
        <v>—</v>
      </c>
      <c r="H281" s="15" t="str">
        <f>IF(V281="Sí",IFERROR(COUNTIFS(DATOS!G:G,CONFIG_METADATA!$B$4,DATOS!D:D,A281,DATOS!I:I,B281,DATOS!L:L,"S")/COUNTIFS(DATOS!G:G,CONFIG_METADATA!$B$4,DATOS!D:D,A281,DATOS!I:I,B281),"—"),"")</f>
        <v>—</v>
      </c>
      <c r="I281" s="15" t="str">
        <f>IF(V281="Sí",IFERROR(COUNTIFS(DATOS!G:G,CONFIG_METADATA!$B$4,DATOS!D:D,A281,DATOS!I:I,B281,DATOS!L:L,"N")/COUNTIFS(DATOS!G:G,CONFIG_METADATA!$B$4,DATOS!D:D,A281,DATOS!I:I,B281),"—"),"")</f>
        <v>—</v>
      </c>
      <c r="J281" t="str" cm="1">
        <f t="array" ref="J281">IF(V281="Sí",IFERROR(_xlfn.MODE.SNGL(IF((DATOS!$G$2:$G$20000=CONFIG_METADATA!$B$4)*(DATOS!$D$2:$D$20000=A281)*(DATOS!$I$2:$I$20000=B281)*(DATOS!$L$2:$L$20000="S"),DATOS!$K$2:$K$20000)),"—"),"")</f>
        <v>—</v>
      </c>
      <c r="K281" t="str" cm="1">
        <f t="array" ref="K281">IF(V281="Sí",IFERROR(_xlfn.MODE.SNGL(IF((DATOS!$G$2:$G$20000=CONFIG_METADATA!$B$4)*(DATOS!$D$2:$D$20000=A281)*(DATOS!$I$2:$I$20000=B281)*(DATOS!$L$2:$L$20000="N"),DATOS!$K$2:$K$20000)),"—"),"")</f>
        <v>—</v>
      </c>
      <c r="L281">
        <f>IF(V281="Sí",COUNTIFS(DATOS!G:G,CONFIG_METADATA!$B$4,DATOS!D:D,A281,DATOS!I:I,B281,DATOS!K:K,1),"")</f>
        <v>0</v>
      </c>
      <c r="M281">
        <f>IF(V281="Sí",COUNTIFS(DATOS!G:G,CONFIG_METADATA!$B$4,DATOS!D:D,A281,DATOS!I:I,B281,DATOS!K:K,2),"")</f>
        <v>0</v>
      </c>
      <c r="N281">
        <f>IF(V281="Sí",COUNTIFS(DATOS!G:G,CONFIG_METADATA!$B$4,DATOS!D:D,A281,DATOS!I:I,B281,DATOS!K:K,3),"")</f>
        <v>0</v>
      </c>
      <c r="O281">
        <f>IF(V281="Sí",COUNTIFS(DATOS!G:G,CONFIG_METADATA!$B$4,DATOS!D:D,A281,DATOS!I:I,B281,DATOS!K:K,4),"")</f>
        <v>0</v>
      </c>
      <c r="P281">
        <f>IF(V281="Sí",COUNTIFS(DATOS!G:G,CONFIG_METADATA!$B$4,DATOS!D:D,A281,DATOS!I:I,B281,DATOS!K:K,5),"")</f>
        <v>0</v>
      </c>
      <c r="Q281">
        <f>IF(V281="Sí",COUNTIFS(DATOS!G:G,CONFIG_METADATA!$B$4,DATOS!D:D,A281,DATOS!I:I,B281,DATOS!K:K,6),"")</f>
        <v>0</v>
      </c>
      <c r="R281">
        <f>IF(V281="Sí",COUNTIFS(DATOS!G:G,CONFIG_METADATA!$B$4,DATOS!D:D,A281,DATOS!I:I,B281,DATOS!K:K,7),"")</f>
        <v>0</v>
      </c>
      <c r="S281">
        <f>IF(V281="Sí",COUNTIFS(DATOS!G:G,CONFIG_METADATA!$B$4,DATOS!D:D,A281,DATOS!I:I,B281,DATOS!K:K,8),"")</f>
        <v>0</v>
      </c>
      <c r="T281">
        <f>IF(V281="Sí",COUNTIFS(DATOS!G:G,CONFIG_METADATA!$B$4,DATOS!D:D,A281,DATOS!I:I,B281,DATOS!K:K,9),"")</f>
        <v>0</v>
      </c>
      <c r="U281">
        <f>IF(V281="Sí",COUNTIFS(DATOS!G:G,CONFIG_METADATA!$B$4,DATOS!D:D,A281,DATOS!I:I,B281,DATOS!K:K,10),"")</f>
        <v>0</v>
      </c>
      <c r="V281" t="str">
        <f>IFERROR(IF(ISERROR(FIND(A281,VLOOKUP(B281,CONFIG_ASIGNATURAS!B:C,2,FALSE()))),"No","Sí"),"No")</f>
        <v>Sí</v>
      </c>
    </row>
    <row r="282" spans="1:22">
      <c r="A282" s="3" t="inlineStr">
        <is>
          <t xml:space="preserve">4EEM</t>
        </is>
      </c>
      <c r="B282" s="3" cm="1">
        <f t="array" ref="B282">IFERROR(INDEX(_xlfn._xlws.FILTER(CONFIG_ASIGNATURAS!$B$2:$B$61,(CONFIG_ASIGNATURAS!$G$2:$G$61="Sí")*ISNUMBER(SEARCH("4EEM",CONFIG_ASIGNATURAS!$C$2:$C$61))),26),"")</f>
      </c>
      <c r="C282" s="3">
        <f>IF(B282="","",IFERROR(IF(VLOOKUP(B282,CONFIG_ASIGNATURAS!$B$2:$F$61,5,FALSE())="Sí","Especialidad","Asignatura"),"Asignatura"))</f>
      </c>
      <c r="D282">
        <f>IF(V282="Sí",COUNTIFS(DATOS!G:G,CONFIG_METADATA!$B$4,DATOS!D:D,A282,DATOS!I:I,B282),"")</f>
        <v>0</v>
      </c>
      <c r="E282" s="14" t="str">
        <f>IF(V282="Sí",IFERROR(AVERAGEIFS(DATOS!K:K,DATOS!G:G,CONFIG_METADATA!$B$4,DATOS!D:D,A282,DATOS!I:I,B282),"—"),"")</f>
        <v>—</v>
      </c>
      <c r="F282" s="14" t="str" cm="1">
        <f t="array" ref="F282">IF(V282="Sí",IFERROR(_xlfn.STDEV.P(IF((DATOS!$G$2:$G$20000=CONFIG_METADATA!$B$4)*(DATOS!$D$2:$D$20000=A282)*(DATOS!$I$2:$I$20000=B282),DATOS!$K$2:$K$20000)),"—"),"")</f>
        <v>—</v>
      </c>
      <c r="G282" t="str" cm="1">
        <f t="array" ref="G282">IF(V282="Sí",IFERROR(_xlfn.MODE.SNGL(IF((DATOS!$G$2:$G$20000=CONFIG_METADATA!$B$4)*(DATOS!$D$2:$D$20000=A282)*(DATOS!$I$2:$I$20000=B282),DATOS!$K$2:$K$20000)),"—"),"")</f>
        <v>—</v>
      </c>
      <c r="H282" s="15" t="str">
        <f>IF(V282="Sí",IFERROR(COUNTIFS(DATOS!G:G,CONFIG_METADATA!$B$4,DATOS!D:D,A282,DATOS!I:I,B282,DATOS!L:L,"S")/COUNTIFS(DATOS!G:G,CONFIG_METADATA!$B$4,DATOS!D:D,A282,DATOS!I:I,B282),"—"),"")</f>
        <v>—</v>
      </c>
      <c r="I282" s="15" t="str">
        <f>IF(V282="Sí",IFERROR(COUNTIFS(DATOS!G:G,CONFIG_METADATA!$B$4,DATOS!D:D,A282,DATOS!I:I,B282,DATOS!L:L,"N")/COUNTIFS(DATOS!G:G,CONFIG_METADATA!$B$4,DATOS!D:D,A282,DATOS!I:I,B282),"—"),"")</f>
        <v>—</v>
      </c>
      <c r="J282" t="str" cm="1">
        <f t="array" ref="J282">IF(V282="Sí",IFERROR(_xlfn.MODE.SNGL(IF((DATOS!$G$2:$G$20000=CONFIG_METADATA!$B$4)*(DATOS!$D$2:$D$20000=A282)*(DATOS!$I$2:$I$20000=B282)*(DATOS!$L$2:$L$20000="S"),DATOS!$K$2:$K$20000)),"—"),"")</f>
        <v>—</v>
      </c>
      <c r="K282" t="str" cm="1">
        <f t="array" ref="K282">IF(V282="Sí",IFERROR(_xlfn.MODE.SNGL(IF((DATOS!$G$2:$G$20000=CONFIG_METADATA!$B$4)*(DATOS!$D$2:$D$20000=A282)*(DATOS!$I$2:$I$20000=B282)*(DATOS!$L$2:$L$20000="N"),DATOS!$K$2:$K$20000)),"—"),"")</f>
        <v>—</v>
      </c>
      <c r="L282">
        <f>IF(V282="Sí",COUNTIFS(DATOS!G:G,CONFIG_METADATA!$B$4,DATOS!D:D,A282,DATOS!I:I,B282,DATOS!K:K,1),"")</f>
        <v>0</v>
      </c>
      <c r="M282">
        <f>IF(V282="Sí",COUNTIFS(DATOS!G:G,CONFIG_METADATA!$B$4,DATOS!D:D,A282,DATOS!I:I,B282,DATOS!K:K,2),"")</f>
        <v>0</v>
      </c>
      <c r="N282">
        <f>IF(V282="Sí",COUNTIFS(DATOS!G:G,CONFIG_METADATA!$B$4,DATOS!D:D,A282,DATOS!I:I,B282,DATOS!K:K,3),"")</f>
        <v>0</v>
      </c>
      <c r="O282">
        <f>IF(V282="Sí",COUNTIFS(DATOS!G:G,CONFIG_METADATA!$B$4,DATOS!D:D,A282,DATOS!I:I,B282,DATOS!K:K,4),"")</f>
        <v>0</v>
      </c>
      <c r="P282">
        <f>IF(V282="Sí",COUNTIFS(DATOS!G:G,CONFIG_METADATA!$B$4,DATOS!D:D,A282,DATOS!I:I,B282,DATOS!K:K,5),"")</f>
        <v>0</v>
      </c>
      <c r="Q282">
        <f>IF(V282="Sí",COUNTIFS(DATOS!G:G,CONFIG_METADATA!$B$4,DATOS!D:D,A282,DATOS!I:I,B282,DATOS!K:K,6),"")</f>
        <v>0</v>
      </c>
      <c r="R282">
        <f>IF(V282="Sí",COUNTIFS(DATOS!G:G,CONFIG_METADATA!$B$4,DATOS!D:D,A282,DATOS!I:I,B282,DATOS!K:K,7),"")</f>
        <v>0</v>
      </c>
      <c r="S282">
        <f>IF(V282="Sí",COUNTIFS(DATOS!G:G,CONFIG_METADATA!$B$4,DATOS!D:D,A282,DATOS!I:I,B282,DATOS!K:K,8),"")</f>
        <v>0</v>
      </c>
      <c r="T282">
        <f>IF(V282="Sí",COUNTIFS(DATOS!G:G,CONFIG_METADATA!$B$4,DATOS!D:D,A282,DATOS!I:I,B282,DATOS!K:K,9),"")</f>
        <v>0</v>
      </c>
      <c r="U282">
        <f>IF(V282="Sí",COUNTIFS(DATOS!G:G,CONFIG_METADATA!$B$4,DATOS!D:D,A282,DATOS!I:I,B282,DATOS!K:K,10),"")</f>
        <v>0</v>
      </c>
      <c r="V282" t="str">
        <f>IFERROR(IF(ISERROR(FIND(A282,VLOOKUP(B282,CONFIG_ASIGNATURAS!B:C,2,FALSE()))),"No","Sí"),"No")</f>
        <v>Sí</v>
      </c>
    </row>
    <row r="283" spans="1:22">
      <c r="A283" s="3" t="inlineStr">
        <is>
          <t xml:space="preserve">4EEM</t>
        </is>
      </c>
      <c r="B283" s="3" cm="1">
        <f t="array" ref="B283">IFERROR(INDEX(_xlfn._xlws.FILTER(CONFIG_ASIGNATURAS!$B$2:$B$61,(CONFIG_ASIGNATURAS!$G$2:$G$61="Sí")*ISNUMBER(SEARCH("4EEM",CONFIG_ASIGNATURAS!$C$2:$C$61))),27),"")</f>
      </c>
      <c r="C283" s="3">
        <f>IF(B283="","",IFERROR(IF(VLOOKUP(B283,CONFIG_ASIGNATURAS!$B$2:$F$61,5,FALSE())="Sí","Especialidad","Asignatura"),"Asignatura"))</f>
      </c>
      <c r="D283">
        <f>IF(V283="Sí",COUNTIFS(DATOS!G:G,CONFIG_METADATA!$B$4,DATOS!D:D,A283,DATOS!I:I,B283),"")</f>
        <v>0</v>
      </c>
      <c r="E283" s="14" t="str">
        <f>IF(V283="Sí",IFERROR(AVERAGEIFS(DATOS!K:K,DATOS!G:G,CONFIG_METADATA!$B$4,DATOS!D:D,A283,DATOS!I:I,B283),"—"),"")</f>
        <v>—</v>
      </c>
      <c r="F283" s="14" t="str" cm="1">
        <f t="array" ref="F283">IF(V283="Sí",IFERROR(_xlfn.STDEV.P(IF((DATOS!$G$2:$G$20000=CONFIG_METADATA!$B$4)*(DATOS!$D$2:$D$20000=A283)*(DATOS!$I$2:$I$20000=B283),DATOS!$K$2:$K$20000)),"—"),"")</f>
        <v>—</v>
      </c>
      <c r="G283" t="str" cm="1">
        <f t="array" ref="G283">IF(V283="Sí",IFERROR(_xlfn.MODE.SNGL(IF((DATOS!$G$2:$G$20000=CONFIG_METADATA!$B$4)*(DATOS!$D$2:$D$20000=A283)*(DATOS!$I$2:$I$20000=B283),DATOS!$K$2:$K$20000)),"—"),"")</f>
        <v>—</v>
      </c>
      <c r="H283" s="15" t="str">
        <f>IF(V283="Sí",IFERROR(COUNTIFS(DATOS!G:G,CONFIG_METADATA!$B$4,DATOS!D:D,A283,DATOS!I:I,B283,DATOS!L:L,"S")/COUNTIFS(DATOS!G:G,CONFIG_METADATA!$B$4,DATOS!D:D,A283,DATOS!I:I,B283),"—"),"")</f>
        <v>—</v>
      </c>
      <c r="I283" s="15" t="str">
        <f>IF(V283="Sí",IFERROR(COUNTIFS(DATOS!G:G,CONFIG_METADATA!$B$4,DATOS!D:D,A283,DATOS!I:I,B283,DATOS!L:L,"N")/COUNTIFS(DATOS!G:G,CONFIG_METADATA!$B$4,DATOS!D:D,A283,DATOS!I:I,B283),"—"),"")</f>
        <v>—</v>
      </c>
      <c r="J283" t="str" cm="1">
        <f t="array" ref="J283">IF(V283="Sí",IFERROR(_xlfn.MODE.SNGL(IF((DATOS!$G$2:$G$20000=CONFIG_METADATA!$B$4)*(DATOS!$D$2:$D$20000=A283)*(DATOS!$I$2:$I$20000=B283)*(DATOS!$L$2:$L$20000="S"),DATOS!$K$2:$K$20000)),"—"),"")</f>
        <v>—</v>
      </c>
      <c r="K283" t="str" cm="1">
        <f t="array" ref="K283">IF(V283="Sí",IFERROR(_xlfn.MODE.SNGL(IF((DATOS!$G$2:$G$20000=CONFIG_METADATA!$B$4)*(DATOS!$D$2:$D$20000=A283)*(DATOS!$I$2:$I$20000=B283)*(DATOS!$L$2:$L$20000="N"),DATOS!$K$2:$K$20000)),"—"),"")</f>
        <v>—</v>
      </c>
      <c r="L283">
        <f>IF(V283="Sí",COUNTIFS(DATOS!G:G,CONFIG_METADATA!$B$4,DATOS!D:D,A283,DATOS!I:I,B283,DATOS!K:K,1),"")</f>
        <v>0</v>
      </c>
      <c r="M283">
        <f>IF(V283="Sí",COUNTIFS(DATOS!G:G,CONFIG_METADATA!$B$4,DATOS!D:D,A283,DATOS!I:I,B283,DATOS!K:K,2),"")</f>
        <v>0</v>
      </c>
      <c r="N283">
        <f>IF(V283="Sí",COUNTIFS(DATOS!G:G,CONFIG_METADATA!$B$4,DATOS!D:D,A283,DATOS!I:I,B283,DATOS!K:K,3),"")</f>
        <v>0</v>
      </c>
      <c r="O283">
        <f>IF(V283="Sí",COUNTIFS(DATOS!G:G,CONFIG_METADATA!$B$4,DATOS!D:D,A283,DATOS!I:I,B283,DATOS!K:K,4),"")</f>
        <v>0</v>
      </c>
      <c r="P283">
        <f>IF(V283="Sí",COUNTIFS(DATOS!G:G,CONFIG_METADATA!$B$4,DATOS!D:D,A283,DATOS!I:I,B283,DATOS!K:K,5),"")</f>
        <v>0</v>
      </c>
      <c r="Q283">
        <f>IF(V283="Sí",COUNTIFS(DATOS!G:G,CONFIG_METADATA!$B$4,DATOS!D:D,A283,DATOS!I:I,B283,DATOS!K:K,6),"")</f>
        <v>0</v>
      </c>
      <c r="R283">
        <f>IF(V283="Sí",COUNTIFS(DATOS!G:G,CONFIG_METADATA!$B$4,DATOS!D:D,A283,DATOS!I:I,B283,DATOS!K:K,7),"")</f>
        <v>0</v>
      </c>
      <c r="S283">
        <f>IF(V283="Sí",COUNTIFS(DATOS!G:G,CONFIG_METADATA!$B$4,DATOS!D:D,A283,DATOS!I:I,B283,DATOS!K:K,8),"")</f>
        <v>0</v>
      </c>
      <c r="T283">
        <f>IF(V283="Sí",COUNTIFS(DATOS!G:G,CONFIG_METADATA!$B$4,DATOS!D:D,A283,DATOS!I:I,B283,DATOS!K:K,9),"")</f>
        <v>0</v>
      </c>
      <c r="U283">
        <f>IF(V283="Sí",COUNTIFS(DATOS!G:G,CONFIG_METADATA!$B$4,DATOS!D:D,A283,DATOS!I:I,B283,DATOS!K:K,10),"")</f>
        <v>0</v>
      </c>
      <c r="V283" t="str">
        <f>IFERROR(IF(ISERROR(FIND(A283,VLOOKUP(B283,CONFIG_ASIGNATURAS!B:C,2,FALSE()))),"No","Sí"),"No")</f>
        <v>Sí</v>
      </c>
    </row>
    <row r="284" spans="1:22">
      <c r="A284" s="3" t="inlineStr">
        <is>
          <t xml:space="preserve">4EEM</t>
        </is>
      </c>
      <c r="B284" s="3" cm="1">
        <f t="array" ref="B284">IFERROR(INDEX(_xlfn._xlws.FILTER(CONFIG_ASIGNATURAS!$B$2:$B$61,(CONFIG_ASIGNATURAS!$G$2:$G$61="Sí")*ISNUMBER(SEARCH("4EEM",CONFIG_ASIGNATURAS!$C$2:$C$61))),28),"")</f>
      </c>
      <c r="C284" s="3">
        <f>IF(B284="","",IFERROR(IF(VLOOKUP(B284,CONFIG_ASIGNATURAS!$B$2:$F$61,5,FALSE())="Sí","Especialidad","Asignatura"),"Asignatura"))</f>
      </c>
      <c r="D284">
        <f>IF(V284="Sí",COUNTIFS(DATOS!G:G,CONFIG_METADATA!$B$4,DATOS!D:D,A284,DATOS!I:I,B284),"")</f>
        <v>0</v>
      </c>
      <c r="E284" s="14" t="str">
        <f>IF(V284="Sí",IFERROR(AVERAGEIFS(DATOS!K:K,DATOS!G:G,CONFIG_METADATA!$B$4,DATOS!D:D,A284,DATOS!I:I,B284),"—"),"")</f>
        <v>—</v>
      </c>
      <c r="F284" s="14" t="str" cm="1">
        <f t="array" ref="F284">IF(V284="Sí",IFERROR(_xlfn.STDEV.P(IF((DATOS!$G$2:$G$20000=CONFIG_METADATA!$B$4)*(DATOS!$D$2:$D$20000=A284)*(DATOS!$I$2:$I$20000=B284),DATOS!$K$2:$K$20000)),"—"),"")</f>
        <v>—</v>
      </c>
      <c r="G284" t="str" cm="1">
        <f t="array" ref="G284">IF(V284="Sí",IFERROR(_xlfn.MODE.SNGL(IF((DATOS!$G$2:$G$20000=CONFIG_METADATA!$B$4)*(DATOS!$D$2:$D$20000=A284)*(DATOS!$I$2:$I$20000=B284),DATOS!$K$2:$K$20000)),"—"),"")</f>
        <v>—</v>
      </c>
      <c r="H284" s="15" t="str">
        <f>IF(V284="Sí",IFERROR(COUNTIFS(DATOS!G:G,CONFIG_METADATA!$B$4,DATOS!D:D,A284,DATOS!I:I,B284,DATOS!L:L,"S")/COUNTIFS(DATOS!G:G,CONFIG_METADATA!$B$4,DATOS!D:D,A284,DATOS!I:I,B284),"—"),"")</f>
        <v>—</v>
      </c>
      <c r="I284" s="15" t="str">
        <f>IF(V284="Sí",IFERROR(COUNTIFS(DATOS!G:G,CONFIG_METADATA!$B$4,DATOS!D:D,A284,DATOS!I:I,B284,DATOS!L:L,"N")/COUNTIFS(DATOS!G:G,CONFIG_METADATA!$B$4,DATOS!D:D,A284,DATOS!I:I,B284),"—"),"")</f>
        <v>—</v>
      </c>
      <c r="J284" t="str" cm="1">
        <f t="array" ref="J284">IF(V284="Sí",IFERROR(_xlfn.MODE.SNGL(IF((DATOS!$G$2:$G$20000=CONFIG_METADATA!$B$4)*(DATOS!$D$2:$D$20000=A284)*(DATOS!$I$2:$I$20000=B284)*(DATOS!$L$2:$L$20000="S"),DATOS!$K$2:$K$20000)),"—"),"")</f>
        <v>—</v>
      </c>
      <c r="K284" t="str" cm="1">
        <f t="array" ref="K284">IF(V284="Sí",IFERROR(_xlfn.MODE.SNGL(IF((DATOS!$G$2:$G$20000=CONFIG_METADATA!$B$4)*(DATOS!$D$2:$D$20000=A284)*(DATOS!$I$2:$I$20000=B284)*(DATOS!$L$2:$L$20000="N"),DATOS!$K$2:$K$20000)),"—"),"")</f>
        <v>—</v>
      </c>
      <c r="L284">
        <f>IF(V284="Sí",COUNTIFS(DATOS!G:G,CONFIG_METADATA!$B$4,DATOS!D:D,A284,DATOS!I:I,B284,DATOS!K:K,1),"")</f>
        <v>0</v>
      </c>
      <c r="M284">
        <f>IF(V284="Sí",COUNTIFS(DATOS!G:G,CONFIG_METADATA!$B$4,DATOS!D:D,A284,DATOS!I:I,B284,DATOS!K:K,2),"")</f>
        <v>0</v>
      </c>
      <c r="N284">
        <f>IF(V284="Sí",COUNTIFS(DATOS!G:G,CONFIG_METADATA!$B$4,DATOS!D:D,A284,DATOS!I:I,B284,DATOS!K:K,3),"")</f>
        <v>0</v>
      </c>
      <c r="O284">
        <f>IF(V284="Sí",COUNTIFS(DATOS!G:G,CONFIG_METADATA!$B$4,DATOS!D:D,A284,DATOS!I:I,B284,DATOS!K:K,4),"")</f>
        <v>0</v>
      </c>
      <c r="P284">
        <f>IF(V284="Sí",COUNTIFS(DATOS!G:G,CONFIG_METADATA!$B$4,DATOS!D:D,A284,DATOS!I:I,B284,DATOS!K:K,5),"")</f>
        <v>0</v>
      </c>
      <c r="Q284">
        <f>IF(V284="Sí",COUNTIFS(DATOS!G:G,CONFIG_METADATA!$B$4,DATOS!D:D,A284,DATOS!I:I,B284,DATOS!K:K,6),"")</f>
        <v>0</v>
      </c>
      <c r="R284">
        <f>IF(V284="Sí",COUNTIFS(DATOS!G:G,CONFIG_METADATA!$B$4,DATOS!D:D,A284,DATOS!I:I,B284,DATOS!K:K,7),"")</f>
        <v>0</v>
      </c>
      <c r="S284">
        <f>IF(V284="Sí",COUNTIFS(DATOS!G:G,CONFIG_METADATA!$B$4,DATOS!D:D,A284,DATOS!I:I,B284,DATOS!K:K,8),"")</f>
        <v>0</v>
      </c>
      <c r="T284">
        <f>IF(V284="Sí",COUNTIFS(DATOS!G:G,CONFIG_METADATA!$B$4,DATOS!D:D,A284,DATOS!I:I,B284,DATOS!K:K,9),"")</f>
        <v>0</v>
      </c>
      <c r="U284">
        <f>IF(V284="Sí",COUNTIFS(DATOS!G:G,CONFIG_METADATA!$B$4,DATOS!D:D,A284,DATOS!I:I,B284,DATOS!K:K,10),"")</f>
        <v>0</v>
      </c>
      <c r="V284" t="str">
        <f>IFERROR(IF(ISERROR(FIND(A284,VLOOKUP(B284,CONFIG_ASIGNATURAS!B:C,2,FALSE()))),"No","Sí"),"No")</f>
        <v>Sí</v>
      </c>
    </row>
    <row r="285" spans="1:22">
      <c r="A285" s="3" t="inlineStr">
        <is>
          <t xml:space="preserve">4EEM</t>
        </is>
      </c>
      <c r="B285" s="3" cm="1">
        <f t="array" ref="B285">IFERROR(INDEX(_xlfn._xlws.FILTER(CONFIG_ASIGNATURAS!$B$2:$B$61,(CONFIG_ASIGNATURAS!$G$2:$G$61="Sí")*ISNUMBER(SEARCH("4EEM",CONFIG_ASIGNATURAS!$C$2:$C$61))),29),"")</f>
      </c>
      <c r="C285" s="3">
        <f>IF(B285="","",IFERROR(IF(VLOOKUP(B285,CONFIG_ASIGNATURAS!$B$2:$F$61,5,FALSE())="Sí","Especialidad","Asignatura"),"Asignatura"))</f>
      </c>
      <c r="D285">
        <f>IF(V285="Sí",COUNTIFS(DATOS!G:G,CONFIG_METADATA!$B$4,DATOS!D:D,A285,DATOS!I:I,B285),"")</f>
        <v>0</v>
      </c>
      <c r="E285" s="14" t="str">
        <f>IF(V285="Sí",IFERROR(AVERAGEIFS(DATOS!K:K,DATOS!G:G,CONFIG_METADATA!$B$4,DATOS!D:D,A285,DATOS!I:I,B285),"—"),"")</f>
        <v>—</v>
      </c>
      <c r="F285" s="14" t="str" cm="1">
        <f t="array" ref="F285">IF(V285="Sí",IFERROR(_xlfn.STDEV.P(IF((DATOS!$G$2:$G$20000=CONFIG_METADATA!$B$4)*(DATOS!$D$2:$D$20000=A285)*(DATOS!$I$2:$I$20000=B285),DATOS!$K$2:$K$20000)),"—"),"")</f>
        <v>—</v>
      </c>
      <c r="G285" t="str" cm="1">
        <f t="array" ref="G285">IF(V285="Sí",IFERROR(_xlfn.MODE.SNGL(IF((DATOS!$G$2:$G$20000=CONFIG_METADATA!$B$4)*(DATOS!$D$2:$D$20000=A285)*(DATOS!$I$2:$I$20000=B285),DATOS!$K$2:$K$20000)),"—"),"")</f>
        <v>—</v>
      </c>
      <c r="H285" s="15" t="str">
        <f>IF(V285="Sí",IFERROR(COUNTIFS(DATOS!G:G,CONFIG_METADATA!$B$4,DATOS!D:D,A285,DATOS!I:I,B285,DATOS!L:L,"S")/COUNTIFS(DATOS!G:G,CONFIG_METADATA!$B$4,DATOS!D:D,A285,DATOS!I:I,B285),"—"),"")</f>
        <v>—</v>
      </c>
      <c r="I285" s="15" t="str">
        <f>IF(V285="Sí",IFERROR(COUNTIFS(DATOS!G:G,CONFIG_METADATA!$B$4,DATOS!D:D,A285,DATOS!I:I,B285,DATOS!L:L,"N")/COUNTIFS(DATOS!G:G,CONFIG_METADATA!$B$4,DATOS!D:D,A285,DATOS!I:I,B285),"—"),"")</f>
        <v>—</v>
      </c>
      <c r="J285" t="str" cm="1">
        <f t="array" ref="J285">IF(V285="Sí",IFERROR(_xlfn.MODE.SNGL(IF((DATOS!$G$2:$G$20000=CONFIG_METADATA!$B$4)*(DATOS!$D$2:$D$20000=A285)*(DATOS!$I$2:$I$20000=B285)*(DATOS!$L$2:$L$20000="S"),DATOS!$K$2:$K$20000)),"—"),"")</f>
        <v>—</v>
      </c>
      <c r="K285" t="str" cm="1">
        <f t="array" ref="K285">IF(V285="Sí",IFERROR(_xlfn.MODE.SNGL(IF((DATOS!$G$2:$G$20000=CONFIG_METADATA!$B$4)*(DATOS!$D$2:$D$20000=A285)*(DATOS!$I$2:$I$20000=B285)*(DATOS!$L$2:$L$20000="N"),DATOS!$K$2:$K$20000)),"—"),"")</f>
        <v>—</v>
      </c>
      <c r="L285">
        <f>IF(V285="Sí",COUNTIFS(DATOS!G:G,CONFIG_METADATA!$B$4,DATOS!D:D,A285,DATOS!I:I,B285,DATOS!K:K,1),"")</f>
        <v>0</v>
      </c>
      <c r="M285">
        <f>IF(V285="Sí",COUNTIFS(DATOS!G:G,CONFIG_METADATA!$B$4,DATOS!D:D,A285,DATOS!I:I,B285,DATOS!K:K,2),"")</f>
        <v>0</v>
      </c>
      <c r="N285">
        <f>IF(V285="Sí",COUNTIFS(DATOS!G:G,CONFIG_METADATA!$B$4,DATOS!D:D,A285,DATOS!I:I,B285,DATOS!K:K,3),"")</f>
        <v>0</v>
      </c>
      <c r="O285">
        <f>IF(V285="Sí",COUNTIFS(DATOS!G:G,CONFIG_METADATA!$B$4,DATOS!D:D,A285,DATOS!I:I,B285,DATOS!K:K,4),"")</f>
        <v>0</v>
      </c>
      <c r="P285">
        <f>IF(V285="Sí",COUNTIFS(DATOS!G:G,CONFIG_METADATA!$B$4,DATOS!D:D,A285,DATOS!I:I,B285,DATOS!K:K,5),"")</f>
        <v>0</v>
      </c>
      <c r="Q285">
        <f>IF(V285="Sí",COUNTIFS(DATOS!G:G,CONFIG_METADATA!$B$4,DATOS!D:D,A285,DATOS!I:I,B285,DATOS!K:K,6),"")</f>
        <v>0</v>
      </c>
      <c r="R285">
        <f>IF(V285="Sí",COUNTIFS(DATOS!G:G,CONFIG_METADATA!$B$4,DATOS!D:D,A285,DATOS!I:I,B285,DATOS!K:K,7),"")</f>
        <v>0</v>
      </c>
      <c r="S285">
        <f>IF(V285="Sí",COUNTIFS(DATOS!G:G,CONFIG_METADATA!$B$4,DATOS!D:D,A285,DATOS!I:I,B285,DATOS!K:K,8),"")</f>
        <v>0</v>
      </c>
      <c r="T285">
        <f>IF(V285="Sí",COUNTIFS(DATOS!G:G,CONFIG_METADATA!$B$4,DATOS!D:D,A285,DATOS!I:I,B285,DATOS!K:K,9),"")</f>
        <v>0</v>
      </c>
      <c r="U285">
        <f>IF(V285="Sí",COUNTIFS(DATOS!G:G,CONFIG_METADATA!$B$4,DATOS!D:D,A285,DATOS!I:I,B285,DATOS!K:K,10),"")</f>
        <v>0</v>
      </c>
      <c r="V285" t="str">
        <f>IFERROR(IF(ISERROR(FIND(A285,VLOOKUP(B285,CONFIG_ASIGNATURAS!B:C,2,FALSE()))),"No","Sí"),"No")</f>
        <v>Sí</v>
      </c>
    </row>
    <row r="286" spans="1:22">
      <c r="A286" s="3" t="inlineStr">
        <is>
          <t xml:space="preserve">4EEM</t>
        </is>
      </c>
      <c r="B286" s="3" cm="1">
        <f t="array" ref="B286">IFERROR(INDEX(_xlfn._xlws.FILTER(CONFIG_ASIGNATURAS!$B$2:$B$61,(CONFIG_ASIGNATURAS!$G$2:$G$61="Sí")*ISNUMBER(SEARCH("4EEM",CONFIG_ASIGNATURAS!$C$2:$C$61))),30),"")</f>
      </c>
      <c r="C286" s="3">
        <f>IF(B286="","",IFERROR(IF(VLOOKUP(B286,CONFIG_ASIGNATURAS!$B$2:$F$61,5,FALSE())="Sí","Especialidad","Asignatura"),"Asignatura"))</f>
      </c>
      <c r="D286">
        <f>IF(V286="Sí",COUNTIFS(DATOS!G:G,CONFIG_METADATA!$B$4,DATOS!D:D,A286,DATOS!I:I,B286),"")</f>
        <v>0</v>
      </c>
      <c r="E286" s="14" t="str">
        <f>IF(V286="Sí",IFERROR(AVERAGEIFS(DATOS!K:K,DATOS!G:G,CONFIG_METADATA!$B$4,DATOS!D:D,A286,DATOS!I:I,B286),"—"),"")</f>
        <v>—</v>
      </c>
      <c r="F286" s="14" t="str" cm="1">
        <f t="array" ref="F286">IF(V286="Sí",IFERROR(_xlfn.STDEV.P(IF((DATOS!$G$2:$G$20000=CONFIG_METADATA!$B$4)*(DATOS!$D$2:$D$20000=A286)*(DATOS!$I$2:$I$20000=B286),DATOS!$K$2:$K$20000)),"—"),"")</f>
        <v>—</v>
      </c>
      <c r="G286" t="str" cm="1">
        <f t="array" ref="G286">IF(V286="Sí",IFERROR(_xlfn.MODE.SNGL(IF((DATOS!$G$2:$G$20000=CONFIG_METADATA!$B$4)*(DATOS!$D$2:$D$20000=A286)*(DATOS!$I$2:$I$20000=B286),DATOS!$K$2:$K$20000)),"—"),"")</f>
        <v>—</v>
      </c>
      <c r="H286" s="15" t="str">
        <f>IF(V286="Sí",IFERROR(COUNTIFS(DATOS!G:G,CONFIG_METADATA!$B$4,DATOS!D:D,A286,DATOS!I:I,B286,DATOS!L:L,"S")/COUNTIFS(DATOS!G:G,CONFIG_METADATA!$B$4,DATOS!D:D,A286,DATOS!I:I,B286),"—"),"")</f>
        <v>—</v>
      </c>
      <c r="I286" s="15" t="str">
        <f>IF(V286="Sí",IFERROR(COUNTIFS(DATOS!G:G,CONFIG_METADATA!$B$4,DATOS!D:D,A286,DATOS!I:I,B286,DATOS!L:L,"N")/COUNTIFS(DATOS!G:G,CONFIG_METADATA!$B$4,DATOS!D:D,A286,DATOS!I:I,B286),"—"),"")</f>
        <v>—</v>
      </c>
      <c r="J286" t="str" cm="1">
        <f t="array" ref="J286">IF(V286="Sí",IFERROR(_xlfn.MODE.SNGL(IF((DATOS!$G$2:$G$20000=CONFIG_METADATA!$B$4)*(DATOS!$D$2:$D$20000=A286)*(DATOS!$I$2:$I$20000=B286)*(DATOS!$L$2:$L$20000="S"),DATOS!$K$2:$K$20000)),"—"),"")</f>
        <v>—</v>
      </c>
      <c r="K286" t="str" cm="1">
        <f t="array" ref="K286">IF(V286="Sí",IFERROR(_xlfn.MODE.SNGL(IF((DATOS!$G$2:$G$20000=CONFIG_METADATA!$B$4)*(DATOS!$D$2:$D$20000=A286)*(DATOS!$I$2:$I$20000=B286)*(DATOS!$L$2:$L$20000="N"),DATOS!$K$2:$K$20000)),"—"),"")</f>
        <v>—</v>
      </c>
      <c r="L286">
        <f>IF(V286="Sí",COUNTIFS(DATOS!G:G,CONFIG_METADATA!$B$4,DATOS!D:D,A286,DATOS!I:I,B286,DATOS!K:K,1),"")</f>
        <v>0</v>
      </c>
      <c r="M286">
        <f>IF(V286="Sí",COUNTIFS(DATOS!G:G,CONFIG_METADATA!$B$4,DATOS!D:D,A286,DATOS!I:I,B286,DATOS!K:K,2),"")</f>
        <v>0</v>
      </c>
      <c r="N286">
        <f>IF(V286="Sí",COUNTIFS(DATOS!G:G,CONFIG_METADATA!$B$4,DATOS!D:D,A286,DATOS!I:I,B286,DATOS!K:K,3),"")</f>
        <v>0</v>
      </c>
      <c r="O286">
        <f>IF(V286="Sí",COUNTIFS(DATOS!G:G,CONFIG_METADATA!$B$4,DATOS!D:D,A286,DATOS!I:I,B286,DATOS!K:K,4),"")</f>
        <v>0</v>
      </c>
      <c r="P286">
        <f>IF(V286="Sí",COUNTIFS(DATOS!G:G,CONFIG_METADATA!$B$4,DATOS!D:D,A286,DATOS!I:I,B286,DATOS!K:K,5),"")</f>
        <v>0</v>
      </c>
      <c r="Q286">
        <f>IF(V286="Sí",COUNTIFS(DATOS!G:G,CONFIG_METADATA!$B$4,DATOS!D:D,A286,DATOS!I:I,B286,DATOS!K:K,6),"")</f>
        <v>0</v>
      </c>
      <c r="R286">
        <f>IF(V286="Sí",COUNTIFS(DATOS!G:G,CONFIG_METADATA!$B$4,DATOS!D:D,A286,DATOS!I:I,B286,DATOS!K:K,7),"")</f>
        <v>0</v>
      </c>
      <c r="S286">
        <f>IF(V286="Sí",COUNTIFS(DATOS!G:G,CONFIG_METADATA!$B$4,DATOS!D:D,A286,DATOS!I:I,B286,DATOS!K:K,8),"")</f>
        <v>0</v>
      </c>
      <c r="T286">
        <f>IF(V286="Sí",COUNTIFS(DATOS!G:G,CONFIG_METADATA!$B$4,DATOS!D:D,A286,DATOS!I:I,B286,DATOS!K:K,9),"")</f>
        <v>0</v>
      </c>
      <c r="U286">
        <f>IF(V286="Sí",COUNTIFS(DATOS!G:G,CONFIG_METADATA!$B$4,DATOS!D:D,A286,DATOS!I:I,B286,DATOS!K:K,10),"")</f>
        <v>0</v>
      </c>
      <c r="V286" t="str">
        <f>IFERROR(IF(ISERROR(FIND(A286,VLOOKUP(B286,CONFIG_ASIGNATURAS!B:C,2,FALSE()))),"No","Sí"),"No")</f>
        <v>Sí</v>
      </c>
    </row>
    <row r="287" spans="1:22">
      <c r="A287" s="3" t="inlineStr">
        <is>
          <t xml:space="preserve">4EEM</t>
        </is>
      </c>
      <c r="B287" s="3" cm="1">
        <f t="array" ref="B287">IFERROR(INDEX(_xlfn._xlws.FILTER(CONFIG_ASIGNATURAS!$B$2:$B$61,(CONFIG_ASIGNATURAS!$G$2:$G$61="Sí")*ISNUMBER(SEARCH("4EEM",CONFIG_ASIGNATURAS!$C$2:$C$61))),31),"")</f>
      </c>
      <c r="C287" s="3">
        <f>IF(B287="","",IFERROR(IF(VLOOKUP(B287,CONFIG_ASIGNATURAS!$B$2:$F$61,5,FALSE())="Sí","Especialidad","Asignatura"),"Asignatura"))</f>
      </c>
      <c r="D287">
        <f>IF(V287="Sí",COUNTIFS(DATOS!G:G,CONFIG_METADATA!$B$4,DATOS!D:D,A287,DATOS!I:I,B287),"")</f>
        <v>0</v>
      </c>
      <c r="E287" s="14" t="str">
        <f>IF(V287="Sí",IFERROR(AVERAGEIFS(DATOS!K:K,DATOS!G:G,CONFIG_METADATA!$B$4,DATOS!D:D,A287,DATOS!I:I,B287),"—"),"")</f>
        <v>—</v>
      </c>
      <c r="F287" s="14" t="str" cm="1">
        <f t="array" ref="F287">IF(V287="Sí",IFERROR(_xlfn.STDEV.P(IF((DATOS!$G$2:$G$20000=CONFIG_METADATA!$B$4)*(DATOS!$D$2:$D$20000=A287)*(DATOS!$I$2:$I$20000=B287),DATOS!$K$2:$K$20000)),"—"),"")</f>
        <v>—</v>
      </c>
      <c r="G287" t="str" cm="1">
        <f t="array" ref="G287">IF(V287="Sí",IFERROR(_xlfn.MODE.SNGL(IF((DATOS!$G$2:$G$20000=CONFIG_METADATA!$B$4)*(DATOS!$D$2:$D$20000=A287)*(DATOS!$I$2:$I$20000=B287),DATOS!$K$2:$K$20000)),"—"),"")</f>
        <v>—</v>
      </c>
      <c r="H287" s="15" t="str">
        <f>IF(V287="Sí",IFERROR(COUNTIFS(DATOS!G:G,CONFIG_METADATA!$B$4,DATOS!D:D,A287,DATOS!I:I,B287,DATOS!L:L,"S")/COUNTIFS(DATOS!G:G,CONFIG_METADATA!$B$4,DATOS!D:D,A287,DATOS!I:I,B287),"—"),"")</f>
        <v>—</v>
      </c>
      <c r="I287" s="15" t="str">
        <f>IF(V287="Sí",IFERROR(COUNTIFS(DATOS!G:G,CONFIG_METADATA!$B$4,DATOS!D:D,A287,DATOS!I:I,B287,DATOS!L:L,"N")/COUNTIFS(DATOS!G:G,CONFIG_METADATA!$B$4,DATOS!D:D,A287,DATOS!I:I,B287),"—"),"")</f>
        <v>—</v>
      </c>
      <c r="J287" t="str" cm="1">
        <f t="array" ref="J287">IF(V287="Sí",IFERROR(_xlfn.MODE.SNGL(IF((DATOS!$G$2:$G$20000=CONFIG_METADATA!$B$4)*(DATOS!$D$2:$D$20000=A287)*(DATOS!$I$2:$I$20000=B287)*(DATOS!$L$2:$L$20000="S"),DATOS!$K$2:$K$20000)),"—"),"")</f>
        <v>—</v>
      </c>
      <c r="K287" t="str" cm="1">
        <f t="array" ref="K287">IF(V287="Sí",IFERROR(_xlfn.MODE.SNGL(IF((DATOS!$G$2:$G$20000=CONFIG_METADATA!$B$4)*(DATOS!$D$2:$D$20000=A287)*(DATOS!$I$2:$I$20000=B287)*(DATOS!$L$2:$L$20000="N"),DATOS!$K$2:$K$20000)),"—"),"")</f>
        <v>—</v>
      </c>
      <c r="L287">
        <f>IF(V287="Sí",COUNTIFS(DATOS!G:G,CONFIG_METADATA!$B$4,DATOS!D:D,A287,DATOS!I:I,B287,DATOS!K:K,1),"")</f>
        <v>0</v>
      </c>
      <c r="M287">
        <f>IF(V287="Sí",COUNTIFS(DATOS!G:G,CONFIG_METADATA!$B$4,DATOS!D:D,A287,DATOS!I:I,B287,DATOS!K:K,2),"")</f>
        <v>0</v>
      </c>
      <c r="N287">
        <f>IF(V287="Sí",COUNTIFS(DATOS!G:G,CONFIG_METADATA!$B$4,DATOS!D:D,A287,DATOS!I:I,B287,DATOS!K:K,3),"")</f>
        <v>0</v>
      </c>
      <c r="O287">
        <f>IF(V287="Sí",COUNTIFS(DATOS!G:G,CONFIG_METADATA!$B$4,DATOS!D:D,A287,DATOS!I:I,B287,DATOS!K:K,4),"")</f>
        <v>0</v>
      </c>
      <c r="P287">
        <f>IF(V287="Sí",COUNTIFS(DATOS!G:G,CONFIG_METADATA!$B$4,DATOS!D:D,A287,DATOS!I:I,B287,DATOS!K:K,5),"")</f>
        <v>0</v>
      </c>
      <c r="Q287">
        <f>IF(V287="Sí",COUNTIFS(DATOS!G:G,CONFIG_METADATA!$B$4,DATOS!D:D,A287,DATOS!I:I,B287,DATOS!K:K,6),"")</f>
        <v>0</v>
      </c>
      <c r="R287">
        <f>IF(V287="Sí",COUNTIFS(DATOS!G:G,CONFIG_METADATA!$B$4,DATOS!D:D,A287,DATOS!I:I,B287,DATOS!K:K,7),"")</f>
        <v>0</v>
      </c>
      <c r="S287">
        <f>IF(V287="Sí",COUNTIFS(DATOS!G:G,CONFIG_METADATA!$B$4,DATOS!D:D,A287,DATOS!I:I,B287,DATOS!K:K,8),"")</f>
        <v>0</v>
      </c>
      <c r="T287">
        <f>IF(V287="Sí",COUNTIFS(DATOS!G:G,CONFIG_METADATA!$B$4,DATOS!D:D,A287,DATOS!I:I,B287,DATOS!K:K,9),"")</f>
        <v>0</v>
      </c>
      <c r="U287">
        <f>IF(V287="Sí",COUNTIFS(DATOS!G:G,CONFIG_METADATA!$B$4,DATOS!D:D,A287,DATOS!I:I,B287,DATOS!K:K,10),"")</f>
        <v>0</v>
      </c>
      <c r="V287" t="str">
        <f>IFERROR(IF(ISERROR(FIND(A287,VLOOKUP(B287,CONFIG_ASIGNATURAS!B:C,2,FALSE()))),"No","Sí"),"No")</f>
        <v>Sí</v>
      </c>
    </row>
    <row r="288" spans="1:22">
      <c r="A288" s="3" t="inlineStr">
        <is>
          <t xml:space="preserve">4EEM</t>
        </is>
      </c>
      <c r="B288" s="3" cm="1">
        <f t="array" ref="B288">IFERROR(INDEX(_xlfn._xlws.FILTER(CONFIG_ASIGNATURAS!$B$2:$B$61,(CONFIG_ASIGNATURAS!$G$2:$G$61="Sí")*ISNUMBER(SEARCH("4EEM",CONFIG_ASIGNATURAS!$C$2:$C$61))),32),"")</f>
      </c>
      <c r="C288" s="3">
        <f>IF(B288="","",IFERROR(IF(VLOOKUP(B288,CONFIG_ASIGNATURAS!$B$2:$F$61,5,FALSE())="Sí","Especialidad","Asignatura"),"Asignatura"))</f>
      </c>
      <c r="D288">
        <f>IF(V288="Sí",COUNTIFS(DATOS!G:G,CONFIG_METADATA!$B$4,DATOS!D:D,A288,DATOS!I:I,B288),"")</f>
        <v>0</v>
      </c>
      <c r="E288" s="14" t="str">
        <f>IF(V288="Sí",IFERROR(AVERAGEIFS(DATOS!K:K,DATOS!G:G,CONFIG_METADATA!$B$4,DATOS!D:D,A288,DATOS!I:I,B288),"—"),"")</f>
        <v>—</v>
      </c>
      <c r="F288" s="14" t="str" cm="1">
        <f t="array" ref="F288">IF(V288="Sí",IFERROR(_xlfn.STDEV.P(IF((DATOS!$G$2:$G$20000=CONFIG_METADATA!$B$4)*(DATOS!$D$2:$D$20000=A288)*(DATOS!$I$2:$I$20000=B288),DATOS!$K$2:$K$20000)),"—"),"")</f>
        <v>—</v>
      </c>
      <c r="G288" t="str" cm="1">
        <f t="array" ref="G288">IF(V288="Sí",IFERROR(_xlfn.MODE.SNGL(IF((DATOS!$G$2:$G$20000=CONFIG_METADATA!$B$4)*(DATOS!$D$2:$D$20000=A288)*(DATOS!$I$2:$I$20000=B288),DATOS!$K$2:$K$20000)),"—"),"")</f>
        <v>—</v>
      </c>
      <c r="H288" s="15" t="str">
        <f>IF(V288="Sí",IFERROR(COUNTIFS(DATOS!G:G,CONFIG_METADATA!$B$4,DATOS!D:D,A288,DATOS!I:I,B288,DATOS!L:L,"S")/COUNTIFS(DATOS!G:G,CONFIG_METADATA!$B$4,DATOS!D:D,A288,DATOS!I:I,B288),"—"),"")</f>
        <v>—</v>
      </c>
      <c r="I288" s="15" t="str">
        <f>IF(V288="Sí",IFERROR(COUNTIFS(DATOS!G:G,CONFIG_METADATA!$B$4,DATOS!D:D,A288,DATOS!I:I,B288,DATOS!L:L,"N")/COUNTIFS(DATOS!G:G,CONFIG_METADATA!$B$4,DATOS!D:D,A288,DATOS!I:I,B288),"—"),"")</f>
        <v>—</v>
      </c>
      <c r="J288" t="str" cm="1">
        <f t="array" ref="J288">IF(V288="Sí",IFERROR(_xlfn.MODE.SNGL(IF((DATOS!$G$2:$G$20000=CONFIG_METADATA!$B$4)*(DATOS!$D$2:$D$20000=A288)*(DATOS!$I$2:$I$20000=B288)*(DATOS!$L$2:$L$20000="S"),DATOS!$K$2:$K$20000)),"—"),"")</f>
        <v>—</v>
      </c>
      <c r="K288" t="str" cm="1">
        <f t="array" ref="K288">IF(V288="Sí",IFERROR(_xlfn.MODE.SNGL(IF((DATOS!$G$2:$G$20000=CONFIG_METADATA!$B$4)*(DATOS!$D$2:$D$20000=A288)*(DATOS!$I$2:$I$20000=B288)*(DATOS!$L$2:$L$20000="N"),DATOS!$K$2:$K$20000)),"—"),"")</f>
        <v>—</v>
      </c>
      <c r="L288">
        <f>IF(V288="Sí",COUNTIFS(DATOS!G:G,CONFIG_METADATA!$B$4,DATOS!D:D,A288,DATOS!I:I,B288,DATOS!K:K,1),"")</f>
        <v>0</v>
      </c>
      <c r="M288">
        <f>IF(V288="Sí",COUNTIFS(DATOS!G:G,CONFIG_METADATA!$B$4,DATOS!D:D,A288,DATOS!I:I,B288,DATOS!K:K,2),"")</f>
        <v>0</v>
      </c>
      <c r="N288">
        <f>IF(V288="Sí",COUNTIFS(DATOS!G:G,CONFIG_METADATA!$B$4,DATOS!D:D,A288,DATOS!I:I,B288,DATOS!K:K,3),"")</f>
        <v>0</v>
      </c>
      <c r="O288">
        <f>IF(V288="Sí",COUNTIFS(DATOS!G:G,CONFIG_METADATA!$B$4,DATOS!D:D,A288,DATOS!I:I,B288,DATOS!K:K,4),"")</f>
        <v>0</v>
      </c>
      <c r="P288">
        <f>IF(V288="Sí",COUNTIFS(DATOS!G:G,CONFIG_METADATA!$B$4,DATOS!D:D,A288,DATOS!I:I,B288,DATOS!K:K,5),"")</f>
        <v>0</v>
      </c>
      <c r="Q288">
        <f>IF(V288="Sí",COUNTIFS(DATOS!G:G,CONFIG_METADATA!$B$4,DATOS!D:D,A288,DATOS!I:I,B288,DATOS!K:K,6),"")</f>
        <v>0</v>
      </c>
      <c r="R288">
        <f>IF(V288="Sí",COUNTIFS(DATOS!G:G,CONFIG_METADATA!$B$4,DATOS!D:D,A288,DATOS!I:I,B288,DATOS!K:K,7),"")</f>
        <v>0</v>
      </c>
      <c r="S288">
        <f>IF(V288="Sí",COUNTIFS(DATOS!G:G,CONFIG_METADATA!$B$4,DATOS!D:D,A288,DATOS!I:I,B288,DATOS!K:K,8),"")</f>
        <v>0</v>
      </c>
      <c r="T288">
        <f>IF(V288="Sí",COUNTIFS(DATOS!G:G,CONFIG_METADATA!$B$4,DATOS!D:D,A288,DATOS!I:I,B288,DATOS!K:K,9),"")</f>
        <v>0</v>
      </c>
      <c r="U288">
        <f>IF(V288="Sí",COUNTIFS(DATOS!G:G,CONFIG_METADATA!$B$4,DATOS!D:D,A288,DATOS!I:I,B288,DATOS!K:K,10),"")</f>
        <v>0</v>
      </c>
      <c r="V288" t="str">
        <f>IFERROR(IF(ISERROR(FIND(A288,VLOOKUP(B288,CONFIG_ASIGNATURAS!B:C,2,FALSE()))),"No","Sí"),"No")</f>
        <v>Sí</v>
      </c>
    </row>
    <row r="289" spans="1:22">
      <c r="A289" s="3" t="inlineStr">
        <is>
          <t xml:space="preserve">4EEM</t>
        </is>
      </c>
      <c r="B289" s="3" cm="1">
        <f t="array" ref="B289">IFERROR(INDEX(_xlfn._xlws.FILTER(CONFIG_ASIGNATURAS!$B$2:$B$61,(CONFIG_ASIGNATURAS!$G$2:$G$61="Sí")*ISNUMBER(SEARCH("4EEM",CONFIG_ASIGNATURAS!$C$2:$C$61))),33),"")</f>
      </c>
      <c r="C289" s="3">
        <f>IF(B289="","",IFERROR(IF(VLOOKUP(B289,CONFIG_ASIGNATURAS!$B$2:$F$61,5,FALSE())="Sí","Especialidad","Asignatura"),"Asignatura"))</f>
      </c>
      <c r="D289">
        <f>IF(V289="Sí",COUNTIFS(DATOS!G:G,CONFIG_METADATA!$B$4,DATOS!D:D,A289,DATOS!I:I,B289),"")</f>
        <v>0</v>
      </c>
      <c r="E289" s="14" t="str">
        <f>IF(V289="Sí",IFERROR(AVERAGEIFS(DATOS!K:K,DATOS!G:G,CONFIG_METADATA!$B$4,DATOS!D:D,A289,DATOS!I:I,B289),"—"),"")</f>
        <v>—</v>
      </c>
      <c r="F289" s="14" t="str" cm="1">
        <f t="array" ref="F289">IF(V289="Sí",IFERROR(_xlfn.STDEV.P(IF((DATOS!$G$2:$G$20000=CONFIG_METADATA!$B$4)*(DATOS!$D$2:$D$20000=A289)*(DATOS!$I$2:$I$20000=B289),DATOS!$K$2:$K$20000)),"—"),"")</f>
        <v>—</v>
      </c>
      <c r="G289" t="str" cm="1">
        <f t="array" ref="G289">IF(V289="Sí",IFERROR(_xlfn.MODE.SNGL(IF((DATOS!$G$2:$G$20000=CONFIG_METADATA!$B$4)*(DATOS!$D$2:$D$20000=A289)*(DATOS!$I$2:$I$20000=B289),DATOS!$K$2:$K$20000)),"—"),"")</f>
        <v>—</v>
      </c>
      <c r="H289" s="15" t="str">
        <f>IF(V289="Sí",IFERROR(COUNTIFS(DATOS!G:G,CONFIG_METADATA!$B$4,DATOS!D:D,A289,DATOS!I:I,B289,DATOS!L:L,"S")/COUNTIFS(DATOS!G:G,CONFIG_METADATA!$B$4,DATOS!D:D,A289,DATOS!I:I,B289),"—"),"")</f>
        <v>—</v>
      </c>
      <c r="I289" s="15" t="str">
        <f>IF(V289="Sí",IFERROR(COUNTIFS(DATOS!G:G,CONFIG_METADATA!$B$4,DATOS!D:D,A289,DATOS!I:I,B289,DATOS!L:L,"N")/COUNTIFS(DATOS!G:G,CONFIG_METADATA!$B$4,DATOS!D:D,A289,DATOS!I:I,B289),"—"),"")</f>
        <v>—</v>
      </c>
      <c r="J289" t="str" cm="1">
        <f t="array" ref="J289">IF(V289="Sí",IFERROR(_xlfn.MODE.SNGL(IF((DATOS!$G$2:$G$20000=CONFIG_METADATA!$B$4)*(DATOS!$D$2:$D$20000=A289)*(DATOS!$I$2:$I$20000=B289)*(DATOS!$L$2:$L$20000="S"),DATOS!$K$2:$K$20000)),"—"),"")</f>
        <v>—</v>
      </c>
      <c r="K289" t="str" cm="1">
        <f t="array" ref="K289">IF(V289="Sí",IFERROR(_xlfn.MODE.SNGL(IF((DATOS!$G$2:$G$20000=CONFIG_METADATA!$B$4)*(DATOS!$D$2:$D$20000=A289)*(DATOS!$I$2:$I$20000=B289)*(DATOS!$L$2:$L$20000="N"),DATOS!$K$2:$K$20000)),"—"),"")</f>
        <v>—</v>
      </c>
      <c r="L289">
        <f>IF(V289="Sí",COUNTIFS(DATOS!G:G,CONFIG_METADATA!$B$4,DATOS!D:D,A289,DATOS!I:I,B289,DATOS!K:K,1),"")</f>
        <v>0</v>
      </c>
      <c r="M289">
        <f>IF(V289="Sí",COUNTIFS(DATOS!G:G,CONFIG_METADATA!$B$4,DATOS!D:D,A289,DATOS!I:I,B289,DATOS!K:K,2),"")</f>
        <v>0</v>
      </c>
      <c r="N289">
        <f>IF(V289="Sí",COUNTIFS(DATOS!G:G,CONFIG_METADATA!$B$4,DATOS!D:D,A289,DATOS!I:I,B289,DATOS!K:K,3),"")</f>
        <v>0</v>
      </c>
      <c r="O289">
        <f>IF(V289="Sí",COUNTIFS(DATOS!G:G,CONFIG_METADATA!$B$4,DATOS!D:D,A289,DATOS!I:I,B289,DATOS!K:K,4),"")</f>
        <v>0</v>
      </c>
      <c r="P289">
        <f>IF(V289="Sí",COUNTIFS(DATOS!G:G,CONFIG_METADATA!$B$4,DATOS!D:D,A289,DATOS!I:I,B289,DATOS!K:K,5),"")</f>
        <v>0</v>
      </c>
      <c r="Q289">
        <f>IF(V289="Sí",COUNTIFS(DATOS!G:G,CONFIG_METADATA!$B$4,DATOS!D:D,A289,DATOS!I:I,B289,DATOS!K:K,6),"")</f>
        <v>0</v>
      </c>
      <c r="R289">
        <f>IF(V289="Sí",COUNTIFS(DATOS!G:G,CONFIG_METADATA!$B$4,DATOS!D:D,A289,DATOS!I:I,B289,DATOS!K:K,7),"")</f>
        <v>0</v>
      </c>
      <c r="S289">
        <f>IF(V289="Sí",COUNTIFS(DATOS!G:G,CONFIG_METADATA!$B$4,DATOS!D:D,A289,DATOS!I:I,B289,DATOS!K:K,8),"")</f>
        <v>0</v>
      </c>
      <c r="T289">
        <f>IF(V289="Sí",COUNTIFS(DATOS!G:G,CONFIG_METADATA!$B$4,DATOS!D:D,A289,DATOS!I:I,B289,DATOS!K:K,9),"")</f>
        <v>0</v>
      </c>
      <c r="U289">
        <f>IF(V289="Sí",COUNTIFS(DATOS!G:G,CONFIG_METADATA!$B$4,DATOS!D:D,A289,DATOS!I:I,B289,DATOS!K:K,10),"")</f>
        <v>0</v>
      </c>
      <c r="V289" t="str">
        <f>IFERROR(IF(ISERROR(FIND(A289,VLOOKUP(B289,CONFIG_ASIGNATURAS!B:C,2,FALSE()))),"No","Sí"),"No")</f>
        <v>Sí</v>
      </c>
    </row>
    <row r="290" spans="1:22">
      <c r="A290" s="3" t="inlineStr">
        <is>
          <t xml:space="preserve">4EEM</t>
        </is>
      </c>
      <c r="B290" s="3" cm="1">
        <f t="array" ref="B290">IFERROR(INDEX(_xlfn._xlws.FILTER(CONFIG_ASIGNATURAS!$B$2:$B$61,(CONFIG_ASIGNATURAS!$G$2:$G$61="Sí")*ISNUMBER(SEARCH("4EEM",CONFIG_ASIGNATURAS!$C$2:$C$61))),34),"")</f>
      </c>
      <c r="C290" s="3">
        <f>IF(B290="","",IFERROR(IF(VLOOKUP(B290,CONFIG_ASIGNATURAS!$B$2:$F$61,5,FALSE())="Sí","Especialidad","Asignatura"),"Asignatura"))</f>
      </c>
      <c r="D290">
        <f>IF(V290="Sí",COUNTIFS(DATOS!G:G,CONFIG_METADATA!$B$4,DATOS!D:D,A290,DATOS!I:I,B290),"")</f>
        <v>0</v>
      </c>
      <c r="E290" s="14" t="str">
        <f>IF(V290="Sí",IFERROR(AVERAGEIFS(DATOS!K:K,DATOS!G:G,CONFIG_METADATA!$B$4,DATOS!D:D,A290,DATOS!I:I,B290),"—"),"")</f>
        <v>—</v>
      </c>
      <c r="F290" s="14" t="str" cm="1">
        <f t="array" ref="F290">IF(V290="Sí",IFERROR(_xlfn.STDEV.P(IF((DATOS!$G$2:$G$20000=CONFIG_METADATA!$B$4)*(DATOS!$D$2:$D$20000=A290)*(DATOS!$I$2:$I$20000=B290),DATOS!$K$2:$K$20000)),"—"),"")</f>
        <v>—</v>
      </c>
      <c r="G290" t="str" cm="1">
        <f t="array" ref="G290">IF(V290="Sí",IFERROR(_xlfn.MODE.SNGL(IF((DATOS!$G$2:$G$20000=CONFIG_METADATA!$B$4)*(DATOS!$D$2:$D$20000=A290)*(DATOS!$I$2:$I$20000=B290),DATOS!$K$2:$K$20000)),"—"),"")</f>
        <v>—</v>
      </c>
      <c r="H290" s="15" t="str">
        <f>IF(V290="Sí",IFERROR(COUNTIFS(DATOS!G:G,CONFIG_METADATA!$B$4,DATOS!D:D,A290,DATOS!I:I,B290,DATOS!L:L,"S")/COUNTIFS(DATOS!G:G,CONFIG_METADATA!$B$4,DATOS!D:D,A290,DATOS!I:I,B290),"—"),"")</f>
        <v>—</v>
      </c>
      <c r="I290" s="15" t="str">
        <f>IF(V290="Sí",IFERROR(COUNTIFS(DATOS!G:G,CONFIG_METADATA!$B$4,DATOS!D:D,A290,DATOS!I:I,B290,DATOS!L:L,"N")/COUNTIFS(DATOS!G:G,CONFIG_METADATA!$B$4,DATOS!D:D,A290,DATOS!I:I,B290),"—"),"")</f>
        <v>—</v>
      </c>
      <c r="J290" t="str" cm="1">
        <f t="array" ref="J290">IF(V290="Sí",IFERROR(_xlfn.MODE.SNGL(IF((DATOS!$G$2:$G$20000=CONFIG_METADATA!$B$4)*(DATOS!$D$2:$D$20000=A290)*(DATOS!$I$2:$I$20000=B290)*(DATOS!$L$2:$L$20000="S"),DATOS!$K$2:$K$20000)),"—"),"")</f>
        <v>—</v>
      </c>
      <c r="K290" t="str" cm="1">
        <f t="array" ref="K290">IF(V290="Sí",IFERROR(_xlfn.MODE.SNGL(IF((DATOS!$G$2:$G$20000=CONFIG_METADATA!$B$4)*(DATOS!$D$2:$D$20000=A290)*(DATOS!$I$2:$I$20000=B290)*(DATOS!$L$2:$L$20000="N"),DATOS!$K$2:$K$20000)),"—"),"")</f>
        <v>—</v>
      </c>
      <c r="L290">
        <f>IF(V290="Sí",COUNTIFS(DATOS!G:G,CONFIG_METADATA!$B$4,DATOS!D:D,A290,DATOS!I:I,B290,DATOS!K:K,1),"")</f>
        <v>0</v>
      </c>
      <c r="M290">
        <f>IF(V290="Sí",COUNTIFS(DATOS!G:G,CONFIG_METADATA!$B$4,DATOS!D:D,A290,DATOS!I:I,B290,DATOS!K:K,2),"")</f>
        <v>0</v>
      </c>
      <c r="N290">
        <f>IF(V290="Sí",COUNTIFS(DATOS!G:G,CONFIG_METADATA!$B$4,DATOS!D:D,A290,DATOS!I:I,B290,DATOS!K:K,3),"")</f>
        <v>0</v>
      </c>
      <c r="O290">
        <f>IF(V290="Sí",COUNTIFS(DATOS!G:G,CONFIG_METADATA!$B$4,DATOS!D:D,A290,DATOS!I:I,B290,DATOS!K:K,4),"")</f>
        <v>0</v>
      </c>
      <c r="P290">
        <f>IF(V290="Sí",COUNTIFS(DATOS!G:G,CONFIG_METADATA!$B$4,DATOS!D:D,A290,DATOS!I:I,B290,DATOS!K:K,5),"")</f>
        <v>0</v>
      </c>
      <c r="Q290">
        <f>IF(V290="Sí",COUNTIFS(DATOS!G:G,CONFIG_METADATA!$B$4,DATOS!D:D,A290,DATOS!I:I,B290,DATOS!K:K,6),"")</f>
        <v>0</v>
      </c>
      <c r="R290">
        <f>IF(V290="Sí",COUNTIFS(DATOS!G:G,CONFIG_METADATA!$B$4,DATOS!D:D,A290,DATOS!I:I,B290,DATOS!K:K,7),"")</f>
        <v>0</v>
      </c>
      <c r="S290">
        <f>IF(V290="Sí",COUNTIFS(DATOS!G:G,CONFIG_METADATA!$B$4,DATOS!D:D,A290,DATOS!I:I,B290,DATOS!K:K,8),"")</f>
        <v>0</v>
      </c>
      <c r="T290">
        <f>IF(V290="Sí",COUNTIFS(DATOS!G:G,CONFIG_METADATA!$B$4,DATOS!D:D,A290,DATOS!I:I,B290,DATOS!K:K,9),"")</f>
        <v>0</v>
      </c>
      <c r="U290">
        <f>IF(V290="Sí",COUNTIFS(DATOS!G:G,CONFIG_METADATA!$B$4,DATOS!D:D,A290,DATOS!I:I,B290,DATOS!K:K,10),"")</f>
        <v>0</v>
      </c>
      <c r="V290" t="str">
        <f>IFERROR(IF(ISERROR(FIND(A290,VLOOKUP(B290,CONFIG_ASIGNATURAS!B:C,2,FALSE()))),"No","Sí"),"No")</f>
        <v>Sí</v>
      </c>
    </row>
    <row r="291" spans="1:22">
      <c r="A291" s="3" t="inlineStr">
        <is>
          <t xml:space="preserve">4EEM</t>
        </is>
      </c>
      <c r="B291" s="3" cm="1">
        <f t="array" ref="B291">IFERROR(INDEX(_xlfn._xlws.FILTER(CONFIG_ASIGNATURAS!$B$2:$B$61,(CONFIG_ASIGNATURAS!$G$2:$G$61="Sí")*ISNUMBER(SEARCH("4EEM",CONFIG_ASIGNATURAS!$C$2:$C$61))),35),"")</f>
      </c>
      <c r="C291" s="3">
        <f>IF(B291="","",IFERROR(IF(VLOOKUP(B291,CONFIG_ASIGNATURAS!$B$2:$F$61,5,FALSE())="Sí","Especialidad","Asignatura"),"Asignatura"))</f>
      </c>
      <c r="D291">
        <f>IF(V291="Sí",COUNTIFS(DATOS!G:G,CONFIG_METADATA!$B$4,DATOS!D:D,A291,DATOS!I:I,B291),"")</f>
        <v>0</v>
      </c>
      <c r="E291" s="14" t="str">
        <f>IF(V291="Sí",IFERROR(AVERAGEIFS(DATOS!K:K,DATOS!G:G,CONFIG_METADATA!$B$4,DATOS!D:D,A291,DATOS!I:I,B291),"—"),"")</f>
        <v>—</v>
      </c>
      <c r="F291" s="14" t="str" cm="1">
        <f t="array" ref="F291">IF(V291="Sí",IFERROR(_xlfn.STDEV.P(IF((DATOS!$G$2:$G$20000=CONFIG_METADATA!$B$4)*(DATOS!$D$2:$D$20000=A291)*(DATOS!$I$2:$I$20000=B291),DATOS!$K$2:$K$20000)),"—"),"")</f>
        <v>—</v>
      </c>
      <c r="G291" t="str" cm="1">
        <f t="array" ref="G291">IF(V291="Sí",IFERROR(_xlfn.MODE.SNGL(IF((DATOS!$G$2:$G$20000=CONFIG_METADATA!$B$4)*(DATOS!$D$2:$D$20000=A291)*(DATOS!$I$2:$I$20000=B291),DATOS!$K$2:$K$20000)),"—"),"")</f>
        <v>—</v>
      </c>
      <c r="H291" s="15" t="str">
        <f>IF(V291="Sí",IFERROR(COUNTIFS(DATOS!G:G,CONFIG_METADATA!$B$4,DATOS!D:D,A291,DATOS!I:I,B291,DATOS!L:L,"S")/COUNTIFS(DATOS!G:G,CONFIG_METADATA!$B$4,DATOS!D:D,A291,DATOS!I:I,B291),"—"),"")</f>
        <v>—</v>
      </c>
      <c r="I291" s="15" t="str">
        <f>IF(V291="Sí",IFERROR(COUNTIFS(DATOS!G:G,CONFIG_METADATA!$B$4,DATOS!D:D,A291,DATOS!I:I,B291,DATOS!L:L,"N")/COUNTIFS(DATOS!G:G,CONFIG_METADATA!$B$4,DATOS!D:D,A291,DATOS!I:I,B291),"—"),"")</f>
        <v>—</v>
      </c>
      <c r="J291" t="str" cm="1">
        <f t="array" ref="J291">IF(V291="Sí",IFERROR(_xlfn.MODE.SNGL(IF((DATOS!$G$2:$G$20000=CONFIG_METADATA!$B$4)*(DATOS!$D$2:$D$20000=A291)*(DATOS!$I$2:$I$20000=B291)*(DATOS!$L$2:$L$20000="S"),DATOS!$K$2:$K$20000)),"—"),"")</f>
        <v>—</v>
      </c>
      <c r="K291" t="str" cm="1">
        <f t="array" ref="K291">IF(V291="Sí",IFERROR(_xlfn.MODE.SNGL(IF((DATOS!$G$2:$G$20000=CONFIG_METADATA!$B$4)*(DATOS!$D$2:$D$20000=A291)*(DATOS!$I$2:$I$20000=B291)*(DATOS!$L$2:$L$20000="N"),DATOS!$K$2:$K$20000)),"—"),"")</f>
        <v>—</v>
      </c>
      <c r="L291">
        <f>IF(V291="Sí",COUNTIFS(DATOS!G:G,CONFIG_METADATA!$B$4,DATOS!D:D,A291,DATOS!I:I,B291,DATOS!K:K,1),"")</f>
        <v>0</v>
      </c>
      <c r="M291">
        <f>IF(V291="Sí",COUNTIFS(DATOS!G:G,CONFIG_METADATA!$B$4,DATOS!D:D,A291,DATOS!I:I,B291,DATOS!K:K,2),"")</f>
        <v>0</v>
      </c>
      <c r="N291">
        <f>IF(V291="Sí",COUNTIFS(DATOS!G:G,CONFIG_METADATA!$B$4,DATOS!D:D,A291,DATOS!I:I,B291,DATOS!K:K,3),"")</f>
        <v>0</v>
      </c>
      <c r="O291">
        <f>IF(V291="Sí",COUNTIFS(DATOS!G:G,CONFIG_METADATA!$B$4,DATOS!D:D,A291,DATOS!I:I,B291,DATOS!K:K,4),"")</f>
        <v>0</v>
      </c>
      <c r="P291">
        <f>IF(V291="Sí",COUNTIFS(DATOS!G:G,CONFIG_METADATA!$B$4,DATOS!D:D,A291,DATOS!I:I,B291,DATOS!K:K,5),"")</f>
        <v>0</v>
      </c>
      <c r="Q291">
        <f>IF(V291="Sí",COUNTIFS(DATOS!G:G,CONFIG_METADATA!$B$4,DATOS!D:D,A291,DATOS!I:I,B291,DATOS!K:K,6),"")</f>
        <v>0</v>
      </c>
      <c r="R291">
        <f>IF(V291="Sí",COUNTIFS(DATOS!G:G,CONFIG_METADATA!$B$4,DATOS!D:D,A291,DATOS!I:I,B291,DATOS!K:K,7),"")</f>
        <v>0</v>
      </c>
      <c r="S291">
        <f>IF(V291="Sí",COUNTIFS(DATOS!G:G,CONFIG_METADATA!$B$4,DATOS!D:D,A291,DATOS!I:I,B291,DATOS!K:K,8),"")</f>
        <v>0</v>
      </c>
      <c r="T291">
        <f>IF(V291="Sí",COUNTIFS(DATOS!G:G,CONFIG_METADATA!$B$4,DATOS!D:D,A291,DATOS!I:I,B291,DATOS!K:K,9),"")</f>
        <v>0</v>
      </c>
      <c r="U291">
        <f>IF(V291="Sí",COUNTIFS(DATOS!G:G,CONFIG_METADATA!$B$4,DATOS!D:D,A291,DATOS!I:I,B291,DATOS!K:K,10),"")</f>
        <v>0</v>
      </c>
      <c r="V291" t="str">
        <f>IFERROR(IF(ISERROR(FIND(A291,VLOOKUP(B291,CONFIG_ASIGNATURAS!B:C,2,FALSE()))),"No","Sí"),"No")</f>
        <v>Sí</v>
      </c>
    </row>
    <row r="292" spans="1:22">
      <c r="A292" s="3" t="inlineStr">
        <is>
          <t xml:space="preserve">4EEM</t>
        </is>
      </c>
      <c r="B292" s="3" cm="1">
        <f t="array" ref="B292">IFERROR(INDEX(_xlfn._xlws.FILTER(CONFIG_ASIGNATURAS!$B$2:$B$61,(CONFIG_ASIGNATURAS!$G$2:$G$61="Sí")*ISNUMBER(SEARCH("4EEM",CONFIG_ASIGNATURAS!$C$2:$C$61))),36),"")</f>
      </c>
      <c r="C292" s="3">
        <f>IF(B292="","",IFERROR(IF(VLOOKUP(B292,CONFIG_ASIGNATURAS!$B$2:$F$61,5,FALSE())="Sí","Especialidad","Asignatura"),"Asignatura"))</f>
      </c>
      <c r="D292">
        <f>IF(V292="Sí",COUNTIFS(DATOS!G:G,CONFIG_METADATA!$B$4,DATOS!D:D,A292,DATOS!I:I,B292),"")</f>
        <v>0</v>
      </c>
      <c r="E292" s="14" t="str">
        <f>IF(V292="Sí",IFERROR(AVERAGEIFS(DATOS!K:K,DATOS!G:G,CONFIG_METADATA!$B$4,DATOS!D:D,A292,DATOS!I:I,B292),"—"),"")</f>
        <v>—</v>
      </c>
      <c r="F292" s="14" t="str" cm="1">
        <f t="array" ref="F292">IF(V292="Sí",IFERROR(_xlfn.STDEV.P(IF((DATOS!$G$2:$G$20000=CONFIG_METADATA!$B$4)*(DATOS!$D$2:$D$20000=A292)*(DATOS!$I$2:$I$20000=B292),DATOS!$K$2:$K$20000)),"—"),"")</f>
        <v>—</v>
      </c>
      <c r="G292" t="str" cm="1">
        <f t="array" ref="G292">IF(V292="Sí",IFERROR(_xlfn.MODE.SNGL(IF((DATOS!$G$2:$G$20000=CONFIG_METADATA!$B$4)*(DATOS!$D$2:$D$20000=A292)*(DATOS!$I$2:$I$20000=B292),DATOS!$K$2:$K$20000)),"—"),"")</f>
        <v>—</v>
      </c>
      <c r="H292" s="15" t="str">
        <f>IF(V292="Sí",IFERROR(COUNTIFS(DATOS!G:G,CONFIG_METADATA!$B$4,DATOS!D:D,A292,DATOS!I:I,B292,DATOS!L:L,"S")/COUNTIFS(DATOS!G:G,CONFIG_METADATA!$B$4,DATOS!D:D,A292,DATOS!I:I,B292),"—"),"")</f>
        <v>—</v>
      </c>
      <c r="I292" s="15" t="str">
        <f>IF(V292="Sí",IFERROR(COUNTIFS(DATOS!G:G,CONFIG_METADATA!$B$4,DATOS!D:D,A292,DATOS!I:I,B292,DATOS!L:L,"N")/COUNTIFS(DATOS!G:G,CONFIG_METADATA!$B$4,DATOS!D:D,A292,DATOS!I:I,B292),"—"),"")</f>
        <v>—</v>
      </c>
      <c r="J292" t="str" cm="1">
        <f t="array" ref="J292">IF(V292="Sí",IFERROR(_xlfn.MODE.SNGL(IF((DATOS!$G$2:$G$20000=CONFIG_METADATA!$B$4)*(DATOS!$D$2:$D$20000=A292)*(DATOS!$I$2:$I$20000=B292)*(DATOS!$L$2:$L$20000="S"),DATOS!$K$2:$K$20000)),"—"),"")</f>
        <v>—</v>
      </c>
      <c r="K292" t="str" cm="1">
        <f t="array" ref="K292">IF(V292="Sí",IFERROR(_xlfn.MODE.SNGL(IF((DATOS!$G$2:$G$20000=CONFIG_METADATA!$B$4)*(DATOS!$D$2:$D$20000=A292)*(DATOS!$I$2:$I$20000=B292)*(DATOS!$L$2:$L$20000="N"),DATOS!$K$2:$K$20000)),"—"),"")</f>
        <v>—</v>
      </c>
      <c r="L292">
        <f>IF(V292="Sí",COUNTIFS(DATOS!G:G,CONFIG_METADATA!$B$4,DATOS!D:D,A292,DATOS!I:I,B292,DATOS!K:K,1),"")</f>
        <v>0</v>
      </c>
      <c r="M292">
        <f>IF(V292="Sí",COUNTIFS(DATOS!G:G,CONFIG_METADATA!$B$4,DATOS!D:D,A292,DATOS!I:I,B292,DATOS!K:K,2),"")</f>
        <v>0</v>
      </c>
      <c r="N292">
        <f>IF(V292="Sí",COUNTIFS(DATOS!G:G,CONFIG_METADATA!$B$4,DATOS!D:D,A292,DATOS!I:I,B292,DATOS!K:K,3),"")</f>
        <v>0</v>
      </c>
      <c r="O292">
        <f>IF(V292="Sí",COUNTIFS(DATOS!G:G,CONFIG_METADATA!$B$4,DATOS!D:D,A292,DATOS!I:I,B292,DATOS!K:K,4),"")</f>
        <v>0</v>
      </c>
      <c r="P292">
        <f>IF(V292="Sí",COUNTIFS(DATOS!G:G,CONFIG_METADATA!$B$4,DATOS!D:D,A292,DATOS!I:I,B292,DATOS!K:K,5),"")</f>
        <v>0</v>
      </c>
      <c r="Q292">
        <f>IF(V292="Sí",COUNTIFS(DATOS!G:G,CONFIG_METADATA!$B$4,DATOS!D:D,A292,DATOS!I:I,B292,DATOS!K:K,6),"")</f>
        <v>0</v>
      </c>
      <c r="R292">
        <f>IF(V292="Sí",COUNTIFS(DATOS!G:G,CONFIG_METADATA!$B$4,DATOS!D:D,A292,DATOS!I:I,B292,DATOS!K:K,7),"")</f>
        <v>0</v>
      </c>
      <c r="S292">
        <f>IF(V292="Sí",COUNTIFS(DATOS!G:G,CONFIG_METADATA!$B$4,DATOS!D:D,A292,DATOS!I:I,B292,DATOS!K:K,8),"")</f>
        <v>0</v>
      </c>
      <c r="T292">
        <f>IF(V292="Sí",COUNTIFS(DATOS!G:G,CONFIG_METADATA!$B$4,DATOS!D:D,A292,DATOS!I:I,B292,DATOS!K:K,9),"")</f>
        <v>0</v>
      </c>
      <c r="U292">
        <f>IF(V292="Sí",COUNTIFS(DATOS!G:G,CONFIG_METADATA!$B$4,DATOS!D:D,A292,DATOS!I:I,B292,DATOS!K:K,10),"")</f>
        <v>0</v>
      </c>
      <c r="V292" t="str">
        <f>IFERROR(IF(ISERROR(FIND(A292,VLOOKUP(B292,CONFIG_ASIGNATURAS!B:C,2,FALSE()))),"No","Sí"),"No")</f>
        <v>Sí</v>
      </c>
    </row>
    <row r="293" spans="1:22">
      <c r="A293" s="3" t="inlineStr">
        <is>
          <t xml:space="preserve">4EEM</t>
        </is>
      </c>
      <c r="B293" s="3" cm="1">
        <f t="array" ref="B293">IFERROR(INDEX(_xlfn._xlws.FILTER(CONFIG_ASIGNATURAS!$B$2:$B$61,(CONFIG_ASIGNATURAS!$G$2:$G$61="Sí")*ISNUMBER(SEARCH("4EEM",CONFIG_ASIGNATURAS!$C$2:$C$61))),37),"")</f>
      </c>
      <c r="C293" s="3">
        <f>IF(B293="","",IFERROR(IF(VLOOKUP(B293,CONFIG_ASIGNATURAS!$B$2:$F$61,5,FALSE())="Sí","Especialidad","Asignatura"),"Asignatura"))</f>
      </c>
      <c r="D293">
        <f>IF(V293="Sí",COUNTIFS(DATOS!G:G,CONFIG_METADATA!$B$4,DATOS!D:D,A293,DATOS!I:I,B293),"")</f>
        <v>0</v>
      </c>
      <c r="E293" s="14" t="str">
        <f>IF(V293="Sí",IFERROR(AVERAGEIFS(DATOS!K:K,DATOS!G:G,CONFIG_METADATA!$B$4,DATOS!D:D,A293,DATOS!I:I,B293),"—"),"")</f>
        <v>—</v>
      </c>
      <c r="F293" s="14" t="str" cm="1">
        <f t="array" ref="F293">IF(V293="Sí",IFERROR(_xlfn.STDEV.P(IF((DATOS!$G$2:$G$20000=CONFIG_METADATA!$B$4)*(DATOS!$D$2:$D$20000=A293)*(DATOS!$I$2:$I$20000=B293),DATOS!$K$2:$K$20000)),"—"),"")</f>
        <v>—</v>
      </c>
      <c r="G293" t="str" cm="1">
        <f t="array" ref="G293">IF(V293="Sí",IFERROR(_xlfn.MODE.SNGL(IF((DATOS!$G$2:$G$20000=CONFIG_METADATA!$B$4)*(DATOS!$D$2:$D$20000=A293)*(DATOS!$I$2:$I$20000=B293),DATOS!$K$2:$K$20000)),"—"),"")</f>
        <v>—</v>
      </c>
      <c r="H293" s="15" t="str">
        <f>IF(V293="Sí",IFERROR(COUNTIFS(DATOS!G:G,CONFIG_METADATA!$B$4,DATOS!D:D,A293,DATOS!I:I,B293,DATOS!L:L,"S")/COUNTIFS(DATOS!G:G,CONFIG_METADATA!$B$4,DATOS!D:D,A293,DATOS!I:I,B293),"—"),"")</f>
        <v>—</v>
      </c>
      <c r="I293" s="15" t="str">
        <f>IF(V293="Sí",IFERROR(COUNTIFS(DATOS!G:G,CONFIG_METADATA!$B$4,DATOS!D:D,A293,DATOS!I:I,B293,DATOS!L:L,"N")/COUNTIFS(DATOS!G:G,CONFIG_METADATA!$B$4,DATOS!D:D,A293,DATOS!I:I,B293),"—"),"")</f>
        <v>—</v>
      </c>
      <c r="J293" t="str" cm="1">
        <f t="array" ref="J293">IF(V293="Sí",IFERROR(_xlfn.MODE.SNGL(IF((DATOS!$G$2:$G$20000=CONFIG_METADATA!$B$4)*(DATOS!$D$2:$D$20000=A293)*(DATOS!$I$2:$I$20000=B293)*(DATOS!$L$2:$L$20000="S"),DATOS!$K$2:$K$20000)),"—"),"")</f>
        <v>—</v>
      </c>
      <c r="K293" t="str" cm="1">
        <f t="array" ref="K293">IF(V293="Sí",IFERROR(_xlfn.MODE.SNGL(IF((DATOS!$G$2:$G$20000=CONFIG_METADATA!$B$4)*(DATOS!$D$2:$D$20000=A293)*(DATOS!$I$2:$I$20000=B293)*(DATOS!$L$2:$L$20000="N"),DATOS!$K$2:$K$20000)),"—"),"")</f>
        <v>—</v>
      </c>
      <c r="L293">
        <f>IF(V293="Sí",COUNTIFS(DATOS!G:G,CONFIG_METADATA!$B$4,DATOS!D:D,A293,DATOS!I:I,B293,DATOS!K:K,1),"")</f>
        <v>0</v>
      </c>
      <c r="M293">
        <f>IF(V293="Sí",COUNTIFS(DATOS!G:G,CONFIG_METADATA!$B$4,DATOS!D:D,A293,DATOS!I:I,B293,DATOS!K:K,2),"")</f>
        <v>0</v>
      </c>
      <c r="N293">
        <f>IF(V293="Sí",COUNTIFS(DATOS!G:G,CONFIG_METADATA!$B$4,DATOS!D:D,A293,DATOS!I:I,B293,DATOS!K:K,3),"")</f>
        <v>0</v>
      </c>
      <c r="O293">
        <f>IF(V293="Sí",COUNTIFS(DATOS!G:G,CONFIG_METADATA!$B$4,DATOS!D:D,A293,DATOS!I:I,B293,DATOS!K:K,4),"")</f>
        <v>0</v>
      </c>
      <c r="P293">
        <f>IF(V293="Sí",COUNTIFS(DATOS!G:G,CONFIG_METADATA!$B$4,DATOS!D:D,A293,DATOS!I:I,B293,DATOS!K:K,5),"")</f>
        <v>0</v>
      </c>
      <c r="Q293">
        <f>IF(V293="Sí",COUNTIFS(DATOS!G:G,CONFIG_METADATA!$B$4,DATOS!D:D,A293,DATOS!I:I,B293,DATOS!K:K,6),"")</f>
        <v>0</v>
      </c>
      <c r="R293">
        <f>IF(V293="Sí",COUNTIFS(DATOS!G:G,CONFIG_METADATA!$B$4,DATOS!D:D,A293,DATOS!I:I,B293,DATOS!K:K,7),"")</f>
        <v>0</v>
      </c>
      <c r="S293">
        <f>IF(V293="Sí",COUNTIFS(DATOS!G:G,CONFIG_METADATA!$B$4,DATOS!D:D,A293,DATOS!I:I,B293,DATOS!K:K,8),"")</f>
        <v>0</v>
      </c>
      <c r="T293">
        <f>IF(V293="Sí",COUNTIFS(DATOS!G:G,CONFIG_METADATA!$B$4,DATOS!D:D,A293,DATOS!I:I,B293,DATOS!K:K,9),"")</f>
        <v>0</v>
      </c>
      <c r="U293">
        <f>IF(V293="Sí",COUNTIFS(DATOS!G:G,CONFIG_METADATA!$B$4,DATOS!D:D,A293,DATOS!I:I,B293,DATOS!K:K,10),"")</f>
        <v>0</v>
      </c>
      <c r="V293" t="str">
        <f>IFERROR(IF(ISERROR(FIND(A293,VLOOKUP(B293,CONFIG_ASIGNATURAS!B:C,2,FALSE()))),"No","Sí"),"No")</f>
        <v>Sí</v>
      </c>
    </row>
    <row r="294" spans="1:22">
      <c r="A294" s="3" t="inlineStr">
        <is>
          <t xml:space="preserve">4EEM</t>
        </is>
      </c>
      <c r="B294" s="3" cm="1">
        <f t="array" ref="B294">IFERROR(INDEX(_xlfn._xlws.FILTER(CONFIG_ASIGNATURAS!$B$2:$B$61,(CONFIG_ASIGNATURAS!$G$2:$G$61="Sí")*ISNUMBER(SEARCH("4EEM",CONFIG_ASIGNATURAS!$C$2:$C$61))),38),"")</f>
      </c>
      <c r="C294" s="3">
        <f>IF(B294="","",IFERROR(IF(VLOOKUP(B294,CONFIG_ASIGNATURAS!$B$2:$F$61,5,FALSE())="Sí","Especialidad","Asignatura"),"Asignatura"))</f>
      </c>
      <c r="D294">
        <f>IF(V294="Sí",COUNTIFS(DATOS!G:G,CONFIG_METADATA!$B$4,DATOS!D:D,A294,DATOS!I:I,B294),"")</f>
        <v>0</v>
      </c>
      <c r="E294" s="14" t="str">
        <f>IF(V294="Sí",IFERROR(AVERAGEIFS(DATOS!K:K,DATOS!G:G,CONFIG_METADATA!$B$4,DATOS!D:D,A294,DATOS!I:I,B294),"—"),"")</f>
        <v>—</v>
      </c>
      <c r="F294" s="14" t="str" cm="1">
        <f t="array" ref="F294">IF(V294="Sí",IFERROR(_xlfn.STDEV.P(IF((DATOS!$G$2:$G$20000=CONFIG_METADATA!$B$4)*(DATOS!$D$2:$D$20000=A294)*(DATOS!$I$2:$I$20000=B294),DATOS!$K$2:$K$20000)),"—"),"")</f>
        <v>—</v>
      </c>
      <c r="G294" t="str" cm="1">
        <f t="array" ref="G294">IF(V294="Sí",IFERROR(_xlfn.MODE.SNGL(IF((DATOS!$G$2:$G$20000=CONFIG_METADATA!$B$4)*(DATOS!$D$2:$D$20000=A294)*(DATOS!$I$2:$I$20000=B294),DATOS!$K$2:$K$20000)),"—"),"")</f>
        <v>—</v>
      </c>
      <c r="H294" s="15" t="str">
        <f>IF(V294="Sí",IFERROR(COUNTIFS(DATOS!G:G,CONFIG_METADATA!$B$4,DATOS!D:D,A294,DATOS!I:I,B294,DATOS!L:L,"S")/COUNTIFS(DATOS!G:G,CONFIG_METADATA!$B$4,DATOS!D:D,A294,DATOS!I:I,B294),"—"),"")</f>
        <v>—</v>
      </c>
      <c r="I294" s="15" t="str">
        <f>IF(V294="Sí",IFERROR(COUNTIFS(DATOS!G:G,CONFIG_METADATA!$B$4,DATOS!D:D,A294,DATOS!I:I,B294,DATOS!L:L,"N")/COUNTIFS(DATOS!G:G,CONFIG_METADATA!$B$4,DATOS!D:D,A294,DATOS!I:I,B294),"—"),"")</f>
        <v>—</v>
      </c>
      <c r="J294" t="str" cm="1">
        <f t="array" ref="J294">IF(V294="Sí",IFERROR(_xlfn.MODE.SNGL(IF((DATOS!$G$2:$G$20000=CONFIG_METADATA!$B$4)*(DATOS!$D$2:$D$20000=A294)*(DATOS!$I$2:$I$20000=B294)*(DATOS!$L$2:$L$20000="S"),DATOS!$K$2:$K$20000)),"—"),"")</f>
        <v>—</v>
      </c>
      <c r="K294" t="str" cm="1">
        <f t="array" ref="K294">IF(V294="Sí",IFERROR(_xlfn.MODE.SNGL(IF((DATOS!$G$2:$G$20000=CONFIG_METADATA!$B$4)*(DATOS!$D$2:$D$20000=A294)*(DATOS!$I$2:$I$20000=B294)*(DATOS!$L$2:$L$20000="N"),DATOS!$K$2:$K$20000)),"—"),"")</f>
        <v>—</v>
      </c>
      <c r="L294">
        <f>IF(V294="Sí",COUNTIFS(DATOS!G:G,CONFIG_METADATA!$B$4,DATOS!D:D,A294,DATOS!I:I,B294,DATOS!K:K,1),"")</f>
        <v>0</v>
      </c>
      <c r="M294">
        <f>IF(V294="Sí",COUNTIFS(DATOS!G:G,CONFIG_METADATA!$B$4,DATOS!D:D,A294,DATOS!I:I,B294,DATOS!K:K,2),"")</f>
        <v>0</v>
      </c>
      <c r="N294">
        <f>IF(V294="Sí",COUNTIFS(DATOS!G:G,CONFIG_METADATA!$B$4,DATOS!D:D,A294,DATOS!I:I,B294,DATOS!K:K,3),"")</f>
        <v>0</v>
      </c>
      <c r="O294">
        <f>IF(V294="Sí",COUNTIFS(DATOS!G:G,CONFIG_METADATA!$B$4,DATOS!D:D,A294,DATOS!I:I,B294,DATOS!K:K,4),"")</f>
        <v>0</v>
      </c>
      <c r="P294">
        <f>IF(V294="Sí",COUNTIFS(DATOS!G:G,CONFIG_METADATA!$B$4,DATOS!D:D,A294,DATOS!I:I,B294,DATOS!K:K,5),"")</f>
        <v>0</v>
      </c>
      <c r="Q294">
        <f>IF(V294="Sí",COUNTIFS(DATOS!G:G,CONFIG_METADATA!$B$4,DATOS!D:D,A294,DATOS!I:I,B294,DATOS!K:K,6),"")</f>
        <v>0</v>
      </c>
      <c r="R294">
        <f>IF(V294="Sí",COUNTIFS(DATOS!G:G,CONFIG_METADATA!$B$4,DATOS!D:D,A294,DATOS!I:I,B294,DATOS!K:K,7),"")</f>
        <v>0</v>
      </c>
      <c r="S294">
        <f>IF(V294="Sí",COUNTIFS(DATOS!G:G,CONFIG_METADATA!$B$4,DATOS!D:D,A294,DATOS!I:I,B294,DATOS!K:K,8),"")</f>
        <v>0</v>
      </c>
      <c r="T294">
        <f>IF(V294="Sí",COUNTIFS(DATOS!G:G,CONFIG_METADATA!$B$4,DATOS!D:D,A294,DATOS!I:I,B294,DATOS!K:K,9),"")</f>
        <v>0</v>
      </c>
      <c r="U294">
        <f>IF(V294="Sí",COUNTIFS(DATOS!G:G,CONFIG_METADATA!$B$4,DATOS!D:D,A294,DATOS!I:I,B294,DATOS!K:K,10),"")</f>
        <v>0</v>
      </c>
      <c r="V294" t="str">
        <f>IFERROR(IF(ISERROR(FIND(A294,VLOOKUP(B294,CONFIG_ASIGNATURAS!B:C,2,FALSE()))),"No","Sí"),"No")</f>
        <v>Sí</v>
      </c>
    </row>
    <row r="295" spans="1:22">
      <c r="A295" s="3" t="inlineStr">
        <is>
          <t xml:space="preserve">4EEM</t>
        </is>
      </c>
      <c r="B295" s="3" cm="1">
        <f t="array" ref="B295">IFERROR(INDEX(_xlfn._xlws.FILTER(CONFIG_ASIGNATURAS!$B$2:$B$61,(CONFIG_ASIGNATURAS!$G$2:$G$61="Sí")*ISNUMBER(SEARCH("4EEM",CONFIG_ASIGNATURAS!$C$2:$C$61))),39),"")</f>
      </c>
      <c r="C295" s="3">
        <f>IF(B295="","",IFERROR(IF(VLOOKUP(B295,CONFIG_ASIGNATURAS!$B$2:$F$61,5,FALSE())="Sí","Especialidad","Asignatura"),"Asignatura"))</f>
      </c>
      <c r="D295">
        <f>IF(V295="Sí",COUNTIFS(DATOS!G:G,CONFIG_METADATA!$B$4,DATOS!D:D,A295,DATOS!I:I,B295),"")</f>
        <v>0</v>
      </c>
      <c r="E295" s="14" t="str">
        <f>IF(V295="Sí",IFERROR(AVERAGEIFS(DATOS!K:K,DATOS!G:G,CONFIG_METADATA!$B$4,DATOS!D:D,A295,DATOS!I:I,B295),"—"),"")</f>
        <v>—</v>
      </c>
      <c r="F295" s="14" t="str" cm="1">
        <f t="array" ref="F295">IF(V295="Sí",IFERROR(_xlfn.STDEV.P(IF((DATOS!$G$2:$G$20000=CONFIG_METADATA!$B$4)*(DATOS!$D$2:$D$20000=A295)*(DATOS!$I$2:$I$20000=B295),DATOS!$K$2:$K$20000)),"—"),"")</f>
        <v>—</v>
      </c>
      <c r="G295" t="str" cm="1">
        <f t="array" ref="G295">IF(V295="Sí",IFERROR(_xlfn.MODE.SNGL(IF((DATOS!$G$2:$G$20000=CONFIG_METADATA!$B$4)*(DATOS!$D$2:$D$20000=A295)*(DATOS!$I$2:$I$20000=B295),DATOS!$K$2:$K$20000)),"—"),"")</f>
        <v>—</v>
      </c>
      <c r="H295" s="15" t="str">
        <f>IF(V295="Sí",IFERROR(COUNTIFS(DATOS!G:G,CONFIG_METADATA!$B$4,DATOS!D:D,A295,DATOS!I:I,B295,DATOS!L:L,"S")/COUNTIFS(DATOS!G:G,CONFIG_METADATA!$B$4,DATOS!D:D,A295,DATOS!I:I,B295),"—"),"")</f>
        <v>—</v>
      </c>
      <c r="I295" s="15" t="str">
        <f>IF(V295="Sí",IFERROR(COUNTIFS(DATOS!G:G,CONFIG_METADATA!$B$4,DATOS!D:D,A295,DATOS!I:I,B295,DATOS!L:L,"N")/COUNTIFS(DATOS!G:G,CONFIG_METADATA!$B$4,DATOS!D:D,A295,DATOS!I:I,B295),"—"),"")</f>
        <v>—</v>
      </c>
      <c r="J295" t="str" cm="1">
        <f t="array" ref="J295">IF(V295="Sí",IFERROR(_xlfn.MODE.SNGL(IF((DATOS!$G$2:$G$20000=CONFIG_METADATA!$B$4)*(DATOS!$D$2:$D$20000=A295)*(DATOS!$I$2:$I$20000=B295)*(DATOS!$L$2:$L$20000="S"),DATOS!$K$2:$K$20000)),"—"),"")</f>
        <v>—</v>
      </c>
      <c r="K295" t="str" cm="1">
        <f t="array" ref="K295">IF(V295="Sí",IFERROR(_xlfn.MODE.SNGL(IF((DATOS!$G$2:$G$20000=CONFIG_METADATA!$B$4)*(DATOS!$D$2:$D$20000=A295)*(DATOS!$I$2:$I$20000=B295)*(DATOS!$L$2:$L$20000="N"),DATOS!$K$2:$K$20000)),"—"),"")</f>
        <v>—</v>
      </c>
      <c r="L295">
        <f>IF(V295="Sí",COUNTIFS(DATOS!G:G,CONFIG_METADATA!$B$4,DATOS!D:D,A295,DATOS!I:I,B295,DATOS!K:K,1),"")</f>
        <v>0</v>
      </c>
      <c r="M295">
        <f>IF(V295="Sí",COUNTIFS(DATOS!G:G,CONFIG_METADATA!$B$4,DATOS!D:D,A295,DATOS!I:I,B295,DATOS!K:K,2),"")</f>
        <v>0</v>
      </c>
      <c r="N295">
        <f>IF(V295="Sí",COUNTIFS(DATOS!G:G,CONFIG_METADATA!$B$4,DATOS!D:D,A295,DATOS!I:I,B295,DATOS!K:K,3),"")</f>
        <v>0</v>
      </c>
      <c r="O295">
        <f>IF(V295="Sí",COUNTIFS(DATOS!G:G,CONFIG_METADATA!$B$4,DATOS!D:D,A295,DATOS!I:I,B295,DATOS!K:K,4),"")</f>
        <v>0</v>
      </c>
      <c r="P295">
        <f>IF(V295="Sí",COUNTIFS(DATOS!G:G,CONFIG_METADATA!$B$4,DATOS!D:D,A295,DATOS!I:I,B295,DATOS!K:K,5),"")</f>
        <v>0</v>
      </c>
      <c r="Q295">
        <f>IF(V295="Sí",COUNTIFS(DATOS!G:G,CONFIG_METADATA!$B$4,DATOS!D:D,A295,DATOS!I:I,B295,DATOS!K:K,6),"")</f>
        <v>0</v>
      </c>
      <c r="R295">
        <f>IF(V295="Sí",COUNTIFS(DATOS!G:G,CONFIG_METADATA!$B$4,DATOS!D:D,A295,DATOS!I:I,B295,DATOS!K:K,7),"")</f>
        <v>0</v>
      </c>
      <c r="S295">
        <f>IF(V295="Sí",COUNTIFS(DATOS!G:G,CONFIG_METADATA!$B$4,DATOS!D:D,A295,DATOS!I:I,B295,DATOS!K:K,8),"")</f>
        <v>0</v>
      </c>
      <c r="T295">
        <f>IF(V295="Sí",COUNTIFS(DATOS!G:G,CONFIG_METADATA!$B$4,DATOS!D:D,A295,DATOS!I:I,B295,DATOS!K:K,9),"")</f>
        <v>0</v>
      </c>
      <c r="U295">
        <f>IF(V295="Sí",COUNTIFS(DATOS!G:G,CONFIG_METADATA!$B$4,DATOS!D:D,A295,DATOS!I:I,B295,DATOS!K:K,10),"")</f>
        <v>0</v>
      </c>
      <c r="V295" t="str">
        <f>IFERROR(IF(ISERROR(FIND(A295,VLOOKUP(B295,CONFIG_ASIGNATURAS!B:C,2,FALSE()))),"No","Sí"),"No")</f>
        <v>Sí</v>
      </c>
    </row>
    <row r="296" spans="1:22">
      <c r="A296" s="3" t="inlineStr">
        <is>
          <t xml:space="preserve">4EEM</t>
        </is>
      </c>
      <c r="B296" s="3" cm="1">
        <f t="array" ref="B296">IFERROR(INDEX(_xlfn._xlws.FILTER(CONFIG_ASIGNATURAS!$B$2:$B$61,(CONFIG_ASIGNATURAS!$G$2:$G$61="Sí")*ISNUMBER(SEARCH("4EEM",CONFIG_ASIGNATURAS!$C$2:$C$61))),40),"")</f>
      </c>
      <c r="C296" s="3">
        <f>IF(B296="","",IFERROR(IF(VLOOKUP(B296,CONFIG_ASIGNATURAS!$B$2:$F$61,5,FALSE())="Sí","Especialidad","Asignatura"),"Asignatura"))</f>
      </c>
      <c r="D296">
        <f>IF(V296="Sí",COUNTIFS(DATOS!G:G,CONFIG_METADATA!$B$4,DATOS!D:D,A296,DATOS!I:I,B296),"")</f>
        <v>0</v>
      </c>
      <c r="E296" s="14" t="str">
        <f>IF(V296="Sí",IFERROR(AVERAGEIFS(DATOS!K:K,DATOS!G:G,CONFIG_METADATA!$B$4,DATOS!D:D,A296,DATOS!I:I,B296),"—"),"")</f>
        <v>—</v>
      </c>
      <c r="F296" s="14" t="str" cm="1">
        <f t="array" ref="F296">IF(V296="Sí",IFERROR(_xlfn.STDEV.P(IF((DATOS!$G$2:$G$20000=CONFIG_METADATA!$B$4)*(DATOS!$D$2:$D$20000=A296)*(DATOS!$I$2:$I$20000=B296),DATOS!$K$2:$K$20000)),"—"),"")</f>
        <v>—</v>
      </c>
      <c r="G296" t="str" cm="1">
        <f t="array" ref="G296">IF(V296="Sí",IFERROR(_xlfn.MODE.SNGL(IF((DATOS!$G$2:$G$20000=CONFIG_METADATA!$B$4)*(DATOS!$D$2:$D$20000=A296)*(DATOS!$I$2:$I$20000=B296),DATOS!$K$2:$K$20000)),"—"),"")</f>
        <v>—</v>
      </c>
      <c r="H296" s="15" t="str">
        <f>IF(V296="Sí",IFERROR(COUNTIFS(DATOS!G:G,CONFIG_METADATA!$B$4,DATOS!D:D,A296,DATOS!I:I,B296,DATOS!L:L,"S")/COUNTIFS(DATOS!G:G,CONFIG_METADATA!$B$4,DATOS!D:D,A296,DATOS!I:I,B296),"—"),"")</f>
        <v>—</v>
      </c>
      <c r="I296" s="15" t="str">
        <f>IF(V296="Sí",IFERROR(COUNTIFS(DATOS!G:G,CONFIG_METADATA!$B$4,DATOS!D:D,A296,DATOS!I:I,B296,DATOS!L:L,"N")/COUNTIFS(DATOS!G:G,CONFIG_METADATA!$B$4,DATOS!D:D,A296,DATOS!I:I,B296),"—"),"")</f>
        <v>—</v>
      </c>
      <c r="J296" t="str" cm="1">
        <f t="array" ref="J296">IF(V296="Sí",IFERROR(_xlfn.MODE.SNGL(IF((DATOS!$G$2:$G$20000=CONFIG_METADATA!$B$4)*(DATOS!$D$2:$D$20000=A296)*(DATOS!$I$2:$I$20000=B296)*(DATOS!$L$2:$L$20000="S"),DATOS!$K$2:$K$20000)),"—"),"")</f>
        <v>—</v>
      </c>
      <c r="K296" t="str" cm="1">
        <f t="array" ref="K296">IF(V296="Sí",IFERROR(_xlfn.MODE.SNGL(IF((DATOS!$G$2:$G$20000=CONFIG_METADATA!$B$4)*(DATOS!$D$2:$D$20000=A296)*(DATOS!$I$2:$I$20000=B296)*(DATOS!$L$2:$L$20000="N"),DATOS!$K$2:$K$20000)),"—"),"")</f>
        <v>—</v>
      </c>
      <c r="L296">
        <f>IF(V296="Sí",COUNTIFS(DATOS!G:G,CONFIG_METADATA!$B$4,DATOS!D:D,A296,DATOS!I:I,B296,DATOS!K:K,1),"")</f>
        <v>0</v>
      </c>
      <c r="M296">
        <f>IF(V296="Sí",COUNTIFS(DATOS!G:G,CONFIG_METADATA!$B$4,DATOS!D:D,A296,DATOS!I:I,B296,DATOS!K:K,2),"")</f>
        <v>0</v>
      </c>
      <c r="N296">
        <f>IF(V296="Sí",COUNTIFS(DATOS!G:G,CONFIG_METADATA!$B$4,DATOS!D:D,A296,DATOS!I:I,B296,DATOS!K:K,3),"")</f>
        <v>0</v>
      </c>
      <c r="O296">
        <f>IF(V296="Sí",COUNTIFS(DATOS!G:G,CONFIG_METADATA!$B$4,DATOS!D:D,A296,DATOS!I:I,B296,DATOS!K:K,4),"")</f>
        <v>0</v>
      </c>
      <c r="P296">
        <f>IF(V296="Sí",COUNTIFS(DATOS!G:G,CONFIG_METADATA!$B$4,DATOS!D:D,A296,DATOS!I:I,B296,DATOS!K:K,5),"")</f>
        <v>0</v>
      </c>
      <c r="Q296">
        <f>IF(V296="Sí",COUNTIFS(DATOS!G:G,CONFIG_METADATA!$B$4,DATOS!D:D,A296,DATOS!I:I,B296,DATOS!K:K,6),"")</f>
        <v>0</v>
      </c>
      <c r="R296">
        <f>IF(V296="Sí",COUNTIFS(DATOS!G:G,CONFIG_METADATA!$B$4,DATOS!D:D,A296,DATOS!I:I,B296,DATOS!K:K,7),"")</f>
        <v>0</v>
      </c>
      <c r="S296">
        <f>IF(V296="Sí",COUNTIFS(DATOS!G:G,CONFIG_METADATA!$B$4,DATOS!D:D,A296,DATOS!I:I,B296,DATOS!K:K,8),"")</f>
        <v>0</v>
      </c>
      <c r="T296">
        <f>IF(V296="Sí",COUNTIFS(DATOS!G:G,CONFIG_METADATA!$B$4,DATOS!D:D,A296,DATOS!I:I,B296,DATOS!K:K,9),"")</f>
        <v>0</v>
      </c>
      <c r="U296">
        <f>IF(V296="Sí",COUNTIFS(DATOS!G:G,CONFIG_METADATA!$B$4,DATOS!D:D,A296,DATOS!I:I,B296,DATOS!K:K,10),"")</f>
        <v>0</v>
      </c>
      <c r="V296" t="str">
        <f>IFERROR(IF(ISERROR(FIND(A296,VLOOKUP(B296,CONFIG_ASIGNATURAS!B:C,2,FALSE()))),"No","Sí"),"No")</f>
        <v>Sí</v>
      </c>
    </row>
    <row r="297" spans="1:22">
      <c r="A297" s="3" t="inlineStr">
        <is>
          <t xml:space="preserve">4EEM</t>
        </is>
      </c>
      <c r="B297" s="3" cm="1">
        <f t="array" ref="B297">IFERROR(INDEX(_xlfn._xlws.FILTER(CONFIG_ASIGNATURAS!$B$2:$B$61,(CONFIG_ASIGNATURAS!$G$2:$G$61="Sí")*ISNUMBER(SEARCH("4EEM",CONFIG_ASIGNATURAS!$C$2:$C$61))),41),"")</f>
      </c>
      <c r="C297" s="3">
        <f>IF(B297="","",IFERROR(IF(VLOOKUP(B297,CONFIG_ASIGNATURAS!$B$2:$F$61,5,FALSE())="Sí","Especialidad","Asignatura"),"Asignatura"))</f>
      </c>
      <c r="D297">
        <f>IF(V297="Sí",COUNTIFS(DATOS!G:G,CONFIG_METADATA!$B$4,DATOS!D:D,A297,DATOS!I:I,B297),"")</f>
        <v>0</v>
      </c>
      <c r="E297" s="14" t="str">
        <f>IF(V297="Sí",IFERROR(AVERAGEIFS(DATOS!K:K,DATOS!G:G,CONFIG_METADATA!$B$4,DATOS!D:D,A297,DATOS!I:I,B297),"—"),"")</f>
        <v>—</v>
      </c>
      <c r="F297" s="14" t="str" cm="1">
        <f t="array" ref="F297">IF(V297="Sí",IFERROR(_xlfn.STDEV.P(IF((DATOS!$G$2:$G$20000=CONFIG_METADATA!$B$4)*(DATOS!$D$2:$D$20000=A297)*(DATOS!$I$2:$I$20000=B297),DATOS!$K$2:$K$20000)),"—"),"")</f>
        <v>—</v>
      </c>
      <c r="G297" t="str" cm="1">
        <f t="array" ref="G297">IF(V297="Sí",IFERROR(_xlfn.MODE.SNGL(IF((DATOS!$G$2:$G$20000=CONFIG_METADATA!$B$4)*(DATOS!$D$2:$D$20000=A297)*(DATOS!$I$2:$I$20000=B297),DATOS!$K$2:$K$20000)),"—"),"")</f>
        <v>—</v>
      </c>
      <c r="H297" s="15" t="str">
        <f>IF(V297="Sí",IFERROR(COUNTIFS(DATOS!G:G,CONFIG_METADATA!$B$4,DATOS!D:D,A297,DATOS!I:I,B297,DATOS!L:L,"S")/COUNTIFS(DATOS!G:G,CONFIG_METADATA!$B$4,DATOS!D:D,A297,DATOS!I:I,B297),"—"),"")</f>
        <v>—</v>
      </c>
      <c r="I297" s="15" t="str">
        <f>IF(V297="Sí",IFERROR(COUNTIFS(DATOS!G:G,CONFIG_METADATA!$B$4,DATOS!D:D,A297,DATOS!I:I,B297,DATOS!L:L,"N")/COUNTIFS(DATOS!G:G,CONFIG_METADATA!$B$4,DATOS!D:D,A297,DATOS!I:I,B297),"—"),"")</f>
        <v>—</v>
      </c>
      <c r="J297" t="str" cm="1">
        <f t="array" ref="J297">IF(V297="Sí",IFERROR(_xlfn.MODE.SNGL(IF((DATOS!$G$2:$G$20000=CONFIG_METADATA!$B$4)*(DATOS!$D$2:$D$20000=A297)*(DATOS!$I$2:$I$20000=B297)*(DATOS!$L$2:$L$20000="S"),DATOS!$K$2:$K$20000)),"—"),"")</f>
        <v>—</v>
      </c>
      <c r="K297" t="str" cm="1">
        <f t="array" ref="K297">IF(V297="Sí",IFERROR(_xlfn.MODE.SNGL(IF((DATOS!$G$2:$G$20000=CONFIG_METADATA!$B$4)*(DATOS!$D$2:$D$20000=A297)*(DATOS!$I$2:$I$20000=B297)*(DATOS!$L$2:$L$20000="N"),DATOS!$K$2:$K$20000)),"—"),"")</f>
        <v>—</v>
      </c>
      <c r="L297">
        <f>IF(V297="Sí",COUNTIFS(DATOS!G:G,CONFIG_METADATA!$B$4,DATOS!D:D,A297,DATOS!I:I,B297,DATOS!K:K,1),"")</f>
        <v>0</v>
      </c>
      <c r="M297">
        <f>IF(V297="Sí",COUNTIFS(DATOS!G:G,CONFIG_METADATA!$B$4,DATOS!D:D,A297,DATOS!I:I,B297,DATOS!K:K,2),"")</f>
        <v>0</v>
      </c>
      <c r="N297">
        <f>IF(V297="Sí",COUNTIFS(DATOS!G:G,CONFIG_METADATA!$B$4,DATOS!D:D,A297,DATOS!I:I,B297,DATOS!K:K,3),"")</f>
        <v>0</v>
      </c>
      <c r="O297">
        <f>IF(V297="Sí",COUNTIFS(DATOS!G:G,CONFIG_METADATA!$B$4,DATOS!D:D,A297,DATOS!I:I,B297,DATOS!K:K,4),"")</f>
        <v>0</v>
      </c>
      <c r="P297">
        <f>IF(V297="Sí",COUNTIFS(DATOS!G:G,CONFIG_METADATA!$B$4,DATOS!D:D,A297,DATOS!I:I,B297,DATOS!K:K,5),"")</f>
        <v>0</v>
      </c>
      <c r="Q297">
        <f>IF(V297="Sí",COUNTIFS(DATOS!G:G,CONFIG_METADATA!$B$4,DATOS!D:D,A297,DATOS!I:I,B297,DATOS!K:K,6),"")</f>
        <v>0</v>
      </c>
      <c r="R297">
        <f>IF(V297="Sí",COUNTIFS(DATOS!G:G,CONFIG_METADATA!$B$4,DATOS!D:D,A297,DATOS!I:I,B297,DATOS!K:K,7),"")</f>
        <v>0</v>
      </c>
      <c r="S297">
        <f>IF(V297="Sí",COUNTIFS(DATOS!G:G,CONFIG_METADATA!$B$4,DATOS!D:D,A297,DATOS!I:I,B297,DATOS!K:K,8),"")</f>
        <v>0</v>
      </c>
      <c r="T297">
        <f>IF(V297="Sí",COUNTIFS(DATOS!G:G,CONFIG_METADATA!$B$4,DATOS!D:D,A297,DATOS!I:I,B297,DATOS!K:K,9),"")</f>
        <v>0</v>
      </c>
      <c r="U297">
        <f>IF(V297="Sí",COUNTIFS(DATOS!G:G,CONFIG_METADATA!$B$4,DATOS!D:D,A297,DATOS!I:I,B297,DATOS!K:K,10),"")</f>
        <v>0</v>
      </c>
      <c r="V297" t="str">
        <f>IFERROR(IF(ISERROR(FIND(A297,VLOOKUP(B297,CONFIG_ASIGNATURAS!B:C,2,FALSE()))),"No","Sí"),"No")</f>
        <v>Sí</v>
      </c>
    </row>
    <row r="298" spans="1:22">
      <c r="A298" s="3" t="inlineStr">
        <is>
          <t xml:space="preserve">4EEM</t>
        </is>
      </c>
      <c r="B298" s="3" cm="1">
        <f t="array" ref="B298">IFERROR(INDEX(_xlfn._xlws.FILTER(CONFIG_ASIGNATURAS!$B$2:$B$61,(CONFIG_ASIGNATURAS!$G$2:$G$61="Sí")*ISNUMBER(SEARCH("4EEM",CONFIG_ASIGNATURAS!$C$2:$C$61))),42),"")</f>
      </c>
      <c r="C298" s="3">
        <f>IF(B298="","",IFERROR(IF(VLOOKUP(B298,CONFIG_ASIGNATURAS!$B$2:$F$61,5,FALSE())="Sí","Especialidad","Asignatura"),"Asignatura"))</f>
      </c>
      <c r="D298">
        <f>IF(V298="Sí",COUNTIFS(DATOS!G:G,CONFIG_METADATA!$B$4,DATOS!D:D,A298,DATOS!I:I,B298),"")</f>
        <v>0</v>
      </c>
      <c r="E298" s="14" t="str">
        <f>IF(V298="Sí",IFERROR(AVERAGEIFS(DATOS!K:K,DATOS!G:G,CONFIG_METADATA!$B$4,DATOS!D:D,A298,DATOS!I:I,B298),"—"),"")</f>
        <v>—</v>
      </c>
      <c r="F298" s="14" t="str" cm="1">
        <f t="array" ref="F298">IF(V298="Sí",IFERROR(_xlfn.STDEV.P(IF((DATOS!$G$2:$G$20000=CONFIG_METADATA!$B$4)*(DATOS!$D$2:$D$20000=A298)*(DATOS!$I$2:$I$20000=B298),DATOS!$K$2:$K$20000)),"—"),"")</f>
        <v>—</v>
      </c>
      <c r="G298" t="str" cm="1">
        <f t="array" ref="G298">IF(V298="Sí",IFERROR(_xlfn.MODE.SNGL(IF((DATOS!$G$2:$G$20000=CONFIG_METADATA!$B$4)*(DATOS!$D$2:$D$20000=A298)*(DATOS!$I$2:$I$20000=B298),DATOS!$K$2:$K$20000)),"—"),"")</f>
        <v>—</v>
      </c>
      <c r="H298" s="15" t="str">
        <f>IF(V298="Sí",IFERROR(COUNTIFS(DATOS!G:G,CONFIG_METADATA!$B$4,DATOS!D:D,A298,DATOS!I:I,B298,DATOS!L:L,"S")/COUNTIFS(DATOS!G:G,CONFIG_METADATA!$B$4,DATOS!D:D,A298,DATOS!I:I,B298),"—"),"")</f>
        <v>—</v>
      </c>
      <c r="I298" s="15" t="str">
        <f>IF(V298="Sí",IFERROR(COUNTIFS(DATOS!G:G,CONFIG_METADATA!$B$4,DATOS!D:D,A298,DATOS!I:I,B298,DATOS!L:L,"N")/COUNTIFS(DATOS!G:G,CONFIG_METADATA!$B$4,DATOS!D:D,A298,DATOS!I:I,B298),"—"),"")</f>
        <v>—</v>
      </c>
      <c r="J298" t="str" cm="1">
        <f t="array" ref="J298">IF(V298="Sí",IFERROR(_xlfn.MODE.SNGL(IF((DATOS!$G$2:$G$20000=CONFIG_METADATA!$B$4)*(DATOS!$D$2:$D$20000=A298)*(DATOS!$I$2:$I$20000=B298)*(DATOS!$L$2:$L$20000="S"),DATOS!$K$2:$K$20000)),"—"),"")</f>
        <v>—</v>
      </c>
      <c r="K298" t="str" cm="1">
        <f t="array" ref="K298">IF(V298="Sí",IFERROR(_xlfn.MODE.SNGL(IF((DATOS!$G$2:$G$20000=CONFIG_METADATA!$B$4)*(DATOS!$D$2:$D$20000=A298)*(DATOS!$I$2:$I$20000=B298)*(DATOS!$L$2:$L$20000="N"),DATOS!$K$2:$K$20000)),"—"),"")</f>
        <v>—</v>
      </c>
      <c r="L298">
        <f>IF(V298="Sí",COUNTIFS(DATOS!G:G,CONFIG_METADATA!$B$4,DATOS!D:D,A298,DATOS!I:I,B298,DATOS!K:K,1),"")</f>
        <v>0</v>
      </c>
      <c r="M298">
        <f>IF(V298="Sí",COUNTIFS(DATOS!G:G,CONFIG_METADATA!$B$4,DATOS!D:D,A298,DATOS!I:I,B298,DATOS!K:K,2),"")</f>
        <v>0</v>
      </c>
      <c r="N298">
        <f>IF(V298="Sí",COUNTIFS(DATOS!G:G,CONFIG_METADATA!$B$4,DATOS!D:D,A298,DATOS!I:I,B298,DATOS!K:K,3),"")</f>
        <v>0</v>
      </c>
      <c r="O298">
        <f>IF(V298="Sí",COUNTIFS(DATOS!G:G,CONFIG_METADATA!$B$4,DATOS!D:D,A298,DATOS!I:I,B298,DATOS!K:K,4),"")</f>
        <v>0</v>
      </c>
      <c r="P298">
        <f>IF(V298="Sí",COUNTIFS(DATOS!G:G,CONFIG_METADATA!$B$4,DATOS!D:D,A298,DATOS!I:I,B298,DATOS!K:K,5),"")</f>
        <v>0</v>
      </c>
      <c r="Q298">
        <f>IF(V298="Sí",COUNTIFS(DATOS!G:G,CONFIG_METADATA!$B$4,DATOS!D:D,A298,DATOS!I:I,B298,DATOS!K:K,6),"")</f>
        <v>0</v>
      </c>
      <c r="R298">
        <f>IF(V298="Sí",COUNTIFS(DATOS!G:G,CONFIG_METADATA!$B$4,DATOS!D:D,A298,DATOS!I:I,B298,DATOS!K:K,7),"")</f>
        <v>0</v>
      </c>
      <c r="S298">
        <f>IF(V298="Sí",COUNTIFS(DATOS!G:G,CONFIG_METADATA!$B$4,DATOS!D:D,A298,DATOS!I:I,B298,DATOS!K:K,8),"")</f>
        <v>0</v>
      </c>
      <c r="T298">
        <f>IF(V298="Sí",COUNTIFS(DATOS!G:G,CONFIG_METADATA!$B$4,DATOS!D:D,A298,DATOS!I:I,B298,DATOS!K:K,9),"")</f>
        <v>0</v>
      </c>
      <c r="U298">
        <f>IF(V298="Sí",COUNTIFS(DATOS!G:G,CONFIG_METADATA!$B$4,DATOS!D:D,A298,DATOS!I:I,B298,DATOS!K:K,10),"")</f>
        <v>0</v>
      </c>
      <c r="V298" t="str">
        <f>IFERROR(IF(ISERROR(FIND(A298,VLOOKUP(B298,CONFIG_ASIGNATURAS!B:C,2,FALSE()))),"No","Sí"),"No")</f>
        <v>Sí</v>
      </c>
    </row>
    <row r="299" spans="1:22">
      <c r="A299" s="3" t="inlineStr">
        <is>
          <t xml:space="preserve">4EEM</t>
        </is>
      </c>
      <c r="B299" s="3" cm="1">
        <f t="array" ref="B299">IFERROR(INDEX(_xlfn._xlws.FILTER(CONFIG_ASIGNATURAS!$B$2:$B$61,(CONFIG_ASIGNATURAS!$G$2:$G$61="Sí")*ISNUMBER(SEARCH("4EEM",CONFIG_ASIGNATURAS!$C$2:$C$61))),43),"")</f>
      </c>
      <c r="C299" s="3">
        <f>IF(B299="","",IFERROR(IF(VLOOKUP(B299,CONFIG_ASIGNATURAS!$B$2:$F$61,5,FALSE())="Sí","Especialidad","Asignatura"),"Asignatura"))</f>
      </c>
      <c r="D299">
        <f>IF(V299="Sí",COUNTIFS(DATOS!G:G,CONFIG_METADATA!$B$4,DATOS!D:D,A299,DATOS!I:I,B299),"")</f>
        <v>0</v>
      </c>
      <c r="E299" s="14" t="str">
        <f>IF(V299="Sí",IFERROR(AVERAGEIFS(DATOS!K:K,DATOS!G:G,CONFIG_METADATA!$B$4,DATOS!D:D,A299,DATOS!I:I,B299),"—"),"")</f>
        <v>—</v>
      </c>
      <c r="F299" s="14" t="str" cm="1">
        <f t="array" ref="F299">IF(V299="Sí",IFERROR(_xlfn.STDEV.P(IF((DATOS!$G$2:$G$20000=CONFIG_METADATA!$B$4)*(DATOS!$D$2:$D$20000=A299)*(DATOS!$I$2:$I$20000=B299),DATOS!$K$2:$K$20000)),"—"),"")</f>
        <v>—</v>
      </c>
      <c r="G299" t="str" cm="1">
        <f t="array" ref="G299">IF(V299="Sí",IFERROR(_xlfn.MODE.SNGL(IF((DATOS!$G$2:$G$20000=CONFIG_METADATA!$B$4)*(DATOS!$D$2:$D$20000=A299)*(DATOS!$I$2:$I$20000=B299),DATOS!$K$2:$K$20000)),"—"),"")</f>
        <v>—</v>
      </c>
      <c r="H299" s="15" t="str">
        <f>IF(V299="Sí",IFERROR(COUNTIFS(DATOS!G:G,CONFIG_METADATA!$B$4,DATOS!D:D,A299,DATOS!I:I,B299,DATOS!L:L,"S")/COUNTIFS(DATOS!G:G,CONFIG_METADATA!$B$4,DATOS!D:D,A299,DATOS!I:I,B299),"—"),"")</f>
        <v>—</v>
      </c>
      <c r="I299" s="15" t="str">
        <f>IF(V299="Sí",IFERROR(COUNTIFS(DATOS!G:G,CONFIG_METADATA!$B$4,DATOS!D:D,A299,DATOS!I:I,B299,DATOS!L:L,"N")/COUNTIFS(DATOS!G:G,CONFIG_METADATA!$B$4,DATOS!D:D,A299,DATOS!I:I,B299),"—"),"")</f>
        <v>—</v>
      </c>
      <c r="J299" t="str" cm="1">
        <f t="array" ref="J299">IF(V299="Sí",IFERROR(_xlfn.MODE.SNGL(IF((DATOS!$G$2:$G$20000=CONFIG_METADATA!$B$4)*(DATOS!$D$2:$D$20000=A299)*(DATOS!$I$2:$I$20000=B299)*(DATOS!$L$2:$L$20000="S"),DATOS!$K$2:$K$20000)),"—"),"")</f>
        <v>—</v>
      </c>
      <c r="K299" t="str" cm="1">
        <f t="array" ref="K299">IF(V299="Sí",IFERROR(_xlfn.MODE.SNGL(IF((DATOS!$G$2:$G$20000=CONFIG_METADATA!$B$4)*(DATOS!$D$2:$D$20000=A299)*(DATOS!$I$2:$I$20000=B299)*(DATOS!$L$2:$L$20000="N"),DATOS!$K$2:$K$20000)),"—"),"")</f>
        <v>—</v>
      </c>
      <c r="L299">
        <f>IF(V299="Sí",COUNTIFS(DATOS!G:G,CONFIG_METADATA!$B$4,DATOS!D:D,A299,DATOS!I:I,B299,DATOS!K:K,1),"")</f>
        <v>0</v>
      </c>
      <c r="M299">
        <f>IF(V299="Sí",COUNTIFS(DATOS!G:G,CONFIG_METADATA!$B$4,DATOS!D:D,A299,DATOS!I:I,B299,DATOS!K:K,2),"")</f>
        <v>0</v>
      </c>
      <c r="N299">
        <f>IF(V299="Sí",COUNTIFS(DATOS!G:G,CONFIG_METADATA!$B$4,DATOS!D:D,A299,DATOS!I:I,B299,DATOS!K:K,3),"")</f>
        <v>0</v>
      </c>
      <c r="O299">
        <f>IF(V299="Sí",COUNTIFS(DATOS!G:G,CONFIG_METADATA!$B$4,DATOS!D:D,A299,DATOS!I:I,B299,DATOS!K:K,4),"")</f>
        <v>0</v>
      </c>
      <c r="P299">
        <f>IF(V299="Sí",COUNTIFS(DATOS!G:G,CONFIG_METADATA!$B$4,DATOS!D:D,A299,DATOS!I:I,B299,DATOS!K:K,5),"")</f>
        <v>0</v>
      </c>
      <c r="Q299">
        <f>IF(V299="Sí",COUNTIFS(DATOS!G:G,CONFIG_METADATA!$B$4,DATOS!D:D,A299,DATOS!I:I,B299,DATOS!K:K,6),"")</f>
        <v>0</v>
      </c>
      <c r="R299">
        <f>IF(V299="Sí",COUNTIFS(DATOS!G:G,CONFIG_METADATA!$B$4,DATOS!D:D,A299,DATOS!I:I,B299,DATOS!K:K,7),"")</f>
        <v>0</v>
      </c>
      <c r="S299">
        <f>IF(V299="Sí",COUNTIFS(DATOS!G:G,CONFIG_METADATA!$B$4,DATOS!D:D,A299,DATOS!I:I,B299,DATOS!K:K,8),"")</f>
        <v>0</v>
      </c>
      <c r="T299">
        <f>IF(V299="Sí",COUNTIFS(DATOS!G:G,CONFIG_METADATA!$B$4,DATOS!D:D,A299,DATOS!I:I,B299,DATOS!K:K,9),"")</f>
        <v>0</v>
      </c>
      <c r="U299">
        <f>IF(V299="Sí",COUNTIFS(DATOS!G:G,CONFIG_METADATA!$B$4,DATOS!D:D,A299,DATOS!I:I,B299,DATOS!K:K,10),"")</f>
        <v>0</v>
      </c>
      <c r="V299" t="str">
        <f>IFERROR(IF(ISERROR(FIND(A299,VLOOKUP(B299,CONFIG_ASIGNATURAS!B:C,2,FALSE()))),"No","Sí"),"No")</f>
        <v>Sí</v>
      </c>
    </row>
    <row r="300" spans="1:22">
      <c r="A300" s="3" t="inlineStr">
        <is>
          <t xml:space="preserve">4EEM</t>
        </is>
      </c>
      <c r="B300" s="3" cm="1">
        <f t="array" ref="B300">IFERROR(INDEX(_xlfn._xlws.FILTER(CONFIG_ASIGNATURAS!$B$2:$B$61,(CONFIG_ASIGNATURAS!$G$2:$G$61="Sí")*ISNUMBER(SEARCH("4EEM",CONFIG_ASIGNATURAS!$C$2:$C$61))),44),"")</f>
      </c>
      <c r="C300" s="3">
        <f>IF(B300="","",IFERROR(IF(VLOOKUP(B300,CONFIG_ASIGNATURAS!$B$2:$F$61,5,FALSE())="Sí","Especialidad","Asignatura"),"Asignatura"))</f>
      </c>
      <c r="D300">
        <f>IF(V300="Sí",COUNTIFS(DATOS!G:G,CONFIG_METADATA!$B$4,DATOS!D:D,A300,DATOS!I:I,B300),"")</f>
        <v>0</v>
      </c>
      <c r="E300" s="14" t="str">
        <f>IF(V300="Sí",IFERROR(AVERAGEIFS(DATOS!K:K,DATOS!G:G,CONFIG_METADATA!$B$4,DATOS!D:D,A300,DATOS!I:I,B300),"—"),"")</f>
        <v>—</v>
      </c>
      <c r="F300" s="14" t="str" cm="1">
        <f t="array" ref="F300">IF(V300="Sí",IFERROR(_xlfn.STDEV.P(IF((DATOS!$G$2:$G$20000=CONFIG_METADATA!$B$4)*(DATOS!$D$2:$D$20000=A300)*(DATOS!$I$2:$I$20000=B300),DATOS!$K$2:$K$20000)),"—"),"")</f>
        <v>—</v>
      </c>
      <c r="G300" t="str" cm="1">
        <f t="array" ref="G300">IF(V300="Sí",IFERROR(_xlfn.MODE.SNGL(IF((DATOS!$G$2:$G$20000=CONFIG_METADATA!$B$4)*(DATOS!$D$2:$D$20000=A300)*(DATOS!$I$2:$I$20000=B300),DATOS!$K$2:$K$20000)),"—"),"")</f>
        <v>—</v>
      </c>
      <c r="H300" s="15" t="str">
        <f>IF(V300="Sí",IFERROR(COUNTIFS(DATOS!G:G,CONFIG_METADATA!$B$4,DATOS!D:D,A300,DATOS!I:I,B300,DATOS!L:L,"S")/COUNTIFS(DATOS!G:G,CONFIG_METADATA!$B$4,DATOS!D:D,A300,DATOS!I:I,B300),"—"),"")</f>
        <v>—</v>
      </c>
      <c r="I300" s="15" t="str">
        <f>IF(V300="Sí",IFERROR(COUNTIFS(DATOS!G:G,CONFIG_METADATA!$B$4,DATOS!D:D,A300,DATOS!I:I,B300,DATOS!L:L,"N")/COUNTIFS(DATOS!G:G,CONFIG_METADATA!$B$4,DATOS!D:D,A300,DATOS!I:I,B300),"—"),"")</f>
        <v>—</v>
      </c>
      <c r="J300" t="str" cm="1">
        <f t="array" ref="J300">IF(V300="Sí",IFERROR(_xlfn.MODE.SNGL(IF((DATOS!$G$2:$G$20000=CONFIG_METADATA!$B$4)*(DATOS!$D$2:$D$20000=A300)*(DATOS!$I$2:$I$20000=B300)*(DATOS!$L$2:$L$20000="S"),DATOS!$K$2:$K$20000)),"—"),"")</f>
        <v>—</v>
      </c>
      <c r="K300" t="str" cm="1">
        <f t="array" ref="K300">IF(V300="Sí",IFERROR(_xlfn.MODE.SNGL(IF((DATOS!$G$2:$G$20000=CONFIG_METADATA!$B$4)*(DATOS!$D$2:$D$20000=A300)*(DATOS!$I$2:$I$20000=B300)*(DATOS!$L$2:$L$20000="N"),DATOS!$K$2:$K$20000)),"—"),"")</f>
        <v>—</v>
      </c>
      <c r="L300">
        <f>IF(V300="Sí",COUNTIFS(DATOS!G:G,CONFIG_METADATA!$B$4,DATOS!D:D,A300,DATOS!I:I,B300,DATOS!K:K,1),"")</f>
        <v>0</v>
      </c>
      <c r="M300">
        <f>IF(V300="Sí",COUNTIFS(DATOS!G:G,CONFIG_METADATA!$B$4,DATOS!D:D,A300,DATOS!I:I,B300,DATOS!K:K,2),"")</f>
        <v>0</v>
      </c>
      <c r="N300">
        <f>IF(V300="Sí",COUNTIFS(DATOS!G:G,CONFIG_METADATA!$B$4,DATOS!D:D,A300,DATOS!I:I,B300,DATOS!K:K,3),"")</f>
        <v>0</v>
      </c>
      <c r="O300">
        <f>IF(V300="Sí",COUNTIFS(DATOS!G:G,CONFIG_METADATA!$B$4,DATOS!D:D,A300,DATOS!I:I,B300,DATOS!K:K,4),"")</f>
        <v>0</v>
      </c>
      <c r="P300">
        <f>IF(V300="Sí",COUNTIFS(DATOS!G:G,CONFIG_METADATA!$B$4,DATOS!D:D,A300,DATOS!I:I,B300,DATOS!K:K,5),"")</f>
        <v>0</v>
      </c>
      <c r="Q300">
        <f>IF(V300="Sí",COUNTIFS(DATOS!G:G,CONFIG_METADATA!$B$4,DATOS!D:D,A300,DATOS!I:I,B300,DATOS!K:K,6),"")</f>
        <v>0</v>
      </c>
      <c r="R300">
        <f>IF(V300="Sí",COUNTIFS(DATOS!G:G,CONFIG_METADATA!$B$4,DATOS!D:D,A300,DATOS!I:I,B300,DATOS!K:K,7),"")</f>
        <v>0</v>
      </c>
      <c r="S300">
        <f>IF(V300="Sí",COUNTIFS(DATOS!G:G,CONFIG_METADATA!$B$4,DATOS!D:D,A300,DATOS!I:I,B300,DATOS!K:K,8),"")</f>
        <v>0</v>
      </c>
      <c r="T300">
        <f>IF(V300="Sí",COUNTIFS(DATOS!G:G,CONFIG_METADATA!$B$4,DATOS!D:D,A300,DATOS!I:I,B300,DATOS!K:K,9),"")</f>
        <v>0</v>
      </c>
      <c r="U300">
        <f>IF(V300="Sí",COUNTIFS(DATOS!G:G,CONFIG_METADATA!$B$4,DATOS!D:D,A300,DATOS!I:I,B300,DATOS!K:K,10),"")</f>
        <v>0</v>
      </c>
      <c r="V300" t="str">
        <f>IFERROR(IF(ISERROR(FIND(A300,VLOOKUP(B300,CONFIG_ASIGNATURAS!B:C,2,FALSE()))),"No","Sí"),"No")</f>
        <v>Sí</v>
      </c>
    </row>
    <row r="301" spans="1:22">
      <c r="A301" s="3" t="inlineStr">
        <is>
          <t xml:space="preserve">4EEM</t>
        </is>
      </c>
      <c r="B301" s="3" cm="1">
        <f t="array" ref="B301">IFERROR(INDEX(_xlfn._xlws.FILTER(CONFIG_ASIGNATURAS!$B$2:$B$61,(CONFIG_ASIGNATURAS!$G$2:$G$61="Sí")*ISNUMBER(SEARCH("4EEM",CONFIG_ASIGNATURAS!$C$2:$C$61))),45),"")</f>
      </c>
      <c r="C301" s="3">
        <f>IF(B301="","",IFERROR(IF(VLOOKUP(B301,CONFIG_ASIGNATURAS!$B$2:$F$61,5,FALSE())="Sí","Especialidad","Asignatura"),"Asignatura"))</f>
      </c>
      <c r="D301">
        <f>IF(V301="Sí",COUNTIFS(DATOS!G:G,CONFIG_METADATA!$B$4,DATOS!D:D,A301,DATOS!I:I,B301),"")</f>
        <v>0</v>
      </c>
      <c r="E301" s="14" t="str">
        <f>IF(V301="Sí",IFERROR(AVERAGEIFS(DATOS!K:K,DATOS!G:G,CONFIG_METADATA!$B$4,DATOS!D:D,A301,DATOS!I:I,B301),"—"),"")</f>
        <v>—</v>
      </c>
      <c r="F301" s="14" t="str" cm="1">
        <f t="array" ref="F301">IF(V301="Sí",IFERROR(_xlfn.STDEV.P(IF((DATOS!$G$2:$G$20000=CONFIG_METADATA!$B$4)*(DATOS!$D$2:$D$20000=A301)*(DATOS!$I$2:$I$20000=B301),DATOS!$K$2:$K$20000)),"—"),"")</f>
        <v>—</v>
      </c>
      <c r="G301" t="str" cm="1">
        <f t="array" ref="G301">IF(V301="Sí",IFERROR(_xlfn.MODE.SNGL(IF((DATOS!$G$2:$G$20000=CONFIG_METADATA!$B$4)*(DATOS!$D$2:$D$20000=A301)*(DATOS!$I$2:$I$20000=B301),DATOS!$K$2:$K$20000)),"—"),"")</f>
        <v>—</v>
      </c>
      <c r="H301" s="15" t="str">
        <f>IF(V301="Sí",IFERROR(COUNTIFS(DATOS!G:G,CONFIG_METADATA!$B$4,DATOS!D:D,A301,DATOS!I:I,B301,DATOS!L:L,"S")/COUNTIFS(DATOS!G:G,CONFIG_METADATA!$B$4,DATOS!D:D,A301,DATOS!I:I,B301),"—"),"")</f>
        <v>—</v>
      </c>
      <c r="I301" s="15" t="str">
        <f>IF(V301="Sí",IFERROR(COUNTIFS(DATOS!G:G,CONFIG_METADATA!$B$4,DATOS!D:D,A301,DATOS!I:I,B301,DATOS!L:L,"N")/COUNTIFS(DATOS!G:G,CONFIG_METADATA!$B$4,DATOS!D:D,A301,DATOS!I:I,B301),"—"),"")</f>
        <v>—</v>
      </c>
      <c r="J301" t="str" cm="1">
        <f t="array" ref="J301">IF(V301="Sí",IFERROR(_xlfn.MODE.SNGL(IF((DATOS!$G$2:$G$20000=CONFIG_METADATA!$B$4)*(DATOS!$D$2:$D$20000=A301)*(DATOS!$I$2:$I$20000=B301)*(DATOS!$L$2:$L$20000="S"),DATOS!$K$2:$K$20000)),"—"),"")</f>
        <v>—</v>
      </c>
      <c r="K301" t="str" cm="1">
        <f t="array" ref="K301">IF(V301="Sí",IFERROR(_xlfn.MODE.SNGL(IF((DATOS!$G$2:$G$20000=CONFIG_METADATA!$B$4)*(DATOS!$D$2:$D$20000=A301)*(DATOS!$I$2:$I$20000=B301)*(DATOS!$L$2:$L$20000="N"),DATOS!$K$2:$K$20000)),"—"),"")</f>
        <v>—</v>
      </c>
      <c r="L301">
        <f>IF(V301="Sí",COUNTIFS(DATOS!G:G,CONFIG_METADATA!$B$4,DATOS!D:D,A301,DATOS!I:I,B301,DATOS!K:K,1),"")</f>
        <v>0</v>
      </c>
      <c r="M301">
        <f>IF(V301="Sí",COUNTIFS(DATOS!G:G,CONFIG_METADATA!$B$4,DATOS!D:D,A301,DATOS!I:I,B301,DATOS!K:K,2),"")</f>
        <v>0</v>
      </c>
      <c r="N301">
        <f>IF(V301="Sí",COUNTIFS(DATOS!G:G,CONFIG_METADATA!$B$4,DATOS!D:D,A301,DATOS!I:I,B301,DATOS!K:K,3),"")</f>
        <v>0</v>
      </c>
      <c r="O301">
        <f>IF(V301="Sí",COUNTIFS(DATOS!G:G,CONFIG_METADATA!$B$4,DATOS!D:D,A301,DATOS!I:I,B301,DATOS!K:K,4),"")</f>
        <v>0</v>
      </c>
      <c r="P301">
        <f>IF(V301="Sí",COUNTIFS(DATOS!G:G,CONFIG_METADATA!$B$4,DATOS!D:D,A301,DATOS!I:I,B301,DATOS!K:K,5),"")</f>
        <v>0</v>
      </c>
      <c r="Q301">
        <f>IF(V301="Sí",COUNTIFS(DATOS!G:G,CONFIG_METADATA!$B$4,DATOS!D:D,A301,DATOS!I:I,B301,DATOS!K:K,6),"")</f>
        <v>0</v>
      </c>
      <c r="R301">
        <f>IF(V301="Sí",COUNTIFS(DATOS!G:G,CONFIG_METADATA!$B$4,DATOS!D:D,A301,DATOS!I:I,B301,DATOS!K:K,7),"")</f>
        <v>0</v>
      </c>
      <c r="S301">
        <f>IF(V301="Sí",COUNTIFS(DATOS!G:G,CONFIG_METADATA!$B$4,DATOS!D:D,A301,DATOS!I:I,B301,DATOS!K:K,8),"")</f>
        <v>0</v>
      </c>
      <c r="T301">
        <f>IF(V301="Sí",COUNTIFS(DATOS!G:G,CONFIG_METADATA!$B$4,DATOS!D:D,A301,DATOS!I:I,B301,DATOS!K:K,9),"")</f>
        <v>0</v>
      </c>
      <c r="U301">
        <f>IF(V301="Sí",COUNTIFS(DATOS!G:G,CONFIG_METADATA!$B$4,DATOS!D:D,A301,DATOS!I:I,B301,DATOS!K:K,10),"")</f>
        <v>0</v>
      </c>
      <c r="V301" t="str">
        <f>IFERROR(IF(ISERROR(FIND(A301,VLOOKUP(B301,CONFIG_ASIGNATURAS!B:C,2,FALSE()))),"No","Sí"),"No")</f>
        <v>Sí</v>
      </c>
    </row>
    <row r="302" spans="1:22">
      <c r="A302" s="3" t="inlineStr">
        <is>
          <t xml:space="preserve">4EEM</t>
        </is>
      </c>
      <c r="B302" s="3" cm="1">
        <f t="array" ref="B302">IFERROR(INDEX(_xlfn._xlws.FILTER(CONFIG_ASIGNATURAS!$B$2:$B$61,(CONFIG_ASIGNATURAS!$G$2:$G$61="Sí")*ISNUMBER(SEARCH("4EEM",CONFIG_ASIGNATURAS!$C$2:$C$61))),46),"")</f>
      </c>
      <c r="C302" s="3">
        <f>IF(B302="","",IFERROR(IF(VLOOKUP(B302,CONFIG_ASIGNATURAS!$B$2:$F$61,5,FALSE())="Sí","Especialidad","Asignatura"),"Asignatura"))</f>
      </c>
      <c r="D302">
        <f>IF(V302="Sí",COUNTIFS(DATOS!G:G,CONFIG_METADATA!$B$4,DATOS!D:D,A302,DATOS!I:I,B302),"")</f>
        <v>0</v>
      </c>
      <c r="E302" s="14" t="str">
        <f>IF(V302="Sí",IFERROR(AVERAGEIFS(DATOS!K:K,DATOS!G:G,CONFIG_METADATA!$B$4,DATOS!D:D,A302,DATOS!I:I,B302),"—"),"")</f>
        <v>—</v>
      </c>
      <c r="F302" s="14" t="str" cm="1">
        <f t="array" ref="F302">IF(V302="Sí",IFERROR(_xlfn.STDEV.P(IF((DATOS!$G$2:$G$20000=CONFIG_METADATA!$B$4)*(DATOS!$D$2:$D$20000=A302)*(DATOS!$I$2:$I$20000=B302),DATOS!$K$2:$K$20000)),"—"),"")</f>
        <v>—</v>
      </c>
      <c r="G302" t="str" cm="1">
        <f t="array" ref="G302">IF(V302="Sí",IFERROR(_xlfn.MODE.SNGL(IF((DATOS!$G$2:$G$20000=CONFIG_METADATA!$B$4)*(DATOS!$D$2:$D$20000=A302)*(DATOS!$I$2:$I$20000=B302),DATOS!$K$2:$K$20000)),"—"),"")</f>
        <v>—</v>
      </c>
      <c r="H302" s="15" t="str">
        <f>IF(V302="Sí",IFERROR(COUNTIFS(DATOS!G:G,CONFIG_METADATA!$B$4,DATOS!D:D,A302,DATOS!I:I,B302,DATOS!L:L,"S")/COUNTIFS(DATOS!G:G,CONFIG_METADATA!$B$4,DATOS!D:D,A302,DATOS!I:I,B302),"—"),"")</f>
        <v>—</v>
      </c>
      <c r="I302" s="15" t="str">
        <f>IF(V302="Sí",IFERROR(COUNTIFS(DATOS!G:G,CONFIG_METADATA!$B$4,DATOS!D:D,A302,DATOS!I:I,B302,DATOS!L:L,"N")/COUNTIFS(DATOS!G:G,CONFIG_METADATA!$B$4,DATOS!D:D,A302,DATOS!I:I,B302),"—"),"")</f>
        <v>—</v>
      </c>
      <c r="J302" t="str" cm="1">
        <f t="array" ref="J302">IF(V302="Sí",IFERROR(_xlfn.MODE.SNGL(IF((DATOS!$G$2:$G$20000=CONFIG_METADATA!$B$4)*(DATOS!$D$2:$D$20000=A302)*(DATOS!$I$2:$I$20000=B302)*(DATOS!$L$2:$L$20000="S"),DATOS!$K$2:$K$20000)),"—"),"")</f>
        <v>—</v>
      </c>
      <c r="K302" t="str" cm="1">
        <f t="array" ref="K302">IF(V302="Sí",IFERROR(_xlfn.MODE.SNGL(IF((DATOS!$G$2:$G$20000=CONFIG_METADATA!$B$4)*(DATOS!$D$2:$D$20000=A302)*(DATOS!$I$2:$I$20000=B302)*(DATOS!$L$2:$L$20000="N"),DATOS!$K$2:$K$20000)),"—"),"")</f>
        <v>—</v>
      </c>
      <c r="L302">
        <f>IF(V302="Sí",COUNTIFS(DATOS!G:G,CONFIG_METADATA!$B$4,DATOS!D:D,A302,DATOS!I:I,B302,DATOS!K:K,1),"")</f>
        <v>0</v>
      </c>
      <c r="M302">
        <f>IF(V302="Sí",COUNTIFS(DATOS!G:G,CONFIG_METADATA!$B$4,DATOS!D:D,A302,DATOS!I:I,B302,DATOS!K:K,2),"")</f>
        <v>0</v>
      </c>
      <c r="N302">
        <f>IF(V302="Sí",COUNTIFS(DATOS!G:G,CONFIG_METADATA!$B$4,DATOS!D:D,A302,DATOS!I:I,B302,DATOS!K:K,3),"")</f>
        <v>0</v>
      </c>
      <c r="O302">
        <f>IF(V302="Sí",COUNTIFS(DATOS!G:G,CONFIG_METADATA!$B$4,DATOS!D:D,A302,DATOS!I:I,B302,DATOS!K:K,4),"")</f>
        <v>0</v>
      </c>
      <c r="P302">
        <f>IF(V302="Sí",COUNTIFS(DATOS!G:G,CONFIG_METADATA!$B$4,DATOS!D:D,A302,DATOS!I:I,B302,DATOS!K:K,5),"")</f>
        <v>0</v>
      </c>
      <c r="Q302">
        <f>IF(V302="Sí",COUNTIFS(DATOS!G:G,CONFIG_METADATA!$B$4,DATOS!D:D,A302,DATOS!I:I,B302,DATOS!K:K,6),"")</f>
        <v>0</v>
      </c>
      <c r="R302">
        <f>IF(V302="Sí",COUNTIFS(DATOS!G:G,CONFIG_METADATA!$B$4,DATOS!D:D,A302,DATOS!I:I,B302,DATOS!K:K,7),"")</f>
        <v>0</v>
      </c>
      <c r="S302">
        <f>IF(V302="Sí",COUNTIFS(DATOS!G:G,CONFIG_METADATA!$B$4,DATOS!D:D,A302,DATOS!I:I,B302,DATOS!K:K,8),"")</f>
        <v>0</v>
      </c>
      <c r="T302">
        <f>IF(V302="Sí",COUNTIFS(DATOS!G:G,CONFIG_METADATA!$B$4,DATOS!D:D,A302,DATOS!I:I,B302,DATOS!K:K,9),"")</f>
        <v>0</v>
      </c>
      <c r="U302">
        <f>IF(V302="Sí",COUNTIFS(DATOS!G:G,CONFIG_METADATA!$B$4,DATOS!D:D,A302,DATOS!I:I,B302,DATOS!K:K,10),"")</f>
        <v>0</v>
      </c>
      <c r="V302" t="str">
        <f>IFERROR(IF(ISERROR(FIND(A302,VLOOKUP(B302,CONFIG_ASIGNATURAS!B:C,2,FALSE()))),"No","Sí"),"No")</f>
        <v>Sí</v>
      </c>
    </row>
    <row r="303" spans="1:22">
      <c r="A303" s="3" t="inlineStr">
        <is>
          <t xml:space="preserve">4EEM</t>
        </is>
      </c>
      <c r="B303" s="3" cm="1">
        <f t="array" ref="B303">IFERROR(INDEX(_xlfn._xlws.FILTER(CONFIG_ASIGNATURAS!$B$2:$B$61,(CONFIG_ASIGNATURAS!$G$2:$G$61="Sí")*ISNUMBER(SEARCH("4EEM",CONFIG_ASIGNATURAS!$C$2:$C$61))),47),"")</f>
      </c>
      <c r="C303" s="3">
        <f>IF(B303="","",IFERROR(IF(VLOOKUP(B303,CONFIG_ASIGNATURAS!$B$2:$F$61,5,FALSE())="Sí","Especialidad","Asignatura"),"Asignatura"))</f>
      </c>
      <c r="D303">
        <f>IF(V303="Sí",COUNTIFS(DATOS!G:G,CONFIG_METADATA!$B$4,DATOS!D:D,A303,DATOS!I:I,B303),"")</f>
        <v>0</v>
      </c>
      <c r="E303" s="14" t="str">
        <f>IF(V303="Sí",IFERROR(AVERAGEIFS(DATOS!K:K,DATOS!G:G,CONFIG_METADATA!$B$4,DATOS!D:D,A303,DATOS!I:I,B303),"—"),"")</f>
        <v>—</v>
      </c>
      <c r="F303" s="14" t="str" cm="1">
        <f t="array" ref="F303">IF(V303="Sí",IFERROR(_xlfn.STDEV.P(IF((DATOS!$G$2:$G$20000=CONFIG_METADATA!$B$4)*(DATOS!$D$2:$D$20000=A303)*(DATOS!$I$2:$I$20000=B303),DATOS!$K$2:$K$20000)),"—"),"")</f>
        <v>—</v>
      </c>
      <c r="G303" t="str" cm="1">
        <f t="array" ref="G303">IF(V303="Sí",IFERROR(_xlfn.MODE.SNGL(IF((DATOS!$G$2:$G$20000=CONFIG_METADATA!$B$4)*(DATOS!$D$2:$D$20000=A303)*(DATOS!$I$2:$I$20000=B303),DATOS!$K$2:$K$20000)),"—"),"")</f>
        <v>—</v>
      </c>
      <c r="H303" s="15" t="str">
        <f>IF(V303="Sí",IFERROR(COUNTIFS(DATOS!G:G,CONFIG_METADATA!$B$4,DATOS!D:D,A303,DATOS!I:I,B303,DATOS!L:L,"S")/COUNTIFS(DATOS!G:G,CONFIG_METADATA!$B$4,DATOS!D:D,A303,DATOS!I:I,B303),"—"),"")</f>
        <v>—</v>
      </c>
      <c r="I303" s="15" t="str">
        <f>IF(V303="Sí",IFERROR(COUNTIFS(DATOS!G:G,CONFIG_METADATA!$B$4,DATOS!D:D,A303,DATOS!I:I,B303,DATOS!L:L,"N")/COUNTIFS(DATOS!G:G,CONFIG_METADATA!$B$4,DATOS!D:D,A303,DATOS!I:I,B303),"—"),"")</f>
        <v>—</v>
      </c>
      <c r="J303" t="str" cm="1">
        <f t="array" ref="J303">IF(V303="Sí",IFERROR(_xlfn.MODE.SNGL(IF((DATOS!$G$2:$G$20000=CONFIG_METADATA!$B$4)*(DATOS!$D$2:$D$20000=A303)*(DATOS!$I$2:$I$20000=B303)*(DATOS!$L$2:$L$20000="S"),DATOS!$K$2:$K$20000)),"—"),"")</f>
        <v>—</v>
      </c>
      <c r="K303" t="str" cm="1">
        <f t="array" ref="K303">IF(V303="Sí",IFERROR(_xlfn.MODE.SNGL(IF((DATOS!$G$2:$G$20000=CONFIG_METADATA!$B$4)*(DATOS!$D$2:$D$20000=A303)*(DATOS!$I$2:$I$20000=B303)*(DATOS!$L$2:$L$20000="N"),DATOS!$K$2:$K$20000)),"—"),"")</f>
        <v>—</v>
      </c>
      <c r="L303">
        <f>IF(V303="Sí",COUNTIFS(DATOS!G:G,CONFIG_METADATA!$B$4,DATOS!D:D,A303,DATOS!I:I,B303,DATOS!K:K,1),"")</f>
        <v>0</v>
      </c>
      <c r="M303">
        <f>IF(V303="Sí",COUNTIFS(DATOS!G:G,CONFIG_METADATA!$B$4,DATOS!D:D,A303,DATOS!I:I,B303,DATOS!K:K,2),"")</f>
        <v>0</v>
      </c>
      <c r="N303">
        <f>IF(V303="Sí",COUNTIFS(DATOS!G:G,CONFIG_METADATA!$B$4,DATOS!D:D,A303,DATOS!I:I,B303,DATOS!K:K,3),"")</f>
        <v>0</v>
      </c>
      <c r="O303">
        <f>IF(V303="Sí",COUNTIFS(DATOS!G:G,CONFIG_METADATA!$B$4,DATOS!D:D,A303,DATOS!I:I,B303,DATOS!K:K,4),"")</f>
        <v>0</v>
      </c>
      <c r="P303">
        <f>IF(V303="Sí",COUNTIFS(DATOS!G:G,CONFIG_METADATA!$B$4,DATOS!D:D,A303,DATOS!I:I,B303,DATOS!K:K,5),"")</f>
        <v>0</v>
      </c>
      <c r="Q303">
        <f>IF(V303="Sí",COUNTIFS(DATOS!G:G,CONFIG_METADATA!$B$4,DATOS!D:D,A303,DATOS!I:I,B303,DATOS!K:K,6),"")</f>
        <v>0</v>
      </c>
      <c r="R303">
        <f>IF(V303="Sí",COUNTIFS(DATOS!G:G,CONFIG_METADATA!$B$4,DATOS!D:D,A303,DATOS!I:I,B303,DATOS!K:K,7),"")</f>
        <v>0</v>
      </c>
      <c r="S303">
        <f>IF(V303="Sí",COUNTIFS(DATOS!G:G,CONFIG_METADATA!$B$4,DATOS!D:D,A303,DATOS!I:I,B303,DATOS!K:K,8),"")</f>
        <v>0</v>
      </c>
      <c r="T303">
        <f>IF(V303="Sí",COUNTIFS(DATOS!G:G,CONFIG_METADATA!$B$4,DATOS!D:D,A303,DATOS!I:I,B303,DATOS!K:K,9),"")</f>
        <v>0</v>
      </c>
      <c r="U303">
        <f>IF(V303="Sí",COUNTIFS(DATOS!G:G,CONFIG_METADATA!$B$4,DATOS!D:D,A303,DATOS!I:I,B303,DATOS!K:K,10),"")</f>
        <v>0</v>
      </c>
      <c r="V303" t="str">
        <f>IFERROR(IF(ISERROR(FIND(A303,VLOOKUP(B303,CONFIG_ASIGNATURAS!B:C,2,FALSE()))),"No","Sí"),"No")</f>
        <v>Sí</v>
      </c>
    </row>
    <row r="304" spans="1:22">
      <c r="A304" s="3" t="inlineStr">
        <is>
          <t xml:space="preserve">4EEM</t>
        </is>
      </c>
      <c r="B304" s="3" cm="1">
        <f t="array" ref="B304">IFERROR(INDEX(_xlfn._xlws.FILTER(CONFIG_ASIGNATURAS!$B$2:$B$61,(CONFIG_ASIGNATURAS!$G$2:$G$61="Sí")*ISNUMBER(SEARCH("4EEM",CONFIG_ASIGNATURAS!$C$2:$C$61))),48),"")</f>
      </c>
      <c r="C304" s="3">
        <f>IF(B304="","",IFERROR(IF(VLOOKUP(B304,CONFIG_ASIGNATURAS!$B$2:$F$61,5,FALSE())="Sí","Especialidad","Asignatura"),"Asignatura"))</f>
      </c>
      <c r="D304">
        <f>IF(V304="Sí",COUNTIFS(DATOS!G:G,CONFIG_METADATA!$B$4,DATOS!D:D,A304,DATOS!I:I,B304),"")</f>
        <v>0</v>
      </c>
      <c r="E304" s="14" t="str">
        <f>IF(V304="Sí",IFERROR(AVERAGEIFS(DATOS!K:K,DATOS!G:G,CONFIG_METADATA!$B$4,DATOS!D:D,A304,DATOS!I:I,B304),"—"),"")</f>
        <v>—</v>
      </c>
      <c r="F304" s="14" t="str" cm="1">
        <f t="array" ref="F304">IF(V304="Sí",IFERROR(_xlfn.STDEV.P(IF((DATOS!$G$2:$G$20000=CONFIG_METADATA!$B$4)*(DATOS!$D$2:$D$20000=A304)*(DATOS!$I$2:$I$20000=B304),DATOS!$K$2:$K$20000)),"—"),"")</f>
        <v>—</v>
      </c>
      <c r="G304" t="str" cm="1">
        <f t="array" ref="G304">IF(V304="Sí",IFERROR(_xlfn.MODE.SNGL(IF((DATOS!$G$2:$G$20000=CONFIG_METADATA!$B$4)*(DATOS!$D$2:$D$20000=A304)*(DATOS!$I$2:$I$20000=B304),DATOS!$K$2:$K$20000)),"—"),"")</f>
        <v>—</v>
      </c>
      <c r="H304" s="15" t="str">
        <f>IF(V304="Sí",IFERROR(COUNTIFS(DATOS!G:G,CONFIG_METADATA!$B$4,DATOS!D:D,A304,DATOS!I:I,B304,DATOS!L:L,"S")/COUNTIFS(DATOS!G:G,CONFIG_METADATA!$B$4,DATOS!D:D,A304,DATOS!I:I,B304),"—"),"")</f>
        <v>—</v>
      </c>
      <c r="I304" s="15" t="str">
        <f>IF(V304="Sí",IFERROR(COUNTIFS(DATOS!G:G,CONFIG_METADATA!$B$4,DATOS!D:D,A304,DATOS!I:I,B304,DATOS!L:L,"N")/COUNTIFS(DATOS!G:G,CONFIG_METADATA!$B$4,DATOS!D:D,A304,DATOS!I:I,B304),"—"),"")</f>
        <v>—</v>
      </c>
      <c r="J304" t="str" cm="1">
        <f t="array" ref="J304">IF(V304="Sí",IFERROR(_xlfn.MODE.SNGL(IF((DATOS!$G$2:$G$20000=CONFIG_METADATA!$B$4)*(DATOS!$D$2:$D$20000=A304)*(DATOS!$I$2:$I$20000=B304)*(DATOS!$L$2:$L$20000="S"),DATOS!$K$2:$K$20000)),"—"),"")</f>
        <v>—</v>
      </c>
      <c r="K304" t="str" cm="1">
        <f t="array" ref="K304">IF(V304="Sí",IFERROR(_xlfn.MODE.SNGL(IF((DATOS!$G$2:$G$20000=CONFIG_METADATA!$B$4)*(DATOS!$D$2:$D$20000=A304)*(DATOS!$I$2:$I$20000=B304)*(DATOS!$L$2:$L$20000="N"),DATOS!$K$2:$K$20000)),"—"),"")</f>
        <v>—</v>
      </c>
      <c r="L304">
        <f>IF(V304="Sí",COUNTIFS(DATOS!G:G,CONFIG_METADATA!$B$4,DATOS!D:D,A304,DATOS!I:I,B304,DATOS!K:K,1),"")</f>
        <v>0</v>
      </c>
      <c r="M304">
        <f>IF(V304="Sí",COUNTIFS(DATOS!G:G,CONFIG_METADATA!$B$4,DATOS!D:D,A304,DATOS!I:I,B304,DATOS!K:K,2),"")</f>
        <v>0</v>
      </c>
      <c r="N304">
        <f>IF(V304="Sí",COUNTIFS(DATOS!G:G,CONFIG_METADATA!$B$4,DATOS!D:D,A304,DATOS!I:I,B304,DATOS!K:K,3),"")</f>
        <v>0</v>
      </c>
      <c r="O304">
        <f>IF(V304="Sí",COUNTIFS(DATOS!G:G,CONFIG_METADATA!$B$4,DATOS!D:D,A304,DATOS!I:I,B304,DATOS!K:K,4),"")</f>
        <v>0</v>
      </c>
      <c r="P304">
        <f>IF(V304="Sí",COUNTIFS(DATOS!G:G,CONFIG_METADATA!$B$4,DATOS!D:D,A304,DATOS!I:I,B304,DATOS!K:K,5),"")</f>
        <v>0</v>
      </c>
      <c r="Q304">
        <f>IF(V304="Sí",COUNTIFS(DATOS!G:G,CONFIG_METADATA!$B$4,DATOS!D:D,A304,DATOS!I:I,B304,DATOS!K:K,6),"")</f>
        <v>0</v>
      </c>
      <c r="R304">
        <f>IF(V304="Sí",COUNTIFS(DATOS!G:G,CONFIG_METADATA!$B$4,DATOS!D:D,A304,DATOS!I:I,B304,DATOS!K:K,7),"")</f>
        <v>0</v>
      </c>
      <c r="S304">
        <f>IF(V304="Sí",COUNTIFS(DATOS!G:G,CONFIG_METADATA!$B$4,DATOS!D:D,A304,DATOS!I:I,B304,DATOS!K:K,8),"")</f>
        <v>0</v>
      </c>
      <c r="T304">
        <f>IF(V304="Sí",COUNTIFS(DATOS!G:G,CONFIG_METADATA!$B$4,DATOS!D:D,A304,DATOS!I:I,B304,DATOS!K:K,9),"")</f>
        <v>0</v>
      </c>
      <c r="U304">
        <f>IF(V304="Sí",COUNTIFS(DATOS!G:G,CONFIG_METADATA!$B$4,DATOS!D:D,A304,DATOS!I:I,B304,DATOS!K:K,10),"")</f>
        <v>0</v>
      </c>
      <c r="V304" t="str">
        <f>IFERROR(IF(ISERROR(FIND(A304,VLOOKUP(B304,CONFIG_ASIGNATURAS!B:C,2,FALSE()))),"No","Sí"),"No")</f>
        <v>Sí</v>
      </c>
    </row>
    <row r="305" spans="1:22">
      <c r="A305" s="3" t="inlineStr">
        <is>
          <t xml:space="preserve">4EEM</t>
        </is>
      </c>
      <c r="B305" s="3" cm="1">
        <f t="array" ref="B305">IFERROR(INDEX(_xlfn._xlws.FILTER(CONFIG_ASIGNATURAS!$B$2:$B$61,(CONFIG_ASIGNATURAS!$G$2:$G$61="Sí")*ISNUMBER(SEARCH("4EEM",CONFIG_ASIGNATURAS!$C$2:$C$61))),49),"")</f>
      </c>
      <c r="C305" s="3">
        <f>IF(B305="","",IFERROR(IF(VLOOKUP(B305,CONFIG_ASIGNATURAS!$B$2:$F$61,5,FALSE())="Sí","Especialidad","Asignatura"),"Asignatura"))</f>
      </c>
      <c r="D305">
        <f>IF(V305="Sí",COUNTIFS(DATOS!G:G,CONFIG_METADATA!$B$4,DATOS!D:D,A305,DATOS!I:I,B305),"")</f>
        <v>0</v>
      </c>
      <c r="E305" s="14" t="str">
        <f>IF(V305="Sí",IFERROR(AVERAGEIFS(DATOS!K:K,DATOS!G:G,CONFIG_METADATA!$B$4,DATOS!D:D,A305,DATOS!I:I,B305),"—"),"")</f>
        <v>—</v>
      </c>
      <c r="F305" s="14" t="str" cm="1">
        <f t="array" ref="F305">IF(V305="Sí",IFERROR(_xlfn.STDEV.P(IF((DATOS!$G$2:$G$20000=CONFIG_METADATA!$B$4)*(DATOS!$D$2:$D$20000=A305)*(DATOS!$I$2:$I$20000=B305),DATOS!$K$2:$K$20000)),"—"),"")</f>
        <v>—</v>
      </c>
      <c r="G305" t="str" cm="1">
        <f t="array" ref="G305">IF(V305="Sí",IFERROR(_xlfn.MODE.SNGL(IF((DATOS!$G$2:$G$20000=CONFIG_METADATA!$B$4)*(DATOS!$D$2:$D$20000=A305)*(DATOS!$I$2:$I$20000=B305),DATOS!$K$2:$K$20000)),"—"),"")</f>
        <v>—</v>
      </c>
      <c r="H305" s="15" t="str">
        <f>IF(V305="Sí",IFERROR(COUNTIFS(DATOS!G:G,CONFIG_METADATA!$B$4,DATOS!D:D,A305,DATOS!I:I,B305,DATOS!L:L,"S")/COUNTIFS(DATOS!G:G,CONFIG_METADATA!$B$4,DATOS!D:D,A305,DATOS!I:I,B305),"—"),"")</f>
        <v>—</v>
      </c>
      <c r="I305" s="15" t="str">
        <f>IF(V305="Sí",IFERROR(COUNTIFS(DATOS!G:G,CONFIG_METADATA!$B$4,DATOS!D:D,A305,DATOS!I:I,B305,DATOS!L:L,"N")/COUNTIFS(DATOS!G:G,CONFIG_METADATA!$B$4,DATOS!D:D,A305,DATOS!I:I,B305),"—"),"")</f>
        <v>—</v>
      </c>
      <c r="J305" t="str" cm="1">
        <f t="array" ref="J305">IF(V305="Sí",IFERROR(_xlfn.MODE.SNGL(IF((DATOS!$G$2:$G$20000=CONFIG_METADATA!$B$4)*(DATOS!$D$2:$D$20000=A305)*(DATOS!$I$2:$I$20000=B305)*(DATOS!$L$2:$L$20000="S"),DATOS!$K$2:$K$20000)),"—"),"")</f>
        <v>—</v>
      </c>
      <c r="K305" t="str" cm="1">
        <f t="array" ref="K305">IF(V305="Sí",IFERROR(_xlfn.MODE.SNGL(IF((DATOS!$G$2:$G$20000=CONFIG_METADATA!$B$4)*(DATOS!$D$2:$D$20000=A305)*(DATOS!$I$2:$I$20000=B305)*(DATOS!$L$2:$L$20000="N"),DATOS!$K$2:$K$20000)),"—"),"")</f>
        <v>—</v>
      </c>
      <c r="L305">
        <f>IF(V305="Sí",COUNTIFS(DATOS!G:G,CONFIG_METADATA!$B$4,DATOS!D:D,A305,DATOS!I:I,B305,DATOS!K:K,1),"")</f>
        <v>0</v>
      </c>
      <c r="M305">
        <f>IF(V305="Sí",COUNTIFS(DATOS!G:G,CONFIG_METADATA!$B$4,DATOS!D:D,A305,DATOS!I:I,B305,DATOS!K:K,2),"")</f>
        <v>0</v>
      </c>
      <c r="N305">
        <f>IF(V305="Sí",COUNTIFS(DATOS!G:G,CONFIG_METADATA!$B$4,DATOS!D:D,A305,DATOS!I:I,B305,DATOS!K:K,3),"")</f>
        <v>0</v>
      </c>
      <c r="O305">
        <f>IF(V305="Sí",COUNTIFS(DATOS!G:G,CONFIG_METADATA!$B$4,DATOS!D:D,A305,DATOS!I:I,B305,DATOS!K:K,4),"")</f>
        <v>0</v>
      </c>
      <c r="P305">
        <f>IF(V305="Sí",COUNTIFS(DATOS!G:G,CONFIG_METADATA!$B$4,DATOS!D:D,A305,DATOS!I:I,B305,DATOS!K:K,5),"")</f>
        <v>0</v>
      </c>
      <c r="Q305">
        <f>IF(V305="Sí",COUNTIFS(DATOS!G:G,CONFIG_METADATA!$B$4,DATOS!D:D,A305,DATOS!I:I,B305,DATOS!K:K,6),"")</f>
        <v>0</v>
      </c>
      <c r="R305">
        <f>IF(V305="Sí",COUNTIFS(DATOS!G:G,CONFIG_METADATA!$B$4,DATOS!D:D,A305,DATOS!I:I,B305,DATOS!K:K,7),"")</f>
        <v>0</v>
      </c>
      <c r="S305">
        <f>IF(V305="Sí",COUNTIFS(DATOS!G:G,CONFIG_METADATA!$B$4,DATOS!D:D,A305,DATOS!I:I,B305,DATOS!K:K,8),"")</f>
        <v>0</v>
      </c>
      <c r="T305">
        <f>IF(V305="Sí",COUNTIFS(DATOS!G:G,CONFIG_METADATA!$B$4,DATOS!D:D,A305,DATOS!I:I,B305,DATOS!K:K,9),"")</f>
        <v>0</v>
      </c>
      <c r="U305">
        <f>IF(V305="Sí",COUNTIFS(DATOS!G:G,CONFIG_METADATA!$B$4,DATOS!D:D,A305,DATOS!I:I,B305,DATOS!K:K,10),"")</f>
        <v>0</v>
      </c>
      <c r="V305" t="str">
        <f>IFERROR(IF(ISERROR(FIND(A305,VLOOKUP(B305,CONFIG_ASIGNATURAS!B:C,2,FALSE()))),"No","Sí"),"No")</f>
        <v>Sí</v>
      </c>
    </row>
    <row r="306" spans="1:22">
      <c r="A306" s="3" t="inlineStr">
        <is>
          <t xml:space="preserve">4EEM</t>
        </is>
      </c>
      <c r="B306" s="3" cm="1">
        <f t="array" ref="B306">IFERROR(INDEX(_xlfn._xlws.FILTER(CONFIG_ASIGNATURAS!$B$2:$B$61,(CONFIG_ASIGNATURAS!$G$2:$G$61="Sí")*ISNUMBER(SEARCH("4EEM",CONFIG_ASIGNATURAS!$C$2:$C$61))),50),"")</f>
      </c>
      <c r="C306" s="3">
        <f>IF(B306="","",IFERROR(IF(VLOOKUP(B306,CONFIG_ASIGNATURAS!$B$2:$F$61,5,FALSE())="Sí","Especialidad","Asignatura"),"Asignatura"))</f>
      </c>
      <c r="D306">
        <f>IF(V306="Sí",COUNTIFS(DATOS!G:G,CONFIG_METADATA!$B$4,DATOS!D:D,A306,DATOS!I:I,B306),"")</f>
        <v>0</v>
      </c>
      <c r="E306" s="14" t="str">
        <f>IF(V306="Sí",IFERROR(AVERAGEIFS(DATOS!K:K,DATOS!G:G,CONFIG_METADATA!$B$4,DATOS!D:D,A306,DATOS!I:I,B306),"—"),"")</f>
        <v>—</v>
      </c>
      <c r="F306" s="14" t="str" cm="1">
        <f t="array" ref="F306">IF(V306="Sí",IFERROR(_xlfn.STDEV.P(IF((DATOS!$G$2:$G$20000=CONFIG_METADATA!$B$4)*(DATOS!$D$2:$D$20000=A306)*(DATOS!$I$2:$I$20000=B306),DATOS!$K$2:$K$20000)),"—"),"")</f>
        <v>—</v>
      </c>
      <c r="G306" t="str" cm="1">
        <f t="array" ref="G306">IF(V306="Sí",IFERROR(_xlfn.MODE.SNGL(IF((DATOS!$G$2:$G$20000=CONFIG_METADATA!$B$4)*(DATOS!$D$2:$D$20000=A306)*(DATOS!$I$2:$I$20000=B306),DATOS!$K$2:$K$20000)),"—"),"")</f>
        <v>—</v>
      </c>
      <c r="H306" s="15" t="str">
        <f>IF(V306="Sí",IFERROR(COUNTIFS(DATOS!G:G,CONFIG_METADATA!$B$4,DATOS!D:D,A306,DATOS!I:I,B306,DATOS!L:L,"S")/COUNTIFS(DATOS!G:G,CONFIG_METADATA!$B$4,DATOS!D:D,A306,DATOS!I:I,B306),"—"),"")</f>
        <v>—</v>
      </c>
      <c r="I306" s="15" t="str">
        <f>IF(V306="Sí",IFERROR(COUNTIFS(DATOS!G:G,CONFIG_METADATA!$B$4,DATOS!D:D,A306,DATOS!I:I,B306,DATOS!L:L,"N")/COUNTIFS(DATOS!G:G,CONFIG_METADATA!$B$4,DATOS!D:D,A306,DATOS!I:I,B306),"—"),"")</f>
        <v>—</v>
      </c>
      <c r="J306" t="str" cm="1">
        <f t="array" ref="J306">IF(V306="Sí",IFERROR(_xlfn.MODE.SNGL(IF((DATOS!$G$2:$G$20000=CONFIG_METADATA!$B$4)*(DATOS!$D$2:$D$20000=A306)*(DATOS!$I$2:$I$20000=B306)*(DATOS!$L$2:$L$20000="S"),DATOS!$K$2:$K$20000)),"—"),"")</f>
        <v>—</v>
      </c>
      <c r="K306" t="str" cm="1">
        <f t="array" ref="K306">IF(V306="Sí",IFERROR(_xlfn.MODE.SNGL(IF((DATOS!$G$2:$G$20000=CONFIG_METADATA!$B$4)*(DATOS!$D$2:$D$20000=A306)*(DATOS!$I$2:$I$20000=B306)*(DATOS!$L$2:$L$20000="N"),DATOS!$K$2:$K$20000)),"—"),"")</f>
        <v>—</v>
      </c>
      <c r="L306">
        <f>IF(V306="Sí",COUNTIFS(DATOS!G:G,CONFIG_METADATA!$B$4,DATOS!D:D,A306,DATOS!I:I,B306,DATOS!K:K,1),"")</f>
        <v>0</v>
      </c>
      <c r="M306">
        <f>IF(V306="Sí",COUNTIFS(DATOS!G:G,CONFIG_METADATA!$B$4,DATOS!D:D,A306,DATOS!I:I,B306,DATOS!K:K,2),"")</f>
        <v>0</v>
      </c>
      <c r="N306">
        <f>IF(V306="Sí",COUNTIFS(DATOS!G:G,CONFIG_METADATA!$B$4,DATOS!D:D,A306,DATOS!I:I,B306,DATOS!K:K,3),"")</f>
        <v>0</v>
      </c>
      <c r="O306">
        <f>IF(V306="Sí",COUNTIFS(DATOS!G:G,CONFIG_METADATA!$B$4,DATOS!D:D,A306,DATOS!I:I,B306,DATOS!K:K,4),"")</f>
        <v>0</v>
      </c>
      <c r="P306">
        <f>IF(V306="Sí",COUNTIFS(DATOS!G:G,CONFIG_METADATA!$B$4,DATOS!D:D,A306,DATOS!I:I,B306,DATOS!K:K,5),"")</f>
        <v>0</v>
      </c>
      <c r="Q306">
        <f>IF(V306="Sí",COUNTIFS(DATOS!G:G,CONFIG_METADATA!$B$4,DATOS!D:D,A306,DATOS!I:I,B306,DATOS!K:K,6),"")</f>
        <v>0</v>
      </c>
      <c r="R306">
        <f>IF(V306="Sí",COUNTIFS(DATOS!G:G,CONFIG_METADATA!$B$4,DATOS!D:D,A306,DATOS!I:I,B306,DATOS!K:K,7),"")</f>
        <v>0</v>
      </c>
      <c r="S306">
        <f>IF(V306="Sí",COUNTIFS(DATOS!G:G,CONFIG_METADATA!$B$4,DATOS!D:D,A306,DATOS!I:I,B306,DATOS!K:K,8),"")</f>
        <v>0</v>
      </c>
      <c r="T306">
        <f>IF(V306="Sí",COUNTIFS(DATOS!G:G,CONFIG_METADATA!$B$4,DATOS!D:D,A306,DATOS!I:I,B306,DATOS!K:K,9),"")</f>
        <v>0</v>
      </c>
      <c r="U306">
        <f>IF(V306="Sí",COUNTIFS(DATOS!G:G,CONFIG_METADATA!$B$4,DATOS!D:D,A306,DATOS!I:I,B306,DATOS!K:K,10),"")</f>
        <v>0</v>
      </c>
      <c r="V306" t="str">
        <f>IFERROR(IF(ISERROR(FIND(A306,VLOOKUP(B306,CONFIG_ASIGNATURAS!B:C,2,FALSE()))),"No","Sí"),"No")</f>
        <v>Sí</v>
      </c>
    </row>
    <row r="307" spans="1:22">
      <c r="A307" s="3" t="inlineStr">
        <is>
          <t xml:space="preserve">4EEM</t>
        </is>
      </c>
      <c r="B307" s="3" cm="1">
        <f t="array" ref="B307">IFERROR(INDEX(_xlfn._xlws.FILTER(CONFIG_ASIGNATURAS!$B$2:$B$61,(CONFIG_ASIGNATURAS!$G$2:$G$61="Sí")*ISNUMBER(SEARCH("4EEM",CONFIG_ASIGNATURAS!$C$2:$C$61))),51),"")</f>
      </c>
      <c r="C307" s="3">
        <f>IF(B307="","",IFERROR(IF(VLOOKUP(B307,CONFIG_ASIGNATURAS!$B$2:$F$61,5,FALSE())="Sí","Especialidad","Asignatura"),"Asignatura"))</f>
      </c>
      <c r="D307">
        <f>IF(V307="Sí",COUNTIFS(DATOS!G:G,CONFIG_METADATA!$B$4,DATOS!D:D,A307,DATOS!I:I,B307),"")</f>
        <v>0</v>
      </c>
      <c r="E307" s="14" t="str">
        <f>IF(V307="Sí",IFERROR(AVERAGEIFS(DATOS!K:K,DATOS!G:G,CONFIG_METADATA!$B$4,DATOS!D:D,A307,DATOS!I:I,B307),"—"),"")</f>
        <v>—</v>
      </c>
      <c r="F307" s="14" t="str" cm="1">
        <f t="array" ref="F307">IF(V307="Sí",IFERROR(_xlfn.STDEV.P(IF((DATOS!$G$2:$G$20000=CONFIG_METADATA!$B$4)*(DATOS!$D$2:$D$20000=A307)*(DATOS!$I$2:$I$20000=B307),DATOS!$K$2:$K$20000)),"—"),"")</f>
        <v>—</v>
      </c>
      <c r="G307" t="str" cm="1">
        <f t="array" ref="G307">IF(V307="Sí",IFERROR(_xlfn.MODE.SNGL(IF((DATOS!$G$2:$G$20000=CONFIG_METADATA!$B$4)*(DATOS!$D$2:$D$20000=A307)*(DATOS!$I$2:$I$20000=B307),DATOS!$K$2:$K$20000)),"—"),"")</f>
        <v>—</v>
      </c>
      <c r="H307" s="15" t="str">
        <f>IF(V307="Sí",IFERROR(COUNTIFS(DATOS!G:G,CONFIG_METADATA!$B$4,DATOS!D:D,A307,DATOS!I:I,B307,DATOS!L:L,"S")/COUNTIFS(DATOS!G:G,CONFIG_METADATA!$B$4,DATOS!D:D,A307,DATOS!I:I,B307),"—"),"")</f>
        <v>—</v>
      </c>
      <c r="I307" s="15" t="str">
        <f>IF(V307="Sí",IFERROR(COUNTIFS(DATOS!G:G,CONFIG_METADATA!$B$4,DATOS!D:D,A307,DATOS!I:I,B307,DATOS!L:L,"N")/COUNTIFS(DATOS!G:G,CONFIG_METADATA!$B$4,DATOS!D:D,A307,DATOS!I:I,B307),"—"),"")</f>
        <v>—</v>
      </c>
      <c r="J307" t="str" cm="1">
        <f t="array" ref="J307">IF(V307="Sí",IFERROR(_xlfn.MODE.SNGL(IF((DATOS!$G$2:$G$20000=CONFIG_METADATA!$B$4)*(DATOS!$D$2:$D$20000=A307)*(DATOS!$I$2:$I$20000=B307)*(DATOS!$L$2:$L$20000="S"),DATOS!$K$2:$K$20000)),"—"),"")</f>
        <v>—</v>
      </c>
      <c r="K307" t="str" cm="1">
        <f t="array" ref="K307">IF(V307="Sí",IFERROR(_xlfn.MODE.SNGL(IF((DATOS!$G$2:$G$20000=CONFIG_METADATA!$B$4)*(DATOS!$D$2:$D$20000=A307)*(DATOS!$I$2:$I$20000=B307)*(DATOS!$L$2:$L$20000="N"),DATOS!$K$2:$K$20000)),"—"),"")</f>
        <v>—</v>
      </c>
      <c r="L307">
        <f>IF(V307="Sí",COUNTIFS(DATOS!G:G,CONFIG_METADATA!$B$4,DATOS!D:D,A307,DATOS!I:I,B307,DATOS!K:K,1),"")</f>
        <v>0</v>
      </c>
      <c r="M307">
        <f>IF(V307="Sí",COUNTIFS(DATOS!G:G,CONFIG_METADATA!$B$4,DATOS!D:D,A307,DATOS!I:I,B307,DATOS!K:K,2),"")</f>
        <v>0</v>
      </c>
      <c r="N307">
        <f>IF(V307="Sí",COUNTIFS(DATOS!G:G,CONFIG_METADATA!$B$4,DATOS!D:D,A307,DATOS!I:I,B307,DATOS!K:K,3),"")</f>
        <v>0</v>
      </c>
      <c r="O307">
        <f>IF(V307="Sí",COUNTIFS(DATOS!G:G,CONFIG_METADATA!$B$4,DATOS!D:D,A307,DATOS!I:I,B307,DATOS!K:K,4),"")</f>
        <v>0</v>
      </c>
      <c r="P307">
        <f>IF(V307="Sí",COUNTIFS(DATOS!G:G,CONFIG_METADATA!$B$4,DATOS!D:D,A307,DATOS!I:I,B307,DATOS!K:K,5),"")</f>
        <v>0</v>
      </c>
      <c r="Q307">
        <f>IF(V307="Sí",COUNTIFS(DATOS!G:G,CONFIG_METADATA!$B$4,DATOS!D:D,A307,DATOS!I:I,B307,DATOS!K:K,6),"")</f>
        <v>0</v>
      </c>
      <c r="R307">
        <f>IF(V307="Sí",COUNTIFS(DATOS!G:G,CONFIG_METADATA!$B$4,DATOS!D:D,A307,DATOS!I:I,B307,DATOS!K:K,7),"")</f>
        <v>0</v>
      </c>
      <c r="S307">
        <f>IF(V307="Sí",COUNTIFS(DATOS!G:G,CONFIG_METADATA!$B$4,DATOS!D:D,A307,DATOS!I:I,B307,DATOS!K:K,8),"")</f>
        <v>0</v>
      </c>
      <c r="T307">
        <f>IF(V307="Sí",COUNTIFS(DATOS!G:G,CONFIG_METADATA!$B$4,DATOS!D:D,A307,DATOS!I:I,B307,DATOS!K:K,9),"")</f>
        <v>0</v>
      </c>
      <c r="U307">
        <f>IF(V307="Sí",COUNTIFS(DATOS!G:G,CONFIG_METADATA!$B$4,DATOS!D:D,A307,DATOS!I:I,B307,DATOS!K:K,10),"")</f>
        <v>0</v>
      </c>
      <c r="V307" t="str">
        <f>IFERROR(IF(ISERROR(FIND(A307,VLOOKUP(B307,CONFIG_ASIGNATURAS!B:C,2,FALSE()))),"No","Sí"),"No")</f>
        <v>Sí</v>
      </c>
    </row>
    <row r="308" spans="1:22">
      <c r="A308" s="3" t="inlineStr">
        <is>
          <t xml:space="preserve">4EEM</t>
        </is>
      </c>
      <c r="B308" s="3" cm="1">
        <f t="array" ref="B308">IFERROR(INDEX(_xlfn._xlws.FILTER(CONFIG_ASIGNATURAS!$B$2:$B$61,(CONFIG_ASIGNATURAS!$G$2:$G$61="Sí")*ISNUMBER(SEARCH("4EEM",CONFIG_ASIGNATURAS!$C$2:$C$61))),52),"")</f>
      </c>
      <c r="C308" s="3">
        <f>IF(B308="","",IFERROR(IF(VLOOKUP(B308,CONFIG_ASIGNATURAS!$B$2:$F$61,5,FALSE())="Sí","Especialidad","Asignatura"),"Asignatura"))</f>
      </c>
      <c r="D308">
        <f>IF(V308="Sí",COUNTIFS(DATOS!G:G,CONFIG_METADATA!$B$4,DATOS!D:D,A308,DATOS!I:I,B308),"")</f>
        <v>0</v>
      </c>
      <c r="E308" s="14" t="str">
        <f>IF(V308="Sí",IFERROR(AVERAGEIFS(DATOS!K:K,DATOS!G:G,CONFIG_METADATA!$B$4,DATOS!D:D,A308,DATOS!I:I,B308),"—"),"")</f>
        <v>—</v>
      </c>
      <c r="F308" s="14" t="str" cm="1">
        <f t="array" ref="F308">IF(V308="Sí",IFERROR(_xlfn.STDEV.P(IF((DATOS!$G$2:$G$20000=CONFIG_METADATA!$B$4)*(DATOS!$D$2:$D$20000=A308)*(DATOS!$I$2:$I$20000=B308),DATOS!$K$2:$K$20000)),"—"),"")</f>
        <v>—</v>
      </c>
      <c r="G308" t="str" cm="1">
        <f t="array" ref="G308">IF(V308="Sí",IFERROR(_xlfn.MODE.SNGL(IF((DATOS!$G$2:$G$20000=CONFIG_METADATA!$B$4)*(DATOS!$D$2:$D$20000=A308)*(DATOS!$I$2:$I$20000=B308),DATOS!$K$2:$K$20000)),"—"),"")</f>
        <v>—</v>
      </c>
      <c r="H308" s="15" t="str">
        <f>IF(V308="Sí",IFERROR(COUNTIFS(DATOS!G:G,CONFIG_METADATA!$B$4,DATOS!D:D,A308,DATOS!I:I,B308,DATOS!L:L,"S")/COUNTIFS(DATOS!G:G,CONFIG_METADATA!$B$4,DATOS!D:D,A308,DATOS!I:I,B308),"—"),"")</f>
        <v>—</v>
      </c>
      <c r="I308" s="15" t="str">
        <f>IF(V308="Sí",IFERROR(COUNTIFS(DATOS!G:G,CONFIG_METADATA!$B$4,DATOS!D:D,A308,DATOS!I:I,B308,DATOS!L:L,"N")/COUNTIFS(DATOS!G:G,CONFIG_METADATA!$B$4,DATOS!D:D,A308,DATOS!I:I,B308),"—"),"")</f>
        <v>—</v>
      </c>
      <c r="J308" t="str" cm="1">
        <f t="array" ref="J308">IF(V308="Sí",IFERROR(_xlfn.MODE.SNGL(IF((DATOS!$G$2:$G$20000=CONFIG_METADATA!$B$4)*(DATOS!$D$2:$D$20000=A308)*(DATOS!$I$2:$I$20000=B308)*(DATOS!$L$2:$L$20000="S"),DATOS!$K$2:$K$20000)),"—"),"")</f>
        <v>—</v>
      </c>
      <c r="K308" t="str" cm="1">
        <f t="array" ref="K308">IF(V308="Sí",IFERROR(_xlfn.MODE.SNGL(IF((DATOS!$G$2:$G$20000=CONFIG_METADATA!$B$4)*(DATOS!$D$2:$D$20000=A308)*(DATOS!$I$2:$I$20000=B308)*(DATOS!$L$2:$L$20000="N"),DATOS!$K$2:$K$20000)),"—"),"")</f>
        <v>—</v>
      </c>
      <c r="L308">
        <f>IF(V308="Sí",COUNTIFS(DATOS!G:G,CONFIG_METADATA!$B$4,DATOS!D:D,A308,DATOS!I:I,B308,DATOS!K:K,1),"")</f>
        <v>0</v>
      </c>
      <c r="M308">
        <f>IF(V308="Sí",COUNTIFS(DATOS!G:G,CONFIG_METADATA!$B$4,DATOS!D:D,A308,DATOS!I:I,B308,DATOS!K:K,2),"")</f>
        <v>0</v>
      </c>
      <c r="N308">
        <f>IF(V308="Sí",COUNTIFS(DATOS!G:G,CONFIG_METADATA!$B$4,DATOS!D:D,A308,DATOS!I:I,B308,DATOS!K:K,3),"")</f>
        <v>0</v>
      </c>
      <c r="O308">
        <f>IF(V308="Sí",COUNTIFS(DATOS!G:G,CONFIG_METADATA!$B$4,DATOS!D:D,A308,DATOS!I:I,B308,DATOS!K:K,4),"")</f>
        <v>0</v>
      </c>
      <c r="P308">
        <f>IF(V308="Sí",COUNTIFS(DATOS!G:G,CONFIG_METADATA!$B$4,DATOS!D:D,A308,DATOS!I:I,B308,DATOS!K:K,5),"")</f>
        <v>0</v>
      </c>
      <c r="Q308">
        <f>IF(V308="Sí",COUNTIFS(DATOS!G:G,CONFIG_METADATA!$B$4,DATOS!D:D,A308,DATOS!I:I,B308,DATOS!K:K,6),"")</f>
        <v>0</v>
      </c>
      <c r="R308">
        <f>IF(V308="Sí",COUNTIFS(DATOS!G:G,CONFIG_METADATA!$B$4,DATOS!D:D,A308,DATOS!I:I,B308,DATOS!K:K,7),"")</f>
        <v>0</v>
      </c>
      <c r="S308">
        <f>IF(V308="Sí",COUNTIFS(DATOS!G:G,CONFIG_METADATA!$B$4,DATOS!D:D,A308,DATOS!I:I,B308,DATOS!K:K,8),"")</f>
        <v>0</v>
      </c>
      <c r="T308">
        <f>IF(V308="Sí",COUNTIFS(DATOS!G:G,CONFIG_METADATA!$B$4,DATOS!D:D,A308,DATOS!I:I,B308,DATOS!K:K,9),"")</f>
        <v>0</v>
      </c>
      <c r="U308">
        <f>IF(V308="Sí",COUNTIFS(DATOS!G:G,CONFIG_METADATA!$B$4,DATOS!D:D,A308,DATOS!I:I,B308,DATOS!K:K,10),"")</f>
        <v>0</v>
      </c>
      <c r="V308" t="str">
        <f>IFERROR(IF(ISERROR(FIND(A308,VLOOKUP(B308,CONFIG_ASIGNATURAS!B:C,2,FALSE()))),"No","Sí"),"No")</f>
        <v>Sí</v>
      </c>
    </row>
    <row r="309" spans="1:22">
      <c r="A309" s="3" t="inlineStr">
        <is>
          <t xml:space="preserve">4EEM</t>
        </is>
      </c>
      <c r="B309" s="3" cm="1">
        <f t="array" ref="B309">IFERROR(INDEX(_xlfn._xlws.FILTER(CONFIG_ASIGNATURAS!$B$2:$B$61,(CONFIG_ASIGNATURAS!$G$2:$G$61="Sí")*ISNUMBER(SEARCH("4EEM",CONFIG_ASIGNATURAS!$C$2:$C$61))),53),"")</f>
      </c>
      <c r="C309" s="3">
        <f>IF(B309="","",IFERROR(IF(VLOOKUP(B309,CONFIG_ASIGNATURAS!$B$2:$F$61,5,FALSE())="Sí","Especialidad","Asignatura"),"Asignatura"))</f>
      </c>
      <c r="D309">
        <f>IF(V309="Sí",COUNTIFS(DATOS!G:G,CONFIG_METADATA!$B$4,DATOS!D:D,A309,DATOS!I:I,B309),"")</f>
        <v>0</v>
      </c>
      <c r="E309" s="14" t="str">
        <f>IF(V309="Sí",IFERROR(AVERAGEIFS(DATOS!K:K,DATOS!G:G,CONFIG_METADATA!$B$4,DATOS!D:D,A309,DATOS!I:I,B309),"—"),"")</f>
        <v>—</v>
      </c>
      <c r="F309" s="14" t="str" cm="1">
        <f t="array" ref="F309">IF(V309="Sí",IFERROR(_xlfn.STDEV.P(IF((DATOS!$G$2:$G$20000=CONFIG_METADATA!$B$4)*(DATOS!$D$2:$D$20000=A309)*(DATOS!$I$2:$I$20000=B309),DATOS!$K$2:$K$20000)),"—"),"")</f>
        <v>—</v>
      </c>
      <c r="G309" t="str" cm="1">
        <f t="array" ref="G309">IF(V309="Sí",IFERROR(_xlfn.MODE.SNGL(IF((DATOS!$G$2:$G$20000=CONFIG_METADATA!$B$4)*(DATOS!$D$2:$D$20000=A309)*(DATOS!$I$2:$I$20000=B309),DATOS!$K$2:$K$20000)),"—"),"")</f>
        <v>—</v>
      </c>
      <c r="H309" s="15" t="str">
        <f>IF(V309="Sí",IFERROR(COUNTIFS(DATOS!G:G,CONFIG_METADATA!$B$4,DATOS!D:D,A309,DATOS!I:I,B309,DATOS!L:L,"S")/COUNTIFS(DATOS!G:G,CONFIG_METADATA!$B$4,DATOS!D:D,A309,DATOS!I:I,B309),"—"),"")</f>
        <v>—</v>
      </c>
      <c r="I309" s="15" t="str">
        <f>IF(V309="Sí",IFERROR(COUNTIFS(DATOS!G:G,CONFIG_METADATA!$B$4,DATOS!D:D,A309,DATOS!I:I,B309,DATOS!L:L,"N")/COUNTIFS(DATOS!G:G,CONFIG_METADATA!$B$4,DATOS!D:D,A309,DATOS!I:I,B309),"—"),"")</f>
        <v>—</v>
      </c>
      <c r="J309" t="str" cm="1">
        <f t="array" ref="J309">IF(V309="Sí",IFERROR(_xlfn.MODE.SNGL(IF((DATOS!$G$2:$G$20000=CONFIG_METADATA!$B$4)*(DATOS!$D$2:$D$20000=A309)*(DATOS!$I$2:$I$20000=B309)*(DATOS!$L$2:$L$20000="S"),DATOS!$K$2:$K$20000)),"—"),"")</f>
        <v>—</v>
      </c>
      <c r="K309" t="str" cm="1">
        <f t="array" ref="K309">IF(V309="Sí",IFERROR(_xlfn.MODE.SNGL(IF((DATOS!$G$2:$G$20000=CONFIG_METADATA!$B$4)*(DATOS!$D$2:$D$20000=A309)*(DATOS!$I$2:$I$20000=B309)*(DATOS!$L$2:$L$20000="N"),DATOS!$K$2:$K$20000)),"—"),"")</f>
        <v>—</v>
      </c>
      <c r="L309">
        <f>IF(V309="Sí",COUNTIFS(DATOS!G:G,CONFIG_METADATA!$B$4,DATOS!D:D,A309,DATOS!I:I,B309,DATOS!K:K,1),"")</f>
        <v>0</v>
      </c>
      <c r="M309">
        <f>IF(V309="Sí",COUNTIFS(DATOS!G:G,CONFIG_METADATA!$B$4,DATOS!D:D,A309,DATOS!I:I,B309,DATOS!K:K,2),"")</f>
        <v>0</v>
      </c>
      <c r="N309">
        <f>IF(V309="Sí",COUNTIFS(DATOS!G:G,CONFIG_METADATA!$B$4,DATOS!D:D,A309,DATOS!I:I,B309,DATOS!K:K,3),"")</f>
        <v>0</v>
      </c>
      <c r="O309">
        <f>IF(V309="Sí",COUNTIFS(DATOS!G:G,CONFIG_METADATA!$B$4,DATOS!D:D,A309,DATOS!I:I,B309,DATOS!K:K,4),"")</f>
        <v>0</v>
      </c>
      <c r="P309">
        <f>IF(V309="Sí",COUNTIFS(DATOS!G:G,CONFIG_METADATA!$B$4,DATOS!D:D,A309,DATOS!I:I,B309,DATOS!K:K,5),"")</f>
        <v>0</v>
      </c>
      <c r="Q309">
        <f>IF(V309="Sí",COUNTIFS(DATOS!G:G,CONFIG_METADATA!$B$4,DATOS!D:D,A309,DATOS!I:I,B309,DATOS!K:K,6),"")</f>
        <v>0</v>
      </c>
      <c r="R309">
        <f>IF(V309="Sí",COUNTIFS(DATOS!G:G,CONFIG_METADATA!$B$4,DATOS!D:D,A309,DATOS!I:I,B309,DATOS!K:K,7),"")</f>
        <v>0</v>
      </c>
      <c r="S309">
        <f>IF(V309="Sí",COUNTIFS(DATOS!G:G,CONFIG_METADATA!$B$4,DATOS!D:D,A309,DATOS!I:I,B309,DATOS!K:K,8),"")</f>
        <v>0</v>
      </c>
      <c r="T309">
        <f>IF(V309="Sí",COUNTIFS(DATOS!G:G,CONFIG_METADATA!$B$4,DATOS!D:D,A309,DATOS!I:I,B309,DATOS!K:K,9),"")</f>
        <v>0</v>
      </c>
      <c r="U309">
        <f>IF(V309="Sí",COUNTIFS(DATOS!G:G,CONFIG_METADATA!$B$4,DATOS!D:D,A309,DATOS!I:I,B309,DATOS!K:K,10),"")</f>
        <v>0</v>
      </c>
      <c r="V309" t="str">
        <f>IFERROR(IF(ISERROR(FIND(A309,VLOOKUP(B309,CONFIG_ASIGNATURAS!B:C,2,FALSE()))),"No","Sí"),"No")</f>
        <v>Sí</v>
      </c>
    </row>
    <row r="310" spans="1:22">
      <c r="A310" s="3" t="inlineStr">
        <is>
          <t xml:space="preserve">4EEM</t>
        </is>
      </c>
      <c r="B310" s="3" cm="1">
        <f t="array" ref="B310">IFERROR(INDEX(_xlfn._xlws.FILTER(CONFIG_ASIGNATURAS!$B$2:$B$61,(CONFIG_ASIGNATURAS!$G$2:$G$61="Sí")*ISNUMBER(SEARCH("4EEM",CONFIG_ASIGNATURAS!$C$2:$C$61))),54),"")</f>
      </c>
      <c r="C310" s="3">
        <f>IF(B310="","",IFERROR(IF(VLOOKUP(B310,CONFIG_ASIGNATURAS!$B$2:$F$61,5,FALSE())="Sí","Especialidad","Asignatura"),"Asignatura"))</f>
      </c>
      <c r="D310">
        <f>IF(V310="Sí",COUNTIFS(DATOS!G:G,CONFIG_METADATA!$B$4,DATOS!D:D,A310,DATOS!I:I,B310),"")</f>
        <v>0</v>
      </c>
      <c r="E310" s="14" t="str">
        <f>IF(V310="Sí",IFERROR(AVERAGEIFS(DATOS!K:K,DATOS!G:G,CONFIG_METADATA!$B$4,DATOS!D:D,A310,DATOS!I:I,B310),"—"),"")</f>
        <v>—</v>
      </c>
      <c r="F310" s="14" t="str" cm="1">
        <f t="array" ref="F310">IF(V310="Sí",IFERROR(_xlfn.STDEV.P(IF((DATOS!$G$2:$G$20000=CONFIG_METADATA!$B$4)*(DATOS!$D$2:$D$20000=A310)*(DATOS!$I$2:$I$20000=B310),DATOS!$K$2:$K$20000)),"—"),"")</f>
        <v>—</v>
      </c>
      <c r="G310" t="str" cm="1">
        <f t="array" ref="G310">IF(V310="Sí",IFERROR(_xlfn.MODE.SNGL(IF((DATOS!$G$2:$G$20000=CONFIG_METADATA!$B$4)*(DATOS!$D$2:$D$20000=A310)*(DATOS!$I$2:$I$20000=B310),DATOS!$K$2:$K$20000)),"—"),"")</f>
        <v>—</v>
      </c>
      <c r="H310" s="15" t="str">
        <f>IF(V310="Sí",IFERROR(COUNTIFS(DATOS!G:G,CONFIG_METADATA!$B$4,DATOS!D:D,A310,DATOS!I:I,B310,DATOS!L:L,"S")/COUNTIFS(DATOS!G:G,CONFIG_METADATA!$B$4,DATOS!D:D,A310,DATOS!I:I,B310),"—"),"")</f>
        <v>—</v>
      </c>
      <c r="I310" s="15" t="str">
        <f>IF(V310="Sí",IFERROR(COUNTIFS(DATOS!G:G,CONFIG_METADATA!$B$4,DATOS!D:D,A310,DATOS!I:I,B310,DATOS!L:L,"N")/COUNTIFS(DATOS!G:G,CONFIG_METADATA!$B$4,DATOS!D:D,A310,DATOS!I:I,B310),"—"),"")</f>
        <v>—</v>
      </c>
      <c r="J310" t="str" cm="1">
        <f t="array" ref="J310">IF(V310="Sí",IFERROR(_xlfn.MODE.SNGL(IF((DATOS!$G$2:$G$20000=CONFIG_METADATA!$B$4)*(DATOS!$D$2:$D$20000=A310)*(DATOS!$I$2:$I$20000=B310)*(DATOS!$L$2:$L$20000="S"),DATOS!$K$2:$K$20000)),"—"),"")</f>
        <v>—</v>
      </c>
      <c r="K310" t="str" cm="1">
        <f t="array" ref="K310">IF(V310="Sí",IFERROR(_xlfn.MODE.SNGL(IF((DATOS!$G$2:$G$20000=CONFIG_METADATA!$B$4)*(DATOS!$D$2:$D$20000=A310)*(DATOS!$I$2:$I$20000=B310)*(DATOS!$L$2:$L$20000="N"),DATOS!$K$2:$K$20000)),"—"),"")</f>
        <v>—</v>
      </c>
      <c r="L310">
        <f>IF(V310="Sí",COUNTIFS(DATOS!G:G,CONFIG_METADATA!$B$4,DATOS!D:D,A310,DATOS!I:I,B310,DATOS!K:K,1),"")</f>
        <v>0</v>
      </c>
      <c r="M310">
        <f>IF(V310="Sí",COUNTIFS(DATOS!G:G,CONFIG_METADATA!$B$4,DATOS!D:D,A310,DATOS!I:I,B310,DATOS!K:K,2),"")</f>
        <v>0</v>
      </c>
      <c r="N310">
        <f>IF(V310="Sí",COUNTIFS(DATOS!G:G,CONFIG_METADATA!$B$4,DATOS!D:D,A310,DATOS!I:I,B310,DATOS!K:K,3),"")</f>
        <v>0</v>
      </c>
      <c r="O310">
        <f>IF(V310="Sí",COUNTIFS(DATOS!G:G,CONFIG_METADATA!$B$4,DATOS!D:D,A310,DATOS!I:I,B310,DATOS!K:K,4),"")</f>
        <v>0</v>
      </c>
      <c r="P310">
        <f>IF(V310="Sí",COUNTIFS(DATOS!G:G,CONFIG_METADATA!$B$4,DATOS!D:D,A310,DATOS!I:I,B310,DATOS!K:K,5),"")</f>
        <v>0</v>
      </c>
      <c r="Q310">
        <f>IF(V310="Sí",COUNTIFS(DATOS!G:G,CONFIG_METADATA!$B$4,DATOS!D:D,A310,DATOS!I:I,B310,DATOS!K:K,6),"")</f>
        <v>0</v>
      </c>
      <c r="R310">
        <f>IF(V310="Sí",COUNTIFS(DATOS!G:G,CONFIG_METADATA!$B$4,DATOS!D:D,A310,DATOS!I:I,B310,DATOS!K:K,7),"")</f>
        <v>0</v>
      </c>
      <c r="S310">
        <f>IF(V310="Sí",COUNTIFS(DATOS!G:G,CONFIG_METADATA!$B$4,DATOS!D:D,A310,DATOS!I:I,B310,DATOS!K:K,8),"")</f>
        <v>0</v>
      </c>
      <c r="T310">
        <f>IF(V310="Sí",COUNTIFS(DATOS!G:G,CONFIG_METADATA!$B$4,DATOS!D:D,A310,DATOS!I:I,B310,DATOS!K:K,9),"")</f>
        <v>0</v>
      </c>
      <c r="U310">
        <f>IF(V310="Sí",COUNTIFS(DATOS!G:G,CONFIG_METADATA!$B$4,DATOS!D:D,A310,DATOS!I:I,B310,DATOS!K:K,10),"")</f>
        <v>0</v>
      </c>
      <c r="V310" t="str">
        <f>IFERROR(IF(ISERROR(FIND(A310,VLOOKUP(B310,CONFIG_ASIGNATURAS!B:C,2,FALSE()))),"No","Sí"),"No")</f>
        <v>Sí</v>
      </c>
    </row>
    <row r="311" spans="1:22">
      <c r="A311" s="3" t="inlineStr">
        <is>
          <t xml:space="preserve">4EEM</t>
        </is>
      </c>
      <c r="B311" s="3" cm="1">
        <f t="array" ref="B311">IFERROR(INDEX(_xlfn._xlws.FILTER(CONFIG_ASIGNATURAS!$B$2:$B$61,(CONFIG_ASIGNATURAS!$G$2:$G$61="Sí")*ISNUMBER(SEARCH("4EEM",CONFIG_ASIGNATURAS!$C$2:$C$61))),55),"")</f>
      </c>
      <c r="C311" s="3">
        <f>IF(B311="","",IFERROR(IF(VLOOKUP(B311,CONFIG_ASIGNATURAS!$B$2:$F$61,5,FALSE())="Sí","Especialidad","Asignatura"),"Asignatura"))</f>
      </c>
      <c r="D311">
        <f>IF(V311="Sí",COUNTIFS(DATOS!G:G,CONFIG_METADATA!$B$4,DATOS!D:D,A311,DATOS!I:I,B311),"")</f>
        <v>0</v>
      </c>
      <c r="E311" s="14" t="str">
        <f>IF(V311="Sí",IFERROR(AVERAGEIFS(DATOS!K:K,DATOS!G:G,CONFIG_METADATA!$B$4,DATOS!D:D,A311,DATOS!I:I,B311),"—"),"")</f>
        <v>—</v>
      </c>
      <c r="F311" s="14" t="str" cm="1">
        <f t="array" ref="F311">IF(V311="Sí",IFERROR(_xlfn.STDEV.P(IF((DATOS!$G$2:$G$20000=CONFIG_METADATA!$B$4)*(DATOS!$D$2:$D$20000=A311)*(DATOS!$I$2:$I$20000=B311),DATOS!$K$2:$K$20000)),"—"),"")</f>
        <v>—</v>
      </c>
      <c r="G311" t="str" cm="1">
        <f t="array" ref="G311">IF(V311="Sí",IFERROR(_xlfn.MODE.SNGL(IF((DATOS!$G$2:$G$20000=CONFIG_METADATA!$B$4)*(DATOS!$D$2:$D$20000=A311)*(DATOS!$I$2:$I$20000=B311),DATOS!$K$2:$K$20000)),"—"),"")</f>
        <v>—</v>
      </c>
      <c r="H311" s="15" t="str">
        <f>IF(V311="Sí",IFERROR(COUNTIFS(DATOS!G:G,CONFIG_METADATA!$B$4,DATOS!D:D,A311,DATOS!I:I,B311,DATOS!L:L,"S")/COUNTIFS(DATOS!G:G,CONFIG_METADATA!$B$4,DATOS!D:D,A311,DATOS!I:I,B311),"—"),"")</f>
        <v>—</v>
      </c>
      <c r="I311" s="15" t="str">
        <f>IF(V311="Sí",IFERROR(COUNTIFS(DATOS!G:G,CONFIG_METADATA!$B$4,DATOS!D:D,A311,DATOS!I:I,B311,DATOS!L:L,"N")/COUNTIFS(DATOS!G:G,CONFIG_METADATA!$B$4,DATOS!D:D,A311,DATOS!I:I,B311),"—"),"")</f>
        <v>—</v>
      </c>
      <c r="J311" t="str" cm="1">
        <f t="array" ref="J311">IF(V311="Sí",IFERROR(_xlfn.MODE.SNGL(IF((DATOS!$G$2:$G$20000=CONFIG_METADATA!$B$4)*(DATOS!$D$2:$D$20000=A311)*(DATOS!$I$2:$I$20000=B311)*(DATOS!$L$2:$L$20000="S"),DATOS!$K$2:$K$20000)),"—"),"")</f>
        <v>—</v>
      </c>
      <c r="K311" t="str" cm="1">
        <f t="array" ref="K311">IF(V311="Sí",IFERROR(_xlfn.MODE.SNGL(IF((DATOS!$G$2:$G$20000=CONFIG_METADATA!$B$4)*(DATOS!$D$2:$D$20000=A311)*(DATOS!$I$2:$I$20000=B311)*(DATOS!$L$2:$L$20000="N"),DATOS!$K$2:$K$20000)),"—"),"")</f>
        <v>—</v>
      </c>
      <c r="L311">
        <f>IF(V311="Sí",COUNTIFS(DATOS!G:G,CONFIG_METADATA!$B$4,DATOS!D:D,A311,DATOS!I:I,B311,DATOS!K:K,1),"")</f>
        <v>0</v>
      </c>
      <c r="M311">
        <f>IF(V311="Sí",COUNTIFS(DATOS!G:G,CONFIG_METADATA!$B$4,DATOS!D:D,A311,DATOS!I:I,B311,DATOS!K:K,2),"")</f>
        <v>0</v>
      </c>
      <c r="N311">
        <f>IF(V311="Sí",COUNTIFS(DATOS!G:G,CONFIG_METADATA!$B$4,DATOS!D:D,A311,DATOS!I:I,B311,DATOS!K:K,3),"")</f>
        <v>0</v>
      </c>
      <c r="O311">
        <f>IF(V311="Sí",COUNTIFS(DATOS!G:G,CONFIG_METADATA!$B$4,DATOS!D:D,A311,DATOS!I:I,B311,DATOS!K:K,4),"")</f>
        <v>0</v>
      </c>
      <c r="P311">
        <f>IF(V311="Sí",COUNTIFS(DATOS!G:G,CONFIG_METADATA!$B$4,DATOS!D:D,A311,DATOS!I:I,B311,DATOS!K:K,5),"")</f>
        <v>0</v>
      </c>
      <c r="Q311">
        <f>IF(V311="Sí",COUNTIFS(DATOS!G:G,CONFIG_METADATA!$B$4,DATOS!D:D,A311,DATOS!I:I,B311,DATOS!K:K,6),"")</f>
        <v>0</v>
      </c>
      <c r="R311">
        <f>IF(V311="Sí",COUNTIFS(DATOS!G:G,CONFIG_METADATA!$B$4,DATOS!D:D,A311,DATOS!I:I,B311,DATOS!K:K,7),"")</f>
        <v>0</v>
      </c>
      <c r="S311">
        <f>IF(V311="Sí",COUNTIFS(DATOS!G:G,CONFIG_METADATA!$B$4,DATOS!D:D,A311,DATOS!I:I,B311,DATOS!K:K,8),"")</f>
        <v>0</v>
      </c>
      <c r="T311">
        <f>IF(V311="Sí",COUNTIFS(DATOS!G:G,CONFIG_METADATA!$B$4,DATOS!D:D,A311,DATOS!I:I,B311,DATOS!K:K,9),"")</f>
        <v>0</v>
      </c>
      <c r="U311">
        <f>IF(V311="Sí",COUNTIFS(DATOS!G:G,CONFIG_METADATA!$B$4,DATOS!D:D,A311,DATOS!I:I,B311,DATOS!K:K,10),"")</f>
        <v>0</v>
      </c>
      <c r="V311" t="str">
        <f>IFERROR(IF(ISERROR(FIND(A311,VLOOKUP(B311,CONFIG_ASIGNATURAS!B:C,2,FALSE()))),"No","Sí"),"No")</f>
        <v>Sí</v>
      </c>
    </row>
    <row r="312" spans="1:22">
      <c r="A312" s="3" t="inlineStr">
        <is>
          <t xml:space="preserve">4EEM</t>
        </is>
      </c>
      <c r="B312" s="3" cm="1">
        <f t="array" ref="B312">IFERROR(INDEX(_xlfn._xlws.FILTER(CONFIG_ASIGNATURAS!$B$2:$B$61,(CONFIG_ASIGNATURAS!$G$2:$G$61="Sí")*ISNUMBER(SEARCH("4EEM",CONFIG_ASIGNATURAS!$C$2:$C$61))),56),"")</f>
      </c>
      <c r="C312" s="3">
        <f>IF(B312="","",IFERROR(IF(VLOOKUP(B312,CONFIG_ASIGNATURAS!$B$2:$F$61,5,FALSE())="Sí","Especialidad","Asignatura"),"Asignatura"))</f>
      </c>
      <c r="D312">
        <f>IF(V312="Sí",COUNTIFS(DATOS!G:G,CONFIG_METADATA!$B$4,DATOS!D:D,A312,DATOS!I:I,B312),"")</f>
        <v>0</v>
      </c>
      <c r="E312" s="14" t="str">
        <f>IF(V312="Sí",IFERROR(AVERAGEIFS(DATOS!K:K,DATOS!G:G,CONFIG_METADATA!$B$4,DATOS!D:D,A312,DATOS!I:I,B312),"—"),"")</f>
        <v>—</v>
      </c>
      <c r="F312" s="14" t="str" cm="1">
        <f t="array" ref="F312">IF(V312="Sí",IFERROR(_xlfn.STDEV.P(IF((DATOS!$G$2:$G$20000=CONFIG_METADATA!$B$4)*(DATOS!$D$2:$D$20000=A312)*(DATOS!$I$2:$I$20000=B312),DATOS!$K$2:$K$20000)),"—"),"")</f>
        <v>—</v>
      </c>
      <c r="G312" t="str" cm="1">
        <f t="array" ref="G312">IF(V312="Sí",IFERROR(_xlfn.MODE.SNGL(IF((DATOS!$G$2:$G$20000=CONFIG_METADATA!$B$4)*(DATOS!$D$2:$D$20000=A312)*(DATOS!$I$2:$I$20000=B312),DATOS!$K$2:$K$20000)),"—"),"")</f>
        <v>—</v>
      </c>
      <c r="H312" s="15" t="str">
        <f>IF(V312="Sí",IFERROR(COUNTIFS(DATOS!G:G,CONFIG_METADATA!$B$4,DATOS!D:D,A312,DATOS!I:I,B312,DATOS!L:L,"S")/COUNTIFS(DATOS!G:G,CONFIG_METADATA!$B$4,DATOS!D:D,A312,DATOS!I:I,B312),"—"),"")</f>
        <v>—</v>
      </c>
      <c r="I312" s="15" t="str">
        <f>IF(V312="Sí",IFERROR(COUNTIFS(DATOS!G:G,CONFIG_METADATA!$B$4,DATOS!D:D,A312,DATOS!I:I,B312,DATOS!L:L,"N")/COUNTIFS(DATOS!G:G,CONFIG_METADATA!$B$4,DATOS!D:D,A312,DATOS!I:I,B312),"—"),"")</f>
        <v>—</v>
      </c>
      <c r="J312" t="str" cm="1">
        <f t="array" ref="J312">IF(V312="Sí",IFERROR(_xlfn.MODE.SNGL(IF((DATOS!$G$2:$G$20000=CONFIG_METADATA!$B$4)*(DATOS!$D$2:$D$20000=A312)*(DATOS!$I$2:$I$20000=B312)*(DATOS!$L$2:$L$20000="S"),DATOS!$K$2:$K$20000)),"—"),"")</f>
        <v>—</v>
      </c>
      <c r="K312" t="str" cm="1">
        <f t="array" ref="K312">IF(V312="Sí",IFERROR(_xlfn.MODE.SNGL(IF((DATOS!$G$2:$G$20000=CONFIG_METADATA!$B$4)*(DATOS!$D$2:$D$20000=A312)*(DATOS!$I$2:$I$20000=B312)*(DATOS!$L$2:$L$20000="N"),DATOS!$K$2:$K$20000)),"—"),"")</f>
        <v>—</v>
      </c>
      <c r="L312">
        <f>IF(V312="Sí",COUNTIFS(DATOS!G:G,CONFIG_METADATA!$B$4,DATOS!D:D,A312,DATOS!I:I,B312,DATOS!K:K,1),"")</f>
        <v>0</v>
      </c>
      <c r="M312">
        <f>IF(V312="Sí",COUNTIFS(DATOS!G:G,CONFIG_METADATA!$B$4,DATOS!D:D,A312,DATOS!I:I,B312,DATOS!K:K,2),"")</f>
        <v>0</v>
      </c>
      <c r="N312">
        <f>IF(V312="Sí",COUNTIFS(DATOS!G:G,CONFIG_METADATA!$B$4,DATOS!D:D,A312,DATOS!I:I,B312,DATOS!K:K,3),"")</f>
        <v>0</v>
      </c>
      <c r="O312">
        <f>IF(V312="Sí",COUNTIFS(DATOS!G:G,CONFIG_METADATA!$B$4,DATOS!D:D,A312,DATOS!I:I,B312,DATOS!K:K,4),"")</f>
        <v>0</v>
      </c>
      <c r="P312">
        <f>IF(V312="Sí",COUNTIFS(DATOS!G:G,CONFIG_METADATA!$B$4,DATOS!D:D,A312,DATOS!I:I,B312,DATOS!K:K,5),"")</f>
        <v>0</v>
      </c>
      <c r="Q312">
        <f>IF(V312="Sí",COUNTIFS(DATOS!G:G,CONFIG_METADATA!$B$4,DATOS!D:D,A312,DATOS!I:I,B312,DATOS!K:K,6),"")</f>
        <v>0</v>
      </c>
      <c r="R312">
        <f>IF(V312="Sí",COUNTIFS(DATOS!G:G,CONFIG_METADATA!$B$4,DATOS!D:D,A312,DATOS!I:I,B312,DATOS!K:K,7),"")</f>
        <v>0</v>
      </c>
      <c r="S312">
        <f>IF(V312="Sí",COUNTIFS(DATOS!G:G,CONFIG_METADATA!$B$4,DATOS!D:D,A312,DATOS!I:I,B312,DATOS!K:K,8),"")</f>
        <v>0</v>
      </c>
      <c r="T312">
        <f>IF(V312="Sí",COUNTIFS(DATOS!G:G,CONFIG_METADATA!$B$4,DATOS!D:D,A312,DATOS!I:I,B312,DATOS!K:K,9),"")</f>
        <v>0</v>
      </c>
      <c r="U312">
        <f>IF(V312="Sí",COUNTIFS(DATOS!G:G,CONFIG_METADATA!$B$4,DATOS!D:D,A312,DATOS!I:I,B312,DATOS!K:K,10),"")</f>
        <v>0</v>
      </c>
      <c r="V312" t="str">
        <f>IFERROR(IF(ISERROR(FIND(A312,VLOOKUP(B312,CONFIG_ASIGNATURAS!B:C,2,FALSE()))),"No","Sí"),"No")</f>
        <v>Sí</v>
      </c>
    </row>
    <row r="313" spans="1:22">
      <c r="A313" s="3" t="inlineStr">
        <is>
          <t xml:space="preserve">4EEM</t>
        </is>
      </c>
      <c r="B313" s="3" cm="1">
        <f t="array" ref="B313">IFERROR(INDEX(_xlfn._xlws.FILTER(CONFIG_ASIGNATURAS!$B$2:$B$61,(CONFIG_ASIGNATURAS!$G$2:$G$61="Sí")*ISNUMBER(SEARCH("4EEM",CONFIG_ASIGNATURAS!$C$2:$C$61))),57),"")</f>
      </c>
      <c r="C313" s="3">
        <f>IF(B313="","",IFERROR(IF(VLOOKUP(B313,CONFIG_ASIGNATURAS!$B$2:$F$61,5,FALSE())="Sí","Especialidad","Asignatura"),"Asignatura"))</f>
      </c>
      <c r="D313">
        <f>IF(V313="Sí",COUNTIFS(DATOS!G:G,CONFIG_METADATA!$B$4,DATOS!D:D,A313,DATOS!I:I,B313),"")</f>
        <v>0</v>
      </c>
      <c r="E313" s="14" t="str">
        <f>IF(V313="Sí",IFERROR(AVERAGEIFS(DATOS!K:K,DATOS!G:G,CONFIG_METADATA!$B$4,DATOS!D:D,A313,DATOS!I:I,B313),"—"),"")</f>
        <v>—</v>
      </c>
      <c r="F313" s="14" t="str" cm="1">
        <f t="array" ref="F313">IF(V313="Sí",IFERROR(_xlfn.STDEV.P(IF((DATOS!$G$2:$G$20000=CONFIG_METADATA!$B$4)*(DATOS!$D$2:$D$20000=A313)*(DATOS!$I$2:$I$20000=B313),DATOS!$K$2:$K$20000)),"—"),"")</f>
        <v>—</v>
      </c>
      <c r="G313" t="str" cm="1">
        <f t="array" ref="G313">IF(V313="Sí",IFERROR(_xlfn.MODE.SNGL(IF((DATOS!$G$2:$G$20000=CONFIG_METADATA!$B$4)*(DATOS!$D$2:$D$20000=A313)*(DATOS!$I$2:$I$20000=B313),DATOS!$K$2:$K$20000)),"—"),"")</f>
        <v>—</v>
      </c>
      <c r="H313" s="15" t="str">
        <f>IF(V313="Sí",IFERROR(COUNTIFS(DATOS!G:G,CONFIG_METADATA!$B$4,DATOS!D:D,A313,DATOS!I:I,B313,DATOS!L:L,"S")/COUNTIFS(DATOS!G:G,CONFIG_METADATA!$B$4,DATOS!D:D,A313,DATOS!I:I,B313),"—"),"")</f>
        <v>—</v>
      </c>
      <c r="I313" s="15" t="str">
        <f>IF(V313="Sí",IFERROR(COUNTIFS(DATOS!G:G,CONFIG_METADATA!$B$4,DATOS!D:D,A313,DATOS!I:I,B313,DATOS!L:L,"N")/COUNTIFS(DATOS!G:G,CONFIG_METADATA!$B$4,DATOS!D:D,A313,DATOS!I:I,B313),"—"),"")</f>
        <v>—</v>
      </c>
      <c r="J313" t="str" cm="1">
        <f t="array" ref="J313">IF(V313="Sí",IFERROR(_xlfn.MODE.SNGL(IF((DATOS!$G$2:$G$20000=CONFIG_METADATA!$B$4)*(DATOS!$D$2:$D$20000=A313)*(DATOS!$I$2:$I$20000=B313)*(DATOS!$L$2:$L$20000="S"),DATOS!$K$2:$K$20000)),"—"),"")</f>
        <v>—</v>
      </c>
      <c r="K313" t="str" cm="1">
        <f t="array" ref="K313">IF(V313="Sí",IFERROR(_xlfn.MODE.SNGL(IF((DATOS!$G$2:$G$20000=CONFIG_METADATA!$B$4)*(DATOS!$D$2:$D$20000=A313)*(DATOS!$I$2:$I$20000=B313)*(DATOS!$L$2:$L$20000="N"),DATOS!$K$2:$K$20000)),"—"),"")</f>
        <v>—</v>
      </c>
      <c r="L313">
        <f>IF(V313="Sí",COUNTIFS(DATOS!G:G,CONFIG_METADATA!$B$4,DATOS!D:D,A313,DATOS!I:I,B313,DATOS!K:K,1),"")</f>
        <v>0</v>
      </c>
      <c r="M313">
        <f>IF(V313="Sí",COUNTIFS(DATOS!G:G,CONFIG_METADATA!$B$4,DATOS!D:D,A313,DATOS!I:I,B313,DATOS!K:K,2),"")</f>
        <v>0</v>
      </c>
      <c r="N313">
        <f>IF(V313="Sí",COUNTIFS(DATOS!G:G,CONFIG_METADATA!$B$4,DATOS!D:D,A313,DATOS!I:I,B313,DATOS!K:K,3),"")</f>
        <v>0</v>
      </c>
      <c r="O313">
        <f>IF(V313="Sí",COUNTIFS(DATOS!G:G,CONFIG_METADATA!$B$4,DATOS!D:D,A313,DATOS!I:I,B313,DATOS!K:K,4),"")</f>
        <v>0</v>
      </c>
      <c r="P313">
        <f>IF(V313="Sí",COUNTIFS(DATOS!G:G,CONFIG_METADATA!$B$4,DATOS!D:D,A313,DATOS!I:I,B313,DATOS!K:K,5),"")</f>
        <v>0</v>
      </c>
      <c r="Q313">
        <f>IF(V313="Sí",COUNTIFS(DATOS!G:G,CONFIG_METADATA!$B$4,DATOS!D:D,A313,DATOS!I:I,B313,DATOS!K:K,6),"")</f>
        <v>0</v>
      </c>
      <c r="R313">
        <f>IF(V313="Sí",COUNTIFS(DATOS!G:G,CONFIG_METADATA!$B$4,DATOS!D:D,A313,DATOS!I:I,B313,DATOS!K:K,7),"")</f>
        <v>0</v>
      </c>
      <c r="S313">
        <f>IF(V313="Sí",COUNTIFS(DATOS!G:G,CONFIG_METADATA!$B$4,DATOS!D:D,A313,DATOS!I:I,B313,DATOS!K:K,8),"")</f>
        <v>0</v>
      </c>
      <c r="T313">
        <f>IF(V313="Sí",COUNTIFS(DATOS!G:G,CONFIG_METADATA!$B$4,DATOS!D:D,A313,DATOS!I:I,B313,DATOS!K:K,9),"")</f>
        <v>0</v>
      </c>
      <c r="U313">
        <f>IF(V313="Sí",COUNTIFS(DATOS!G:G,CONFIG_METADATA!$B$4,DATOS!D:D,A313,DATOS!I:I,B313,DATOS!K:K,10),"")</f>
        <v>0</v>
      </c>
      <c r="V313" t="str">
        <f>IFERROR(IF(ISERROR(FIND(A313,VLOOKUP(B313,CONFIG_ASIGNATURAS!B:C,2,FALSE()))),"No","Sí"),"No")</f>
        <v>Sí</v>
      </c>
    </row>
    <row r="314" spans="1:22">
      <c r="A314" s="3" t="inlineStr">
        <is>
          <t xml:space="preserve">4EEM</t>
        </is>
      </c>
      <c r="B314" s="3" cm="1">
        <f t="array" ref="B314">IFERROR(INDEX(_xlfn._xlws.FILTER(CONFIG_ASIGNATURAS!$B$2:$B$61,(CONFIG_ASIGNATURAS!$G$2:$G$61="Sí")*ISNUMBER(SEARCH("4EEM",CONFIG_ASIGNATURAS!$C$2:$C$61))),58),"")</f>
      </c>
      <c r="C314" s="3">
        <f>IF(B314="","",IFERROR(IF(VLOOKUP(B314,CONFIG_ASIGNATURAS!$B$2:$F$61,5,FALSE())="Sí","Especialidad","Asignatura"),"Asignatura"))</f>
      </c>
      <c r="D314">
        <f>IF(V314="Sí",COUNTIFS(DATOS!G:G,CONFIG_METADATA!$B$4,DATOS!D:D,A314,DATOS!I:I,B314),"")</f>
        <v>0</v>
      </c>
      <c r="E314" s="14" t="str">
        <f>IF(V314="Sí",IFERROR(AVERAGEIFS(DATOS!K:K,DATOS!G:G,CONFIG_METADATA!$B$4,DATOS!D:D,A314,DATOS!I:I,B314),"—"),"")</f>
        <v>—</v>
      </c>
      <c r="F314" s="14" t="str" cm="1">
        <f t="array" ref="F314">IF(V314="Sí",IFERROR(_xlfn.STDEV.P(IF((DATOS!$G$2:$G$20000=CONFIG_METADATA!$B$4)*(DATOS!$D$2:$D$20000=A314)*(DATOS!$I$2:$I$20000=B314),DATOS!$K$2:$K$20000)),"—"),"")</f>
        <v>—</v>
      </c>
      <c r="G314" t="str" cm="1">
        <f t="array" ref="G314">IF(V314="Sí",IFERROR(_xlfn.MODE.SNGL(IF((DATOS!$G$2:$G$20000=CONFIG_METADATA!$B$4)*(DATOS!$D$2:$D$20000=A314)*(DATOS!$I$2:$I$20000=B314),DATOS!$K$2:$K$20000)),"—"),"")</f>
        <v>—</v>
      </c>
      <c r="H314" s="15" t="str">
        <f>IF(V314="Sí",IFERROR(COUNTIFS(DATOS!G:G,CONFIG_METADATA!$B$4,DATOS!D:D,A314,DATOS!I:I,B314,DATOS!L:L,"S")/COUNTIFS(DATOS!G:G,CONFIG_METADATA!$B$4,DATOS!D:D,A314,DATOS!I:I,B314),"—"),"")</f>
        <v>—</v>
      </c>
      <c r="I314" s="15" t="str">
        <f>IF(V314="Sí",IFERROR(COUNTIFS(DATOS!G:G,CONFIG_METADATA!$B$4,DATOS!D:D,A314,DATOS!I:I,B314,DATOS!L:L,"N")/COUNTIFS(DATOS!G:G,CONFIG_METADATA!$B$4,DATOS!D:D,A314,DATOS!I:I,B314),"—"),"")</f>
        <v>—</v>
      </c>
      <c r="J314" t="str" cm="1">
        <f t="array" ref="J314">IF(V314="Sí",IFERROR(_xlfn.MODE.SNGL(IF((DATOS!$G$2:$G$20000=CONFIG_METADATA!$B$4)*(DATOS!$D$2:$D$20000=A314)*(DATOS!$I$2:$I$20000=B314)*(DATOS!$L$2:$L$20000="S"),DATOS!$K$2:$K$20000)),"—"),"")</f>
        <v>—</v>
      </c>
      <c r="K314" t="str" cm="1">
        <f t="array" ref="K314">IF(V314="Sí",IFERROR(_xlfn.MODE.SNGL(IF((DATOS!$G$2:$G$20000=CONFIG_METADATA!$B$4)*(DATOS!$D$2:$D$20000=A314)*(DATOS!$I$2:$I$20000=B314)*(DATOS!$L$2:$L$20000="N"),DATOS!$K$2:$K$20000)),"—"),"")</f>
        <v>—</v>
      </c>
      <c r="L314">
        <f>IF(V314="Sí",COUNTIFS(DATOS!G:G,CONFIG_METADATA!$B$4,DATOS!D:D,A314,DATOS!I:I,B314,DATOS!K:K,1),"")</f>
        <v>0</v>
      </c>
      <c r="M314">
        <f>IF(V314="Sí",COUNTIFS(DATOS!G:G,CONFIG_METADATA!$B$4,DATOS!D:D,A314,DATOS!I:I,B314,DATOS!K:K,2),"")</f>
        <v>0</v>
      </c>
      <c r="N314">
        <f>IF(V314="Sí",COUNTIFS(DATOS!G:G,CONFIG_METADATA!$B$4,DATOS!D:D,A314,DATOS!I:I,B314,DATOS!K:K,3),"")</f>
        <v>0</v>
      </c>
      <c r="O314">
        <f>IF(V314="Sí",COUNTIFS(DATOS!G:G,CONFIG_METADATA!$B$4,DATOS!D:D,A314,DATOS!I:I,B314,DATOS!K:K,4),"")</f>
        <v>0</v>
      </c>
      <c r="P314">
        <f>IF(V314="Sí",COUNTIFS(DATOS!G:G,CONFIG_METADATA!$B$4,DATOS!D:D,A314,DATOS!I:I,B314,DATOS!K:K,5),"")</f>
        <v>0</v>
      </c>
      <c r="Q314">
        <f>IF(V314="Sí",COUNTIFS(DATOS!G:G,CONFIG_METADATA!$B$4,DATOS!D:D,A314,DATOS!I:I,B314,DATOS!K:K,6),"")</f>
        <v>0</v>
      </c>
      <c r="R314">
        <f>IF(V314="Sí",COUNTIFS(DATOS!G:G,CONFIG_METADATA!$B$4,DATOS!D:D,A314,DATOS!I:I,B314,DATOS!K:K,7),"")</f>
        <v>0</v>
      </c>
      <c r="S314">
        <f>IF(V314="Sí",COUNTIFS(DATOS!G:G,CONFIG_METADATA!$B$4,DATOS!D:D,A314,DATOS!I:I,B314,DATOS!K:K,8),"")</f>
        <v>0</v>
      </c>
      <c r="T314">
        <f>IF(V314="Sí",COUNTIFS(DATOS!G:G,CONFIG_METADATA!$B$4,DATOS!D:D,A314,DATOS!I:I,B314,DATOS!K:K,9),"")</f>
        <v>0</v>
      </c>
      <c r="U314">
        <f>IF(V314="Sí",COUNTIFS(DATOS!G:G,CONFIG_METADATA!$B$4,DATOS!D:D,A314,DATOS!I:I,B314,DATOS!K:K,10),"")</f>
        <v>0</v>
      </c>
      <c r="V314" t="str">
        <f>IFERROR(IF(ISERROR(FIND(A314,VLOOKUP(B314,CONFIG_ASIGNATURAS!B:C,2,FALSE()))),"No","Sí"),"No")</f>
        <v>Sí</v>
      </c>
    </row>
    <row r="315" spans="1:22">
      <c r="A315" s="3" t="inlineStr">
        <is>
          <t xml:space="preserve">4EEM</t>
        </is>
      </c>
      <c r="B315" s="3" cm="1">
        <f t="array" ref="B315">IFERROR(INDEX(_xlfn._xlws.FILTER(CONFIG_ASIGNATURAS!$B$2:$B$61,(CONFIG_ASIGNATURAS!$G$2:$G$61="Sí")*ISNUMBER(SEARCH("4EEM",CONFIG_ASIGNATURAS!$C$2:$C$61))),59),"")</f>
      </c>
      <c r="C315" s="3">
        <f>IF(B315="","",IFERROR(IF(VLOOKUP(B315,CONFIG_ASIGNATURAS!$B$2:$F$61,5,FALSE())="Sí","Especialidad","Asignatura"),"Asignatura"))</f>
      </c>
      <c r="D315">
        <f>IF(V315="Sí",COUNTIFS(DATOS!G:G,CONFIG_METADATA!$B$4,DATOS!D:D,A315,DATOS!I:I,B315),"")</f>
        <v>0</v>
      </c>
      <c r="E315" s="14" t="str">
        <f>IF(V315="Sí",IFERROR(AVERAGEIFS(DATOS!K:K,DATOS!G:G,CONFIG_METADATA!$B$4,DATOS!D:D,A315,DATOS!I:I,B315),"—"),"")</f>
        <v>—</v>
      </c>
      <c r="F315" s="14" t="str" cm="1">
        <f t="array" ref="F315">IF(V315="Sí",IFERROR(_xlfn.STDEV.P(IF((DATOS!$G$2:$G$20000=CONFIG_METADATA!$B$4)*(DATOS!$D$2:$D$20000=A315)*(DATOS!$I$2:$I$20000=B315),DATOS!$K$2:$K$20000)),"—"),"")</f>
        <v>—</v>
      </c>
      <c r="G315" t="str" cm="1">
        <f t="array" ref="G315">IF(V315="Sí",IFERROR(_xlfn.MODE.SNGL(IF((DATOS!$G$2:$G$20000=CONFIG_METADATA!$B$4)*(DATOS!$D$2:$D$20000=A315)*(DATOS!$I$2:$I$20000=B315),DATOS!$K$2:$K$20000)),"—"),"")</f>
        <v>—</v>
      </c>
      <c r="H315" s="15" t="str">
        <f>IF(V315="Sí",IFERROR(COUNTIFS(DATOS!G:G,CONFIG_METADATA!$B$4,DATOS!D:D,A315,DATOS!I:I,B315,DATOS!L:L,"S")/COUNTIFS(DATOS!G:G,CONFIG_METADATA!$B$4,DATOS!D:D,A315,DATOS!I:I,B315),"—"),"")</f>
        <v>—</v>
      </c>
      <c r="I315" s="15" t="str">
        <f>IF(V315="Sí",IFERROR(COUNTIFS(DATOS!G:G,CONFIG_METADATA!$B$4,DATOS!D:D,A315,DATOS!I:I,B315,DATOS!L:L,"N")/COUNTIFS(DATOS!G:G,CONFIG_METADATA!$B$4,DATOS!D:D,A315,DATOS!I:I,B315),"—"),"")</f>
        <v>—</v>
      </c>
      <c r="J315" t="str" cm="1">
        <f t="array" ref="J315">IF(V315="Sí",IFERROR(_xlfn.MODE.SNGL(IF((DATOS!$G$2:$G$20000=CONFIG_METADATA!$B$4)*(DATOS!$D$2:$D$20000=A315)*(DATOS!$I$2:$I$20000=B315)*(DATOS!$L$2:$L$20000="S"),DATOS!$K$2:$K$20000)),"—"),"")</f>
        <v>—</v>
      </c>
      <c r="K315" t="str" cm="1">
        <f t="array" ref="K315">IF(V315="Sí",IFERROR(_xlfn.MODE.SNGL(IF((DATOS!$G$2:$G$20000=CONFIG_METADATA!$B$4)*(DATOS!$D$2:$D$20000=A315)*(DATOS!$I$2:$I$20000=B315)*(DATOS!$L$2:$L$20000="N"),DATOS!$K$2:$K$20000)),"—"),"")</f>
        <v>—</v>
      </c>
      <c r="L315">
        <f>IF(V315="Sí",COUNTIFS(DATOS!G:G,CONFIG_METADATA!$B$4,DATOS!D:D,A315,DATOS!I:I,B315,DATOS!K:K,1),"")</f>
        <v>0</v>
      </c>
      <c r="M315">
        <f>IF(V315="Sí",COUNTIFS(DATOS!G:G,CONFIG_METADATA!$B$4,DATOS!D:D,A315,DATOS!I:I,B315,DATOS!K:K,2),"")</f>
        <v>0</v>
      </c>
      <c r="N315">
        <f>IF(V315="Sí",COUNTIFS(DATOS!G:G,CONFIG_METADATA!$B$4,DATOS!D:D,A315,DATOS!I:I,B315,DATOS!K:K,3),"")</f>
        <v>0</v>
      </c>
      <c r="O315">
        <f>IF(V315="Sí",COUNTIFS(DATOS!G:G,CONFIG_METADATA!$B$4,DATOS!D:D,A315,DATOS!I:I,B315,DATOS!K:K,4),"")</f>
        <v>0</v>
      </c>
      <c r="P315">
        <f>IF(V315="Sí",COUNTIFS(DATOS!G:G,CONFIG_METADATA!$B$4,DATOS!D:D,A315,DATOS!I:I,B315,DATOS!K:K,5),"")</f>
        <v>0</v>
      </c>
      <c r="Q315">
        <f>IF(V315="Sí",COUNTIFS(DATOS!G:G,CONFIG_METADATA!$B$4,DATOS!D:D,A315,DATOS!I:I,B315,DATOS!K:K,6),"")</f>
        <v>0</v>
      </c>
      <c r="R315">
        <f>IF(V315="Sí",COUNTIFS(DATOS!G:G,CONFIG_METADATA!$B$4,DATOS!D:D,A315,DATOS!I:I,B315,DATOS!K:K,7),"")</f>
        <v>0</v>
      </c>
      <c r="S315">
        <f>IF(V315="Sí",COUNTIFS(DATOS!G:G,CONFIG_METADATA!$B$4,DATOS!D:D,A315,DATOS!I:I,B315,DATOS!K:K,8),"")</f>
        <v>0</v>
      </c>
      <c r="T315">
        <f>IF(V315="Sí",COUNTIFS(DATOS!G:G,CONFIG_METADATA!$B$4,DATOS!D:D,A315,DATOS!I:I,B315,DATOS!K:K,9),"")</f>
        <v>0</v>
      </c>
      <c r="U315">
        <f>IF(V315="Sí",COUNTIFS(DATOS!G:G,CONFIG_METADATA!$B$4,DATOS!D:D,A315,DATOS!I:I,B315,DATOS!K:K,10),"")</f>
        <v>0</v>
      </c>
      <c r="V315" t="str">
        <f>IFERROR(IF(ISERROR(FIND(A315,VLOOKUP(B315,CONFIG_ASIGNATURAS!B:C,2,FALSE()))),"No","Sí"),"No")</f>
        <v>Sí</v>
      </c>
    </row>
    <row r="316" spans="1:22">
      <c r="A316" s="3" t="inlineStr">
        <is>
          <t xml:space="preserve">4EEM</t>
        </is>
      </c>
      <c r="B316" s="3" cm="1">
        <f t="array" ref="B316">IFERROR(INDEX(_xlfn._xlws.FILTER(CONFIG_ASIGNATURAS!$B$2:$B$61,(CONFIG_ASIGNATURAS!$G$2:$G$61="Sí")*ISNUMBER(SEARCH("4EEM",CONFIG_ASIGNATURAS!$C$2:$C$61))),60),"")</f>
      </c>
      <c r="C316" s="3">
        <f>IF(B316="","",IFERROR(IF(VLOOKUP(B316,CONFIG_ASIGNATURAS!$B$2:$F$61,5,FALSE())="Sí","Especialidad","Asignatura"),"Asignatura"))</f>
      </c>
      <c r="D316">
        <f>IF(V316="Sí",COUNTIFS(DATOS!G:G,CONFIG_METADATA!$B$4,DATOS!D:D,A316,DATOS!I:I,B316),"")</f>
        <v>0</v>
      </c>
      <c r="E316" s="14" t="str">
        <f>IF(V316="Sí",IFERROR(AVERAGEIFS(DATOS!K:K,DATOS!G:G,CONFIG_METADATA!$B$4,DATOS!D:D,A316,DATOS!I:I,B316),"—"),"")</f>
        <v>—</v>
      </c>
      <c r="F316" s="14" t="str" cm="1">
        <f t="array" ref="F316">IF(V316="Sí",IFERROR(_xlfn.STDEV.P(IF((DATOS!$G$2:$G$20000=CONFIG_METADATA!$B$4)*(DATOS!$D$2:$D$20000=A316)*(DATOS!$I$2:$I$20000=B316),DATOS!$K$2:$K$20000)),"—"),"")</f>
        <v>—</v>
      </c>
      <c r="G316" t="str" cm="1">
        <f t="array" ref="G316">IF(V316="Sí",IFERROR(_xlfn.MODE.SNGL(IF((DATOS!$G$2:$G$20000=CONFIG_METADATA!$B$4)*(DATOS!$D$2:$D$20000=A316)*(DATOS!$I$2:$I$20000=B316),DATOS!$K$2:$K$20000)),"—"),"")</f>
        <v>—</v>
      </c>
      <c r="H316" s="15" t="str">
        <f>IF(V316="Sí",IFERROR(COUNTIFS(DATOS!G:G,CONFIG_METADATA!$B$4,DATOS!D:D,A316,DATOS!I:I,B316,DATOS!L:L,"S")/COUNTIFS(DATOS!G:G,CONFIG_METADATA!$B$4,DATOS!D:D,A316,DATOS!I:I,B316),"—"),"")</f>
        <v>—</v>
      </c>
      <c r="I316" s="15" t="str">
        <f>IF(V316="Sí",IFERROR(COUNTIFS(DATOS!G:G,CONFIG_METADATA!$B$4,DATOS!D:D,A316,DATOS!I:I,B316,DATOS!L:L,"N")/COUNTIFS(DATOS!G:G,CONFIG_METADATA!$B$4,DATOS!D:D,A316,DATOS!I:I,B316),"—"),"")</f>
        <v>—</v>
      </c>
      <c r="J316" t="str" cm="1">
        <f t="array" ref="J316">IF(V316="Sí",IFERROR(_xlfn.MODE.SNGL(IF((DATOS!$G$2:$G$20000=CONFIG_METADATA!$B$4)*(DATOS!$D$2:$D$20000=A316)*(DATOS!$I$2:$I$20000=B316)*(DATOS!$L$2:$L$20000="S"),DATOS!$K$2:$K$20000)),"—"),"")</f>
        <v>—</v>
      </c>
      <c r="K316" t="str" cm="1">
        <f t="array" ref="K316">IF(V316="Sí",IFERROR(_xlfn.MODE.SNGL(IF((DATOS!$G$2:$G$20000=CONFIG_METADATA!$B$4)*(DATOS!$D$2:$D$20000=A316)*(DATOS!$I$2:$I$20000=B316)*(DATOS!$L$2:$L$20000="N"),DATOS!$K$2:$K$20000)),"—"),"")</f>
        <v>—</v>
      </c>
      <c r="L316">
        <f>IF(V316="Sí",COUNTIFS(DATOS!G:G,CONFIG_METADATA!$B$4,DATOS!D:D,A316,DATOS!I:I,B316,DATOS!K:K,1),"")</f>
        <v>0</v>
      </c>
      <c r="M316">
        <f>IF(V316="Sí",COUNTIFS(DATOS!G:G,CONFIG_METADATA!$B$4,DATOS!D:D,A316,DATOS!I:I,B316,DATOS!K:K,2),"")</f>
        <v>0</v>
      </c>
      <c r="N316">
        <f>IF(V316="Sí",COUNTIFS(DATOS!G:G,CONFIG_METADATA!$B$4,DATOS!D:D,A316,DATOS!I:I,B316,DATOS!K:K,3),"")</f>
        <v>0</v>
      </c>
      <c r="O316">
        <f>IF(V316="Sí",COUNTIFS(DATOS!G:G,CONFIG_METADATA!$B$4,DATOS!D:D,A316,DATOS!I:I,B316,DATOS!K:K,4),"")</f>
        <v>0</v>
      </c>
      <c r="P316">
        <f>IF(V316="Sí",COUNTIFS(DATOS!G:G,CONFIG_METADATA!$B$4,DATOS!D:D,A316,DATOS!I:I,B316,DATOS!K:K,5),"")</f>
        <v>0</v>
      </c>
      <c r="Q316">
        <f>IF(V316="Sí",COUNTIFS(DATOS!G:G,CONFIG_METADATA!$B$4,DATOS!D:D,A316,DATOS!I:I,B316,DATOS!K:K,6),"")</f>
        <v>0</v>
      </c>
      <c r="R316">
        <f>IF(V316="Sí",COUNTIFS(DATOS!G:G,CONFIG_METADATA!$B$4,DATOS!D:D,A316,DATOS!I:I,B316,DATOS!K:K,7),"")</f>
        <v>0</v>
      </c>
      <c r="S316">
        <f>IF(V316="Sí",COUNTIFS(DATOS!G:G,CONFIG_METADATA!$B$4,DATOS!D:D,A316,DATOS!I:I,B316,DATOS!K:K,8),"")</f>
        <v>0</v>
      </c>
      <c r="T316">
        <f>IF(V316="Sí",COUNTIFS(DATOS!G:G,CONFIG_METADATA!$B$4,DATOS!D:D,A316,DATOS!I:I,B316,DATOS!K:K,9),"")</f>
        <v>0</v>
      </c>
      <c r="U316">
        <f>IF(V316="Sí",COUNTIFS(DATOS!G:G,CONFIG_METADATA!$B$4,DATOS!D:D,A316,DATOS!I:I,B316,DATOS!K:K,10),"")</f>
        <v>0</v>
      </c>
      <c r="V316" t="str">
        <f>IFERROR(IF(ISERROR(FIND(A316,VLOOKUP(B316,CONFIG_ASIGNATURAS!B:C,2,FALSE()))),"No","Sí"),"No")</f>
        <v>Sí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06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IF(CALC_EEM!$B2="","",IF(CALC_EEM!A2="GLOBAL","GLOBAL",IF(CALC_EEM!C2="Total","CURSO_TOTAL",IF(CALC_EEM!C2="TotalEsp","CURSO_ESP",IF(CALC_EEM!C2="TotalNoEsp","CURSO_NOESP","CURSO_ASIG")))))</f>
      </c>
      <c r="B9" t="str">
        <f>IF(CALC_EEM!$B2="","",CALC_EEM!A2)</f>
      </c>
      <c r="C9" t="str">
        <f>IF(CALC_EEM!$B2="","",CALC_EEM!B2)</f>
      </c>
      <c r="D9">
        <f>IF(CALC_EEM!$B2="","",CALC_EEM!D2)</f>
      </c>
      <c r="E9" s="14" t="str">
        <f>IF(CALC_EEM!$B2="","",CALC_EEM!E2)</f>
      </c>
      <c r="F9" s="14" t="str">
        <f>IF(CALC_EEM!$B2="","",CALC_EEM!F2)</f>
      </c>
      <c r="G9" t="str">
        <f>IF(CALC_EEM!$B2="","",CALC_EEM!G2)</f>
      </c>
      <c r="H9" s="16" t="str">
        <f>IF(CALC_EEM!$B2="","",CALC_EEM!H2)</f>
      </c>
      <c r="I9" s="16" t="str">
        <f>IF(CALC_EEM!$B2="","",CALC_EEM!I2)</f>
      </c>
      <c r="J9" t="str">
        <f>IF(CALC_EEM!$B2="","",CALC_EEM!J2)</f>
      </c>
      <c r="K9" t="str">
        <f>IF(CALC_EEM!$B2="","",CALC_EEM!K2)</f>
      </c>
      <c r="L9">
        <f>IF(CALC_EEM!$B2="","",CALC_EEM!L2)</f>
      </c>
      <c r="M9">
        <f>IF(CALC_EEM!$B2="","",CALC_EEM!M2)</f>
      </c>
      <c r="N9">
        <f>IF(CALC_EEM!$B2="","",CALC_EEM!N2)</f>
      </c>
      <c r="O9">
        <f>IF(CALC_EEM!$B2="","",CALC_EEM!O2)</f>
      </c>
      <c r="P9">
        <f>IF(CALC_EEM!$B2="","",CALC_EEM!P2)</f>
      </c>
      <c r="Q9">
        <f>IF(CALC_EEM!$B2="","",CALC_EEM!Q2)</f>
      </c>
      <c r="R9">
        <f>IF(CALC_EEM!$B2="","",CALC_EEM!R2)</f>
      </c>
      <c r="S9">
        <f>IF(CALC_EEM!$B2="","",CALC_EEM!S2)</f>
      </c>
      <c r="T9">
        <f>IF(CALC_EEM!$B2="","",CALC_EEM!T2)</f>
      </c>
      <c r="U9">
        <f>IF(CALC_EEM!$B2="","",CALC_EEM!U2)</f>
      </c>
    </row>
    <row r="10" spans="1:24">
      <c r="A10" t="str">
        <f>IF(CALC_EEM!$B3="","",IF(CALC_EEM!A3="GLOBAL","GLOBAL",IF(CALC_EEM!C3="Total","CURSO_TOTAL",IF(CALC_EEM!C3="TotalEsp","CURSO_ESP",IF(CALC_EEM!C3="TotalNoEsp","CURSO_NOESP","CURSO_ASIG")))))</f>
      </c>
      <c r="B10" t="str">
        <f>IF(CALC_EEM!$B3="","",CALC_EEM!A3)</f>
      </c>
      <c r="C10" t="str">
        <f>IF(CALC_EEM!$B3="","",CALC_EEM!B3)</f>
      </c>
      <c r="D10">
        <f>IF(CALC_EEM!$B3="","",CALC_EEM!D3)</f>
      </c>
      <c r="E10" s="14" t="str">
        <f>IF(CALC_EEM!$B3="","",CALC_EEM!E3)</f>
      </c>
      <c r="F10" s="14" t="str">
        <f>IF(CALC_EEM!$B3="","",CALC_EEM!F3)</f>
      </c>
      <c r="G10" t="str">
        <f>IF(CALC_EEM!$B3="","",CALC_EEM!G3)</f>
      </c>
      <c r="H10" s="16" t="str">
        <f>IF(CALC_EEM!$B3="","",CALC_EEM!H3)</f>
      </c>
      <c r="I10" s="16" t="str">
        <f>IF(CALC_EEM!$B3="","",CALC_EEM!I3)</f>
      </c>
      <c r="J10" t="str">
        <f>IF(CALC_EEM!$B3="","",CALC_EEM!J3)</f>
      </c>
      <c r="K10" t="str">
        <f>IF(CALC_EEM!$B3="","",CALC_EEM!K3)</f>
      </c>
      <c r="L10">
        <f>IF(CALC_EEM!$B3="","",CALC_EEM!L3)</f>
      </c>
      <c r="M10">
        <f>IF(CALC_EEM!$B3="","",CALC_EEM!M3)</f>
      </c>
      <c r="N10">
        <f>IF(CALC_EEM!$B3="","",CALC_EEM!N3)</f>
      </c>
      <c r="O10">
        <f>IF(CALC_EEM!$B3="","",CALC_EEM!O3)</f>
      </c>
      <c r="P10">
        <f>IF(CALC_EEM!$B3="","",CALC_EEM!P3)</f>
      </c>
      <c r="Q10">
        <f>IF(CALC_EEM!$B3="","",CALC_EEM!Q3)</f>
      </c>
      <c r="R10">
        <f>IF(CALC_EEM!$B3="","",CALC_EEM!R3)</f>
      </c>
      <c r="S10">
        <f>IF(CALC_EEM!$B3="","",CALC_EEM!S3)</f>
      </c>
      <c r="T10">
        <f>IF(CALC_EEM!$B3="","",CALC_EEM!T3)</f>
      </c>
      <c r="U10">
        <f>IF(CALC_EEM!$B3="","",CALC_EEM!U3)</f>
      </c>
    </row>
    <row r="11" spans="1:24">
      <c r="A11" t="str">
        <f>IF(CALC_EEM!$B4="","",IF(CALC_EEM!A4="GLOBAL","GLOBAL",IF(CALC_EEM!C4="Total","CURSO_TOTAL",IF(CALC_EEM!C4="TotalEsp","CURSO_ESP",IF(CALC_EEM!C4="TotalNoEsp","CURSO_NOESP","CURSO_ASIG")))))</f>
      </c>
      <c r="B11" t="str">
        <f>IF(CALC_EEM!$B4="","",CALC_EEM!A4)</f>
      </c>
      <c r="C11" t="str">
        <f>IF(CALC_EEM!$B4="","",CALC_EEM!B4)</f>
      </c>
      <c r="D11">
        <f>IF(CALC_EEM!$B4="","",CALC_EEM!D4)</f>
      </c>
      <c r="E11" s="14" t="str">
        <f>IF(CALC_EEM!$B4="","",CALC_EEM!E4)</f>
      </c>
      <c r="F11" s="14" t="str">
        <f>IF(CALC_EEM!$B4="","",CALC_EEM!F4)</f>
      </c>
      <c r="G11" t="str">
        <f>IF(CALC_EEM!$B4="","",CALC_EEM!G4)</f>
      </c>
      <c r="H11" s="16" t="str">
        <f>IF(CALC_EEM!$B4="","",CALC_EEM!H4)</f>
      </c>
      <c r="I11" s="16" t="str">
        <f>IF(CALC_EEM!$B4="","",CALC_EEM!I4)</f>
      </c>
      <c r="J11" t="str">
        <f>IF(CALC_EEM!$B4="","",CALC_EEM!J4)</f>
      </c>
      <c r="K11" t="str">
        <f>IF(CALC_EEM!$B4="","",CALC_EEM!K4)</f>
      </c>
      <c r="L11">
        <f>IF(CALC_EEM!$B4="","",CALC_EEM!L4)</f>
      </c>
      <c r="M11">
        <f>IF(CALC_EEM!$B4="","",CALC_EEM!M4)</f>
      </c>
      <c r="N11">
        <f>IF(CALC_EEM!$B4="","",CALC_EEM!N4)</f>
      </c>
      <c r="O11">
        <f>IF(CALC_EEM!$B4="","",CALC_EEM!O4)</f>
      </c>
      <c r="P11">
        <f>IF(CALC_EEM!$B4="","",CALC_EEM!P4)</f>
      </c>
      <c r="Q11">
        <f>IF(CALC_EEM!$B4="","",CALC_EEM!Q4)</f>
      </c>
      <c r="R11">
        <f>IF(CALC_EEM!$B4="","",CALC_EEM!R4)</f>
      </c>
      <c r="S11">
        <f>IF(CALC_EEM!$B4="","",CALC_EEM!S4)</f>
      </c>
      <c r="T11">
        <f>IF(CALC_EEM!$B4="","",CALC_EEM!T4)</f>
      </c>
      <c r="U11">
        <f>IF(CALC_EEM!$B4="","",CALC_EEM!U4)</f>
      </c>
    </row>
    <row r="12" spans="1:24">
      <c r="A12" t="str">
        <f>IF(CALC_EEM!$B5="","",IF(CALC_EEM!A5="GLOBAL","GLOBAL",IF(CALC_EEM!C5="Total","CURSO_TOTAL",IF(CALC_EEM!C5="TotalEsp","CURSO_ESP",IF(CALC_EEM!C5="TotalNoEsp","CURSO_NOESP","CURSO_ASIG")))))</f>
      </c>
      <c r="B12" t="str">
        <f>IF(CALC_EEM!$B5="","",CALC_EEM!A5)</f>
      </c>
      <c r="C12" t="str">
        <f>IF(CALC_EEM!$B5="","",CALC_EEM!B5)</f>
      </c>
      <c r="D12">
        <f>IF(CALC_EEM!$B5="","",CALC_EEM!D5)</f>
      </c>
      <c r="E12" s="14" t="str">
        <f>IF(CALC_EEM!$B5="","",CALC_EEM!E5)</f>
      </c>
      <c r="F12" s="14" t="str">
        <f>IF(CALC_EEM!$B5="","",CALC_EEM!F5)</f>
      </c>
      <c r="G12" t="str">
        <f>IF(CALC_EEM!$B5="","",CALC_EEM!G5)</f>
      </c>
      <c r="H12" s="16" t="str">
        <f>IF(CALC_EEM!$B5="","",CALC_EEM!H5)</f>
      </c>
      <c r="I12" s="16" t="str">
        <f>IF(CALC_EEM!$B5="","",CALC_EEM!I5)</f>
      </c>
      <c r="J12" t="str">
        <f>IF(CALC_EEM!$B5="","",CALC_EEM!J5)</f>
      </c>
      <c r="K12" t="str">
        <f>IF(CALC_EEM!$B5="","",CALC_EEM!K5)</f>
      </c>
      <c r="L12">
        <f>IF(CALC_EEM!$B5="","",CALC_EEM!L5)</f>
      </c>
      <c r="M12">
        <f>IF(CALC_EEM!$B5="","",CALC_EEM!M5)</f>
      </c>
      <c r="N12">
        <f>IF(CALC_EEM!$B5="","",CALC_EEM!N5)</f>
      </c>
      <c r="O12">
        <f>IF(CALC_EEM!$B5="","",CALC_EEM!O5)</f>
      </c>
      <c r="P12">
        <f>IF(CALC_EEM!$B5="","",CALC_EEM!P5)</f>
      </c>
      <c r="Q12">
        <f>IF(CALC_EEM!$B5="","",CALC_EEM!Q5)</f>
      </c>
      <c r="R12">
        <f>IF(CALC_EEM!$B5="","",CALC_EEM!R5)</f>
      </c>
      <c r="S12">
        <f>IF(CALC_EEM!$B5="","",CALC_EEM!S5)</f>
      </c>
      <c r="T12">
        <f>IF(CALC_EEM!$B5="","",CALC_EEM!T5)</f>
      </c>
      <c r="U12">
        <f>IF(CALC_EEM!$B5="","",CALC_EEM!U5)</f>
      </c>
    </row>
    <row r="13" spans="1:24">
      <c r="A13" t="str">
        <f>IF(CALC_EEM!$B6="","",IF(CALC_EEM!A6="GLOBAL","GLOBAL",IF(CALC_EEM!C6="Total","CURSO_TOTAL",IF(CALC_EEM!C6="TotalEsp","CURSO_ESP",IF(CALC_EEM!C6="TotalNoEsp","CURSO_NOESP","CURSO_ASIG")))))</f>
      </c>
      <c r="B13" t="str">
        <f>IF(CALC_EEM!$B6="","",CALC_EEM!A6)</f>
      </c>
      <c r="C13" t="str">
        <f>IF(CALC_EEM!$B6="","",CALC_EEM!B6)</f>
      </c>
      <c r="D13">
        <f>IF(CALC_EEM!$B6="","",CALC_EEM!D6)</f>
      </c>
      <c r="E13" s="14" t="str">
        <f>IF(CALC_EEM!$B6="","",CALC_EEM!E6)</f>
      </c>
      <c r="F13" s="14" t="str">
        <f>IF(CALC_EEM!$B6="","",CALC_EEM!F6)</f>
      </c>
      <c r="G13" t="str">
        <f>IF(CALC_EEM!$B6="","",CALC_EEM!G6)</f>
      </c>
      <c r="H13" s="16" t="str">
        <f>IF(CALC_EEM!$B6="","",CALC_EEM!H6)</f>
      </c>
      <c r="I13" s="16" t="str">
        <f>IF(CALC_EEM!$B6="","",CALC_EEM!I6)</f>
      </c>
      <c r="J13" t="str">
        <f>IF(CALC_EEM!$B6="","",CALC_EEM!J6)</f>
      </c>
      <c r="K13" t="str">
        <f>IF(CALC_EEM!$B6="","",CALC_EEM!K6)</f>
      </c>
      <c r="L13">
        <f>IF(CALC_EEM!$B6="","",CALC_EEM!L6)</f>
      </c>
      <c r="M13">
        <f>IF(CALC_EEM!$B6="","",CALC_EEM!M6)</f>
      </c>
      <c r="N13">
        <f>IF(CALC_EEM!$B6="","",CALC_EEM!N6)</f>
      </c>
      <c r="O13">
        <f>IF(CALC_EEM!$B6="","",CALC_EEM!O6)</f>
      </c>
      <c r="P13">
        <f>IF(CALC_EEM!$B6="","",CALC_EEM!P6)</f>
      </c>
      <c r="Q13">
        <f>IF(CALC_EEM!$B6="","",CALC_EEM!Q6)</f>
      </c>
      <c r="R13">
        <f>IF(CALC_EEM!$B6="","",CALC_EEM!R6)</f>
      </c>
      <c r="S13">
        <f>IF(CALC_EEM!$B6="","",CALC_EEM!S6)</f>
      </c>
      <c r="T13">
        <f>IF(CALC_EEM!$B6="","",CALC_EEM!T6)</f>
      </c>
      <c r="U13">
        <f>IF(CALC_EEM!$B6="","",CALC_EEM!U6)</f>
      </c>
    </row>
    <row r="14" spans="1:24">
      <c r="A14" t="str">
        <f>IF(CALC_EEM!$B7="","",IF(CALC_EEM!A7="GLOBAL","GLOBAL",IF(CALC_EEM!C7="Total","CURSO_TOTAL",IF(CALC_EEM!C7="TotalEsp","CURSO_ESP",IF(CALC_EEM!C7="TotalNoEsp","CURSO_NOESP","CURSO_ASIG")))))</f>
      </c>
      <c r="B14" t="str">
        <f>IF(CALC_EEM!$B7="","",CALC_EEM!A7)</f>
      </c>
      <c r="C14" t="str">
        <f>IF(CALC_EEM!$B7="","",CALC_EEM!B7)</f>
      </c>
      <c r="D14">
        <f>IF(CALC_EEM!$B7="","",CALC_EEM!D7)</f>
      </c>
      <c r="E14" s="14" t="str">
        <f>IF(CALC_EEM!$B7="","",CALC_EEM!E7)</f>
      </c>
      <c r="F14" s="14" t="str">
        <f>IF(CALC_EEM!$B7="","",CALC_EEM!F7)</f>
      </c>
      <c r="G14" t="str">
        <f>IF(CALC_EEM!$B7="","",CALC_EEM!G7)</f>
      </c>
      <c r="H14" s="16" t="str">
        <f>IF(CALC_EEM!$B7="","",CALC_EEM!H7)</f>
      </c>
      <c r="I14" s="16" t="str">
        <f>IF(CALC_EEM!$B7="","",CALC_EEM!I7)</f>
      </c>
      <c r="J14" t="str">
        <f>IF(CALC_EEM!$B7="","",CALC_EEM!J7)</f>
      </c>
      <c r="K14" t="str">
        <f>IF(CALC_EEM!$B7="","",CALC_EEM!K7)</f>
      </c>
      <c r="L14">
        <f>IF(CALC_EEM!$B7="","",CALC_EEM!L7)</f>
      </c>
      <c r="M14">
        <f>IF(CALC_EEM!$B7="","",CALC_EEM!M7)</f>
      </c>
      <c r="N14">
        <f>IF(CALC_EEM!$B7="","",CALC_EEM!N7)</f>
      </c>
      <c r="O14">
        <f>IF(CALC_EEM!$B7="","",CALC_EEM!O7)</f>
      </c>
      <c r="P14">
        <f>IF(CALC_EEM!$B7="","",CALC_EEM!P7)</f>
      </c>
      <c r="Q14">
        <f>IF(CALC_EEM!$B7="","",CALC_EEM!Q7)</f>
      </c>
      <c r="R14">
        <f>IF(CALC_EEM!$B7="","",CALC_EEM!R7)</f>
      </c>
      <c r="S14">
        <f>IF(CALC_EEM!$B7="","",CALC_EEM!S7)</f>
      </c>
      <c r="T14">
        <f>IF(CALC_EEM!$B7="","",CALC_EEM!T7)</f>
      </c>
      <c r="U14">
        <f>IF(CALC_EEM!$B7="","",CALC_EEM!U7)</f>
      </c>
    </row>
    <row r="15" spans="1:24">
      <c r="A15" t="str">
        <f>IF(CALC_EEM!$B8="","",IF(CALC_EEM!A8="GLOBAL","GLOBAL",IF(CALC_EEM!C8="Total","CURSO_TOTAL",IF(CALC_EEM!C8="TotalEsp","CURSO_ESP",IF(CALC_EEM!C8="TotalNoEsp","CURSO_NOESP","CURSO_ASIG")))))</f>
      </c>
      <c r="B15" t="str">
        <f>IF(CALC_EEM!$B8="","",CALC_EEM!A8)</f>
      </c>
      <c r="C15" t="str">
        <f>IF(CALC_EEM!$B8="","",CALC_EEM!B8)</f>
      </c>
      <c r="D15">
        <f>IF(CALC_EEM!$B8="","",CALC_EEM!D8)</f>
      </c>
      <c r="E15" s="14" t="str">
        <f>IF(CALC_EEM!$B8="","",CALC_EEM!E8)</f>
      </c>
      <c r="F15" s="14" t="str">
        <f>IF(CALC_EEM!$B8="","",CALC_EEM!F8)</f>
      </c>
      <c r="G15" t="str">
        <f>IF(CALC_EEM!$B8="","",CALC_EEM!G8)</f>
      </c>
      <c r="H15" s="16" t="str">
        <f>IF(CALC_EEM!$B8="","",CALC_EEM!H8)</f>
      </c>
      <c r="I15" s="16" t="str">
        <f>IF(CALC_EEM!$B8="","",CALC_EEM!I8)</f>
      </c>
      <c r="J15" t="str">
        <f>IF(CALC_EEM!$B8="","",CALC_EEM!J8)</f>
      </c>
      <c r="K15" t="str">
        <f>IF(CALC_EEM!$B8="","",CALC_EEM!K8)</f>
      </c>
      <c r="L15">
        <f>IF(CALC_EEM!$B8="","",CALC_EEM!L8)</f>
      </c>
      <c r="M15">
        <f>IF(CALC_EEM!$B8="","",CALC_EEM!M8)</f>
      </c>
      <c r="N15">
        <f>IF(CALC_EEM!$B8="","",CALC_EEM!N8)</f>
      </c>
      <c r="O15">
        <f>IF(CALC_EEM!$B8="","",CALC_EEM!O8)</f>
      </c>
      <c r="P15">
        <f>IF(CALC_EEM!$B8="","",CALC_EEM!P8)</f>
      </c>
      <c r="Q15">
        <f>IF(CALC_EEM!$B8="","",CALC_EEM!Q8)</f>
      </c>
      <c r="R15">
        <f>IF(CALC_EEM!$B8="","",CALC_EEM!R8)</f>
      </c>
      <c r="S15">
        <f>IF(CALC_EEM!$B8="","",CALC_EEM!S8)</f>
      </c>
      <c r="T15">
        <f>IF(CALC_EEM!$B8="","",CALC_EEM!T8)</f>
      </c>
      <c r="U15">
        <f>IF(CALC_EEM!$B8="","",CALC_EEM!U8)</f>
      </c>
    </row>
    <row r="16" spans="1:24">
      <c r="A16" t="str">
        <f>IF(CALC_EEM!$B9="","",IF(CALC_EEM!A9="GLOBAL","GLOBAL",IF(CALC_EEM!C9="Total","CURSO_TOTAL",IF(CALC_EEM!C9="TotalEsp","CURSO_ESP",IF(CALC_EEM!C9="TotalNoEsp","CURSO_NOESP","CURSO_ASIG")))))</f>
      </c>
      <c r="B16" t="str">
        <f>IF(CALC_EEM!$B9="","",CALC_EEM!A9)</f>
      </c>
      <c r="C16" t="str">
        <f>IF(CALC_EEM!$B9="","",CALC_EEM!B9)</f>
      </c>
      <c r="D16">
        <f>IF(CALC_EEM!$B9="","",CALC_EEM!D9)</f>
      </c>
      <c r="E16" s="14" t="str">
        <f>IF(CALC_EEM!$B9="","",CALC_EEM!E9)</f>
      </c>
      <c r="F16" s="14" t="str">
        <f>IF(CALC_EEM!$B9="","",CALC_EEM!F9)</f>
      </c>
      <c r="G16" t="str">
        <f>IF(CALC_EEM!$B9="","",CALC_EEM!G9)</f>
      </c>
      <c r="H16" s="16" t="str">
        <f>IF(CALC_EEM!$B9="","",CALC_EEM!H9)</f>
      </c>
      <c r="I16" s="16" t="str">
        <f>IF(CALC_EEM!$B9="","",CALC_EEM!I9)</f>
      </c>
      <c r="J16" t="str">
        <f>IF(CALC_EEM!$B9="","",CALC_EEM!J9)</f>
      </c>
      <c r="K16" t="str">
        <f>IF(CALC_EEM!$B9="","",CALC_EEM!K9)</f>
      </c>
      <c r="L16">
        <f>IF(CALC_EEM!$B9="","",CALC_EEM!L9)</f>
      </c>
      <c r="M16">
        <f>IF(CALC_EEM!$B9="","",CALC_EEM!M9)</f>
      </c>
      <c r="N16">
        <f>IF(CALC_EEM!$B9="","",CALC_EEM!N9)</f>
      </c>
      <c r="O16">
        <f>IF(CALC_EEM!$B9="","",CALC_EEM!O9)</f>
      </c>
      <c r="P16">
        <f>IF(CALC_EEM!$B9="","",CALC_EEM!P9)</f>
      </c>
      <c r="Q16">
        <f>IF(CALC_EEM!$B9="","",CALC_EEM!Q9)</f>
      </c>
      <c r="R16">
        <f>IF(CALC_EEM!$B9="","",CALC_EEM!R9)</f>
      </c>
      <c r="S16">
        <f>IF(CALC_EEM!$B9="","",CALC_EEM!S9)</f>
      </c>
      <c r="T16">
        <f>IF(CALC_EEM!$B9="","",CALC_EEM!T9)</f>
      </c>
      <c r="U16">
        <f>IF(CALC_EEM!$B9="","",CALC_EEM!U9)</f>
      </c>
    </row>
    <row r="17" spans="1:24">
      <c r="A17" t="str">
        <f>IF(CALC_EEM!$B10="","",IF(CALC_EEM!A10="GLOBAL","GLOBAL",IF(CALC_EEM!C10="Total","CURSO_TOTAL",IF(CALC_EEM!C10="TotalEsp","CURSO_ESP",IF(CALC_EEM!C10="TotalNoEsp","CURSO_NOESP","CURSO_ASIG")))))</f>
      </c>
      <c r="B17" t="str">
        <f>IF(CALC_EEM!$B10="","",CALC_EEM!A10)</f>
      </c>
      <c r="C17" t="str">
        <f>IF(CALC_EEM!$B10="","",CALC_EEM!B10)</f>
      </c>
      <c r="D17">
        <f>IF(CALC_EEM!$B10="","",CALC_EEM!D10)</f>
      </c>
      <c r="E17" s="14" t="str">
        <f>IF(CALC_EEM!$B10="","",CALC_EEM!E10)</f>
      </c>
      <c r="F17" s="14" t="str">
        <f>IF(CALC_EEM!$B10="","",CALC_EEM!F10)</f>
      </c>
      <c r="G17" t="str">
        <f>IF(CALC_EEM!$B10="","",CALC_EEM!G10)</f>
      </c>
      <c r="H17" s="16" t="str">
        <f>IF(CALC_EEM!$B10="","",CALC_EEM!H10)</f>
      </c>
      <c r="I17" s="16" t="str">
        <f>IF(CALC_EEM!$B10="","",CALC_EEM!I10)</f>
      </c>
      <c r="J17" t="str">
        <f>IF(CALC_EEM!$B10="","",CALC_EEM!J10)</f>
      </c>
      <c r="K17" t="str">
        <f>IF(CALC_EEM!$B10="","",CALC_EEM!K10)</f>
      </c>
      <c r="L17">
        <f>IF(CALC_EEM!$B10="","",CALC_EEM!L10)</f>
      </c>
      <c r="M17">
        <f>IF(CALC_EEM!$B10="","",CALC_EEM!M10)</f>
      </c>
      <c r="N17">
        <f>IF(CALC_EEM!$B10="","",CALC_EEM!N10)</f>
      </c>
      <c r="O17">
        <f>IF(CALC_EEM!$B10="","",CALC_EEM!O10)</f>
      </c>
      <c r="P17">
        <f>IF(CALC_EEM!$B10="","",CALC_EEM!P10)</f>
      </c>
      <c r="Q17">
        <f>IF(CALC_EEM!$B10="","",CALC_EEM!Q10)</f>
      </c>
      <c r="R17">
        <f>IF(CALC_EEM!$B10="","",CALC_EEM!R10)</f>
      </c>
      <c r="S17">
        <f>IF(CALC_EEM!$B10="","",CALC_EEM!S10)</f>
      </c>
      <c r="T17">
        <f>IF(CALC_EEM!$B10="","",CALC_EEM!T10)</f>
      </c>
      <c r="U17">
        <f>IF(CALC_EEM!$B10="","",CALC_EEM!U10)</f>
      </c>
    </row>
    <row r="18" spans="1:24">
      <c r="A18" t="str">
        <f>IF(CALC_EEM!$B11="","",IF(CALC_EEM!A11="GLOBAL","GLOBAL",IF(CALC_EEM!C11="Total","CURSO_TOTAL",IF(CALC_EEM!C11="TotalEsp","CURSO_ESP",IF(CALC_EEM!C11="TotalNoEsp","CURSO_NOESP","CURSO_ASIG")))))</f>
      </c>
      <c r="B18" t="str">
        <f>IF(CALC_EEM!$B11="","",CALC_EEM!A11)</f>
      </c>
      <c r="C18" t="str">
        <f>IF(CALC_EEM!$B11="","",CALC_EEM!B11)</f>
      </c>
      <c r="D18">
        <f>IF(CALC_EEM!$B11="","",CALC_EEM!D11)</f>
      </c>
      <c r="E18" s="14" t="str">
        <f>IF(CALC_EEM!$B11="","",CALC_EEM!E11)</f>
      </c>
      <c r="F18" s="14" t="str">
        <f>IF(CALC_EEM!$B11="","",CALC_EEM!F11)</f>
      </c>
      <c r="G18" t="str">
        <f>IF(CALC_EEM!$B11="","",CALC_EEM!G11)</f>
      </c>
      <c r="H18" s="16" t="str">
        <f>IF(CALC_EEM!$B11="","",CALC_EEM!H11)</f>
      </c>
      <c r="I18" s="16" t="str">
        <f>IF(CALC_EEM!$B11="","",CALC_EEM!I11)</f>
      </c>
      <c r="J18" t="str">
        <f>IF(CALC_EEM!$B11="","",CALC_EEM!J11)</f>
      </c>
      <c r="K18" t="str">
        <f>IF(CALC_EEM!$B11="","",CALC_EEM!K11)</f>
      </c>
      <c r="L18">
        <f>IF(CALC_EEM!$B11="","",CALC_EEM!L11)</f>
      </c>
      <c r="M18">
        <f>IF(CALC_EEM!$B11="","",CALC_EEM!M11)</f>
      </c>
      <c r="N18">
        <f>IF(CALC_EEM!$B11="","",CALC_EEM!N11)</f>
      </c>
      <c r="O18">
        <f>IF(CALC_EEM!$B11="","",CALC_EEM!O11)</f>
      </c>
      <c r="P18">
        <f>IF(CALC_EEM!$B11="","",CALC_EEM!P11)</f>
      </c>
      <c r="Q18">
        <f>IF(CALC_EEM!$B11="","",CALC_EEM!Q11)</f>
      </c>
      <c r="R18">
        <f>IF(CALC_EEM!$B11="","",CALC_EEM!R11)</f>
      </c>
      <c r="S18">
        <f>IF(CALC_EEM!$B11="","",CALC_EEM!S11)</f>
      </c>
      <c r="T18">
        <f>IF(CALC_EEM!$B11="","",CALC_EEM!T11)</f>
      </c>
      <c r="U18">
        <f>IF(CALC_EEM!$B11="","",CALC_EEM!U11)</f>
      </c>
    </row>
    <row r="19" spans="1:24">
      <c r="A19" t="str">
        <f>IF(CALC_EEM!$B12="","",IF(CALC_EEM!A12="GLOBAL","GLOBAL",IF(CALC_EEM!C12="Total","CURSO_TOTAL",IF(CALC_EEM!C12="TotalEsp","CURSO_ESP",IF(CALC_EEM!C12="TotalNoEsp","CURSO_NOESP","CURSO_ASIG")))))</f>
      </c>
      <c r="B19" t="str">
        <f>IF(CALC_EEM!$B12="","",CALC_EEM!A12)</f>
      </c>
      <c r="C19" t="str">
        <f>IF(CALC_EEM!$B12="","",CALC_EEM!B12)</f>
      </c>
      <c r="D19">
        <f>IF(CALC_EEM!$B12="","",CALC_EEM!D12)</f>
      </c>
      <c r="E19" s="14" t="str">
        <f>IF(CALC_EEM!$B12="","",CALC_EEM!E12)</f>
      </c>
      <c r="F19" s="14" t="str">
        <f>IF(CALC_EEM!$B12="","",CALC_EEM!F12)</f>
      </c>
      <c r="G19" t="str">
        <f>IF(CALC_EEM!$B12="","",CALC_EEM!G12)</f>
      </c>
      <c r="H19" s="16" t="str">
        <f>IF(CALC_EEM!$B12="","",CALC_EEM!H12)</f>
      </c>
      <c r="I19" s="16" t="str">
        <f>IF(CALC_EEM!$B12="","",CALC_EEM!I12)</f>
      </c>
      <c r="J19" t="str">
        <f>IF(CALC_EEM!$B12="","",CALC_EEM!J12)</f>
      </c>
      <c r="K19" t="str">
        <f>IF(CALC_EEM!$B12="","",CALC_EEM!K12)</f>
      </c>
      <c r="L19">
        <f>IF(CALC_EEM!$B12="","",CALC_EEM!L12)</f>
      </c>
      <c r="M19">
        <f>IF(CALC_EEM!$B12="","",CALC_EEM!M12)</f>
      </c>
      <c r="N19">
        <f>IF(CALC_EEM!$B12="","",CALC_EEM!N12)</f>
      </c>
      <c r="O19">
        <f>IF(CALC_EEM!$B12="","",CALC_EEM!O12)</f>
      </c>
      <c r="P19">
        <f>IF(CALC_EEM!$B12="","",CALC_EEM!P12)</f>
      </c>
      <c r="Q19">
        <f>IF(CALC_EEM!$B12="","",CALC_EEM!Q12)</f>
      </c>
      <c r="R19">
        <f>IF(CALC_EEM!$B12="","",CALC_EEM!R12)</f>
      </c>
      <c r="S19">
        <f>IF(CALC_EEM!$B12="","",CALC_EEM!S12)</f>
      </c>
      <c r="T19">
        <f>IF(CALC_EEM!$B12="","",CALC_EEM!T12)</f>
      </c>
      <c r="U19">
        <f>IF(CALC_EEM!$B12="","",CALC_EEM!U12)</f>
      </c>
    </row>
    <row r="20" spans="1:24">
      <c r="A20" t="str">
        <f>IF(CALC_EEM!$B13="","",IF(CALC_EEM!A13="GLOBAL","GLOBAL",IF(CALC_EEM!C13="Total","CURSO_TOTAL",IF(CALC_EEM!C13="TotalEsp","CURSO_ESP",IF(CALC_EEM!C13="TotalNoEsp","CURSO_NOESP","CURSO_ASIG")))))</f>
      </c>
      <c r="B20" t="str">
        <f>IF(CALC_EEM!$B13="","",CALC_EEM!A13)</f>
      </c>
      <c r="C20" t="str">
        <f>IF(CALC_EEM!$B13="","",CALC_EEM!B13)</f>
      </c>
      <c r="D20">
        <f>IF(CALC_EEM!$B13="","",CALC_EEM!D13)</f>
      </c>
      <c r="E20" s="14" t="str">
        <f>IF(CALC_EEM!$B13="","",CALC_EEM!E13)</f>
      </c>
      <c r="F20" s="14" t="str">
        <f>IF(CALC_EEM!$B13="","",CALC_EEM!F13)</f>
      </c>
      <c r="G20" t="str">
        <f>IF(CALC_EEM!$B13="","",CALC_EEM!G13)</f>
      </c>
      <c r="H20" s="16" t="str">
        <f>IF(CALC_EEM!$B13="","",CALC_EEM!H13)</f>
      </c>
      <c r="I20" s="16" t="str">
        <f>IF(CALC_EEM!$B13="","",CALC_EEM!I13)</f>
      </c>
      <c r="J20" t="str">
        <f>IF(CALC_EEM!$B13="","",CALC_EEM!J13)</f>
      </c>
      <c r="K20" t="str">
        <f>IF(CALC_EEM!$B13="","",CALC_EEM!K13)</f>
      </c>
      <c r="L20">
        <f>IF(CALC_EEM!$B13="","",CALC_EEM!L13)</f>
      </c>
      <c r="M20">
        <f>IF(CALC_EEM!$B13="","",CALC_EEM!M13)</f>
      </c>
      <c r="N20">
        <f>IF(CALC_EEM!$B13="","",CALC_EEM!N13)</f>
      </c>
      <c r="O20">
        <f>IF(CALC_EEM!$B13="","",CALC_EEM!O13)</f>
      </c>
      <c r="P20">
        <f>IF(CALC_EEM!$B13="","",CALC_EEM!P13)</f>
      </c>
      <c r="Q20">
        <f>IF(CALC_EEM!$B13="","",CALC_EEM!Q13)</f>
      </c>
      <c r="R20">
        <f>IF(CALC_EEM!$B13="","",CALC_EEM!R13)</f>
      </c>
      <c r="S20">
        <f>IF(CALC_EEM!$B13="","",CALC_EEM!S13)</f>
      </c>
      <c r="T20">
        <f>IF(CALC_EEM!$B13="","",CALC_EEM!T13)</f>
      </c>
      <c r="U20">
        <f>IF(CALC_EEM!$B13="","",CALC_EEM!U13)</f>
      </c>
    </row>
    <row r="21" spans="1:24">
      <c r="A21" t="str">
        <f>IF(CALC_EEM!$B14="","",IF(CALC_EEM!A14="GLOBAL","GLOBAL",IF(CALC_EEM!C14="Total","CURSO_TOTAL",IF(CALC_EEM!C14="TotalEsp","CURSO_ESP",IF(CALC_EEM!C14="TotalNoEsp","CURSO_NOESP","CURSO_ASIG")))))</f>
      </c>
      <c r="B21" t="str">
        <f>IF(CALC_EEM!$B14="","",CALC_EEM!A14)</f>
      </c>
      <c r="C21" t="str">
        <f>IF(CALC_EEM!$B14="","",CALC_EEM!B14)</f>
      </c>
      <c r="D21">
        <f>IF(CALC_EEM!$B14="","",CALC_EEM!D14)</f>
      </c>
      <c r="E21" s="14" t="str">
        <f>IF(CALC_EEM!$B14="","",CALC_EEM!E14)</f>
      </c>
      <c r="F21" s="14" t="str">
        <f>IF(CALC_EEM!$B14="","",CALC_EEM!F14)</f>
      </c>
      <c r="G21" t="str">
        <f>IF(CALC_EEM!$B14="","",CALC_EEM!G14)</f>
      </c>
      <c r="H21" s="16" t="str">
        <f>IF(CALC_EEM!$B14="","",CALC_EEM!H14)</f>
      </c>
      <c r="I21" s="16" t="str">
        <f>IF(CALC_EEM!$B14="","",CALC_EEM!I14)</f>
      </c>
      <c r="J21" t="str">
        <f>IF(CALC_EEM!$B14="","",CALC_EEM!J14)</f>
      </c>
      <c r="K21" t="str">
        <f>IF(CALC_EEM!$B14="","",CALC_EEM!K14)</f>
      </c>
      <c r="L21">
        <f>IF(CALC_EEM!$B14="","",CALC_EEM!L14)</f>
      </c>
      <c r="M21">
        <f>IF(CALC_EEM!$B14="","",CALC_EEM!M14)</f>
      </c>
      <c r="N21">
        <f>IF(CALC_EEM!$B14="","",CALC_EEM!N14)</f>
      </c>
      <c r="O21">
        <f>IF(CALC_EEM!$B14="","",CALC_EEM!O14)</f>
      </c>
      <c r="P21">
        <f>IF(CALC_EEM!$B14="","",CALC_EEM!P14)</f>
      </c>
      <c r="Q21">
        <f>IF(CALC_EEM!$B14="","",CALC_EEM!Q14)</f>
      </c>
      <c r="R21">
        <f>IF(CALC_EEM!$B14="","",CALC_EEM!R14)</f>
      </c>
      <c r="S21">
        <f>IF(CALC_EEM!$B14="","",CALC_EEM!S14)</f>
      </c>
      <c r="T21">
        <f>IF(CALC_EEM!$B14="","",CALC_EEM!T14)</f>
      </c>
      <c r="U21">
        <f>IF(CALC_EEM!$B14="","",CALC_EEM!U14)</f>
      </c>
    </row>
    <row r="22" spans="1:24">
      <c r="A22" t="str">
        <f>IF(CALC_EEM!$B15="","",IF(CALC_EEM!A15="GLOBAL","GLOBAL",IF(CALC_EEM!C15="Total","CURSO_TOTAL",IF(CALC_EEM!C15="TotalEsp","CURSO_ESP",IF(CALC_EEM!C15="TotalNoEsp","CURSO_NOESP","CURSO_ASIG")))))</f>
      </c>
      <c r="B22" t="str">
        <f>IF(CALC_EEM!$B15="","",CALC_EEM!A15)</f>
      </c>
      <c r="C22" t="str">
        <f>IF(CALC_EEM!$B15="","",CALC_EEM!B15)</f>
      </c>
      <c r="D22">
        <f>IF(CALC_EEM!$B15="","",CALC_EEM!D15)</f>
      </c>
      <c r="E22" s="14" t="str">
        <f>IF(CALC_EEM!$B15="","",CALC_EEM!E15)</f>
      </c>
      <c r="F22" s="14" t="str">
        <f>IF(CALC_EEM!$B15="","",CALC_EEM!F15)</f>
      </c>
      <c r="G22" t="str">
        <f>IF(CALC_EEM!$B15="","",CALC_EEM!G15)</f>
      </c>
      <c r="H22" s="16" t="str">
        <f>IF(CALC_EEM!$B15="","",CALC_EEM!H15)</f>
      </c>
      <c r="I22" s="16" t="str">
        <f>IF(CALC_EEM!$B15="","",CALC_EEM!I15)</f>
      </c>
      <c r="J22" t="str">
        <f>IF(CALC_EEM!$B15="","",CALC_EEM!J15)</f>
      </c>
      <c r="K22" t="str">
        <f>IF(CALC_EEM!$B15="","",CALC_EEM!K15)</f>
      </c>
      <c r="L22">
        <f>IF(CALC_EEM!$B15="","",CALC_EEM!L15)</f>
      </c>
      <c r="M22">
        <f>IF(CALC_EEM!$B15="","",CALC_EEM!M15)</f>
      </c>
      <c r="N22">
        <f>IF(CALC_EEM!$B15="","",CALC_EEM!N15)</f>
      </c>
      <c r="O22">
        <f>IF(CALC_EEM!$B15="","",CALC_EEM!O15)</f>
      </c>
      <c r="P22">
        <f>IF(CALC_EEM!$B15="","",CALC_EEM!P15)</f>
      </c>
      <c r="Q22">
        <f>IF(CALC_EEM!$B15="","",CALC_EEM!Q15)</f>
      </c>
      <c r="R22">
        <f>IF(CALC_EEM!$B15="","",CALC_EEM!R15)</f>
      </c>
      <c r="S22">
        <f>IF(CALC_EEM!$B15="","",CALC_EEM!S15)</f>
      </c>
      <c r="T22">
        <f>IF(CALC_EEM!$B15="","",CALC_EEM!T15)</f>
      </c>
      <c r="U22">
        <f>IF(CALC_EEM!$B15="","",CALC_EEM!U15)</f>
      </c>
    </row>
    <row r="23" spans="1:24">
      <c r="A23" t="str">
        <f>IF(CALC_EEM!$B16="","",IF(CALC_EEM!A16="GLOBAL","GLOBAL",IF(CALC_EEM!C16="Total","CURSO_TOTAL",IF(CALC_EEM!C16="TotalEsp","CURSO_ESP",IF(CALC_EEM!C16="TotalNoEsp","CURSO_NOESP","CURSO_ASIG")))))</f>
      </c>
      <c r="B23" t="str">
        <f>IF(CALC_EEM!$B16="","",CALC_EEM!A16)</f>
      </c>
      <c r="C23" t="str">
        <f>IF(CALC_EEM!$B16="","",CALC_EEM!B16)</f>
      </c>
      <c r="D23">
        <f>IF(CALC_EEM!$B16="","",CALC_EEM!D16)</f>
      </c>
      <c r="E23" s="14" t="str">
        <f>IF(CALC_EEM!$B16="","",CALC_EEM!E16)</f>
      </c>
      <c r="F23" s="14" t="str">
        <f>IF(CALC_EEM!$B16="","",CALC_EEM!F16)</f>
      </c>
      <c r="G23" t="str">
        <f>IF(CALC_EEM!$B16="","",CALC_EEM!G16)</f>
      </c>
      <c r="H23" s="16" t="str">
        <f>IF(CALC_EEM!$B16="","",CALC_EEM!H16)</f>
      </c>
      <c r="I23" s="16" t="str">
        <f>IF(CALC_EEM!$B16="","",CALC_EEM!I16)</f>
      </c>
      <c r="J23" t="str">
        <f>IF(CALC_EEM!$B16="","",CALC_EEM!J16)</f>
      </c>
      <c r="K23" t="str">
        <f>IF(CALC_EEM!$B16="","",CALC_EEM!K16)</f>
      </c>
      <c r="L23">
        <f>IF(CALC_EEM!$B16="","",CALC_EEM!L16)</f>
      </c>
      <c r="M23">
        <f>IF(CALC_EEM!$B16="","",CALC_EEM!M16)</f>
      </c>
      <c r="N23">
        <f>IF(CALC_EEM!$B16="","",CALC_EEM!N16)</f>
      </c>
      <c r="O23">
        <f>IF(CALC_EEM!$B16="","",CALC_EEM!O16)</f>
      </c>
      <c r="P23">
        <f>IF(CALC_EEM!$B16="","",CALC_EEM!P16)</f>
      </c>
      <c r="Q23">
        <f>IF(CALC_EEM!$B16="","",CALC_EEM!Q16)</f>
      </c>
      <c r="R23">
        <f>IF(CALC_EEM!$B16="","",CALC_EEM!R16)</f>
      </c>
      <c r="S23">
        <f>IF(CALC_EEM!$B16="","",CALC_EEM!S16)</f>
      </c>
      <c r="T23">
        <f>IF(CALC_EEM!$B16="","",CALC_EEM!T16)</f>
      </c>
      <c r="U23">
        <f>IF(CALC_EEM!$B16="","",CALC_EEM!U16)</f>
      </c>
    </row>
    <row r="24" spans="1:24">
      <c r="A24" t="str">
        <f>IF(CALC_EEM!$B17="","",IF(CALC_EEM!A17="GLOBAL","GLOBAL",IF(CALC_EEM!C17="Total","CURSO_TOTAL",IF(CALC_EEM!C17="TotalEsp","CURSO_ESP",IF(CALC_EEM!C17="TotalNoEsp","CURSO_NOESP","CURSO_ASIG")))))</f>
      </c>
      <c r="B24" t="str">
        <f>IF(CALC_EEM!$B17="","",CALC_EEM!A17)</f>
      </c>
      <c r="C24" t="str">
        <f>IF(CALC_EEM!$B17="","",CALC_EEM!B17)</f>
      </c>
      <c r="D24">
        <f>IF(CALC_EEM!$B17="","",CALC_EEM!D17)</f>
      </c>
      <c r="E24" s="14" t="str">
        <f>IF(CALC_EEM!$B17="","",CALC_EEM!E17)</f>
      </c>
      <c r="F24" s="14" t="str">
        <f>IF(CALC_EEM!$B17="","",CALC_EEM!F17)</f>
      </c>
      <c r="G24" t="str">
        <f>IF(CALC_EEM!$B17="","",CALC_EEM!G17)</f>
      </c>
      <c r="H24" s="16" t="str">
        <f>IF(CALC_EEM!$B17="","",CALC_EEM!H17)</f>
      </c>
      <c r="I24" s="16" t="str">
        <f>IF(CALC_EEM!$B17="","",CALC_EEM!I17)</f>
      </c>
      <c r="J24" t="str">
        <f>IF(CALC_EEM!$B17="","",CALC_EEM!J17)</f>
      </c>
      <c r="K24" t="str">
        <f>IF(CALC_EEM!$B17="","",CALC_EEM!K17)</f>
      </c>
      <c r="L24">
        <f>IF(CALC_EEM!$B17="","",CALC_EEM!L17)</f>
      </c>
      <c r="M24">
        <f>IF(CALC_EEM!$B17="","",CALC_EEM!M17)</f>
      </c>
      <c r="N24">
        <f>IF(CALC_EEM!$B17="","",CALC_EEM!N17)</f>
      </c>
      <c r="O24">
        <f>IF(CALC_EEM!$B17="","",CALC_EEM!O17)</f>
      </c>
      <c r="P24">
        <f>IF(CALC_EEM!$B17="","",CALC_EEM!P17)</f>
      </c>
      <c r="Q24">
        <f>IF(CALC_EEM!$B17="","",CALC_EEM!Q17)</f>
      </c>
      <c r="R24">
        <f>IF(CALC_EEM!$B17="","",CALC_EEM!R17)</f>
      </c>
      <c r="S24">
        <f>IF(CALC_EEM!$B17="","",CALC_EEM!S17)</f>
      </c>
      <c r="T24">
        <f>IF(CALC_EEM!$B17="","",CALC_EEM!T17)</f>
      </c>
      <c r="U24">
        <f>IF(CALC_EEM!$B17="","",CALC_EEM!U17)</f>
      </c>
    </row>
    <row r="25" spans="1:24">
      <c r="A25" t="str">
        <f>IF(CALC_EEM!$B18="","",IF(CALC_EEM!A18="GLOBAL","GLOBAL",IF(CALC_EEM!C18="Total","CURSO_TOTAL",IF(CALC_EEM!C18="TotalEsp","CURSO_ESP",IF(CALC_EEM!C18="TotalNoEsp","CURSO_NOESP","CURSO_ASIG")))))</f>
      </c>
      <c r="B25" t="str">
        <f>IF(CALC_EEM!$B18="","",CALC_EEM!A18)</f>
      </c>
      <c r="C25" t="str">
        <f>IF(CALC_EEM!$B18="","",CALC_EEM!B18)</f>
      </c>
      <c r="D25">
        <f>IF(CALC_EEM!$B18="","",CALC_EEM!D18)</f>
      </c>
      <c r="E25" s="14" t="str">
        <f>IF(CALC_EEM!$B18="","",CALC_EEM!E18)</f>
      </c>
      <c r="F25" s="14" t="str">
        <f>IF(CALC_EEM!$B18="","",CALC_EEM!F18)</f>
      </c>
      <c r="G25" t="str">
        <f>IF(CALC_EEM!$B18="","",CALC_EEM!G18)</f>
      </c>
      <c r="H25" s="16" t="str">
        <f>IF(CALC_EEM!$B18="","",CALC_EEM!H18)</f>
      </c>
      <c r="I25" s="16" t="str">
        <f>IF(CALC_EEM!$B18="","",CALC_EEM!I18)</f>
      </c>
      <c r="J25" t="str">
        <f>IF(CALC_EEM!$B18="","",CALC_EEM!J18)</f>
      </c>
      <c r="K25" t="str">
        <f>IF(CALC_EEM!$B18="","",CALC_EEM!K18)</f>
      </c>
      <c r="L25">
        <f>IF(CALC_EEM!$B18="","",CALC_EEM!L18)</f>
      </c>
      <c r="M25">
        <f>IF(CALC_EEM!$B18="","",CALC_EEM!M18)</f>
      </c>
      <c r="N25">
        <f>IF(CALC_EEM!$B18="","",CALC_EEM!N18)</f>
      </c>
      <c r="O25">
        <f>IF(CALC_EEM!$B18="","",CALC_EEM!O18)</f>
      </c>
      <c r="P25">
        <f>IF(CALC_EEM!$B18="","",CALC_EEM!P18)</f>
      </c>
      <c r="Q25">
        <f>IF(CALC_EEM!$B18="","",CALC_EEM!Q18)</f>
      </c>
      <c r="R25">
        <f>IF(CALC_EEM!$B18="","",CALC_EEM!R18)</f>
      </c>
      <c r="S25">
        <f>IF(CALC_EEM!$B18="","",CALC_EEM!S18)</f>
      </c>
      <c r="T25">
        <f>IF(CALC_EEM!$B18="","",CALC_EEM!T18)</f>
      </c>
      <c r="U25">
        <f>IF(CALC_EEM!$B18="","",CALC_EEM!U18)</f>
      </c>
    </row>
    <row r="26" spans="1:24">
      <c r="A26" t="str">
        <f>IF(CALC_EEM!$B19="","",IF(CALC_EEM!A19="GLOBAL","GLOBAL",IF(CALC_EEM!C19="Total","CURSO_TOTAL",IF(CALC_EEM!C19="TotalEsp","CURSO_ESP",IF(CALC_EEM!C19="TotalNoEsp","CURSO_NOESP","CURSO_ASIG")))))</f>
      </c>
      <c r="B26" t="str">
        <f>IF(CALC_EEM!$B19="","",CALC_EEM!A19)</f>
      </c>
      <c r="C26" t="str">
        <f>IF(CALC_EEM!$B19="","",CALC_EEM!B19)</f>
      </c>
      <c r="D26">
        <f>IF(CALC_EEM!$B19="","",CALC_EEM!D19)</f>
      </c>
      <c r="E26" s="14" t="str">
        <f>IF(CALC_EEM!$B19="","",CALC_EEM!E19)</f>
      </c>
      <c r="F26" s="14" t="str">
        <f>IF(CALC_EEM!$B19="","",CALC_EEM!F19)</f>
      </c>
      <c r="G26" t="str">
        <f>IF(CALC_EEM!$B19="","",CALC_EEM!G19)</f>
      </c>
      <c r="H26" s="16" t="str">
        <f>IF(CALC_EEM!$B19="","",CALC_EEM!H19)</f>
      </c>
      <c r="I26" s="16" t="str">
        <f>IF(CALC_EEM!$B19="","",CALC_EEM!I19)</f>
      </c>
      <c r="J26" t="str">
        <f>IF(CALC_EEM!$B19="","",CALC_EEM!J19)</f>
      </c>
      <c r="K26" t="str">
        <f>IF(CALC_EEM!$B19="","",CALC_EEM!K19)</f>
      </c>
      <c r="L26">
        <f>IF(CALC_EEM!$B19="","",CALC_EEM!L19)</f>
      </c>
      <c r="M26">
        <f>IF(CALC_EEM!$B19="","",CALC_EEM!M19)</f>
      </c>
      <c r="N26">
        <f>IF(CALC_EEM!$B19="","",CALC_EEM!N19)</f>
      </c>
      <c r="O26">
        <f>IF(CALC_EEM!$B19="","",CALC_EEM!O19)</f>
      </c>
      <c r="P26">
        <f>IF(CALC_EEM!$B19="","",CALC_EEM!P19)</f>
      </c>
      <c r="Q26">
        <f>IF(CALC_EEM!$B19="","",CALC_EEM!Q19)</f>
      </c>
      <c r="R26">
        <f>IF(CALC_EEM!$B19="","",CALC_EEM!R19)</f>
      </c>
      <c r="S26">
        <f>IF(CALC_EEM!$B19="","",CALC_EEM!S19)</f>
      </c>
      <c r="T26">
        <f>IF(CALC_EEM!$B19="","",CALC_EEM!T19)</f>
      </c>
      <c r="U26">
        <f>IF(CALC_EEM!$B19="","",CALC_EEM!U19)</f>
      </c>
    </row>
    <row r="27" spans="1:24">
      <c r="A27" t="str">
        <f>IF(CALC_EEM!$B20="","",IF(CALC_EEM!A20="GLOBAL","GLOBAL",IF(CALC_EEM!C20="Total","CURSO_TOTAL",IF(CALC_EEM!C20="TotalEsp","CURSO_ESP",IF(CALC_EEM!C20="TotalNoEsp","CURSO_NOESP","CURSO_ASIG")))))</f>
      </c>
      <c r="B27" t="str">
        <f>IF(CALC_EEM!$B20="","",CALC_EEM!A20)</f>
      </c>
      <c r="C27" t="str">
        <f>IF(CALC_EEM!$B20="","",CALC_EEM!B20)</f>
      </c>
      <c r="D27">
        <f>IF(CALC_EEM!$B20="","",CALC_EEM!D20)</f>
      </c>
      <c r="E27" s="14" t="str">
        <f>IF(CALC_EEM!$B20="","",CALC_EEM!E20)</f>
      </c>
      <c r="F27" s="14" t="str">
        <f>IF(CALC_EEM!$B20="","",CALC_EEM!F20)</f>
      </c>
      <c r="G27" t="str">
        <f>IF(CALC_EEM!$B20="","",CALC_EEM!G20)</f>
      </c>
      <c r="H27" s="16" t="str">
        <f>IF(CALC_EEM!$B20="","",CALC_EEM!H20)</f>
      </c>
      <c r="I27" s="16" t="str">
        <f>IF(CALC_EEM!$B20="","",CALC_EEM!I20)</f>
      </c>
      <c r="J27" t="str">
        <f>IF(CALC_EEM!$B20="","",CALC_EEM!J20)</f>
      </c>
      <c r="K27" t="str">
        <f>IF(CALC_EEM!$B20="","",CALC_EEM!K20)</f>
      </c>
      <c r="L27">
        <f>IF(CALC_EEM!$B20="","",CALC_EEM!L20)</f>
      </c>
      <c r="M27">
        <f>IF(CALC_EEM!$B20="","",CALC_EEM!M20)</f>
      </c>
      <c r="N27">
        <f>IF(CALC_EEM!$B20="","",CALC_EEM!N20)</f>
      </c>
      <c r="O27">
        <f>IF(CALC_EEM!$B20="","",CALC_EEM!O20)</f>
      </c>
      <c r="P27">
        <f>IF(CALC_EEM!$B20="","",CALC_EEM!P20)</f>
      </c>
      <c r="Q27">
        <f>IF(CALC_EEM!$B20="","",CALC_EEM!Q20)</f>
      </c>
      <c r="R27">
        <f>IF(CALC_EEM!$B20="","",CALC_EEM!R20)</f>
      </c>
      <c r="S27">
        <f>IF(CALC_EEM!$B20="","",CALC_EEM!S20)</f>
      </c>
      <c r="T27">
        <f>IF(CALC_EEM!$B20="","",CALC_EEM!T20)</f>
      </c>
      <c r="U27">
        <f>IF(CALC_EEM!$B20="","",CALC_EEM!U20)</f>
      </c>
    </row>
    <row r="28" spans="1:24">
      <c r="A28" t="str">
        <f>IF(CALC_EEM!$B21="","",IF(CALC_EEM!A21="GLOBAL","GLOBAL",IF(CALC_EEM!C21="Total","CURSO_TOTAL",IF(CALC_EEM!C21="TotalEsp","CURSO_ESP",IF(CALC_EEM!C21="TotalNoEsp","CURSO_NOESP","CURSO_ASIG")))))</f>
      </c>
      <c r="B28" t="str">
        <f>IF(CALC_EEM!$B21="","",CALC_EEM!A21)</f>
      </c>
      <c r="C28" t="str">
        <f>IF(CALC_EEM!$B21="","",CALC_EEM!B21)</f>
      </c>
      <c r="D28">
        <f>IF(CALC_EEM!$B21="","",CALC_EEM!D21)</f>
      </c>
      <c r="E28" s="14" t="str">
        <f>IF(CALC_EEM!$B21="","",CALC_EEM!E21)</f>
      </c>
      <c r="F28" s="14" t="str">
        <f>IF(CALC_EEM!$B21="","",CALC_EEM!F21)</f>
      </c>
      <c r="G28" t="str">
        <f>IF(CALC_EEM!$B21="","",CALC_EEM!G21)</f>
      </c>
      <c r="H28" s="16" t="str">
        <f>IF(CALC_EEM!$B21="","",CALC_EEM!H21)</f>
      </c>
      <c r="I28" s="16" t="str">
        <f>IF(CALC_EEM!$B21="","",CALC_EEM!I21)</f>
      </c>
      <c r="J28" t="str">
        <f>IF(CALC_EEM!$B21="","",CALC_EEM!J21)</f>
      </c>
      <c r="K28" t="str">
        <f>IF(CALC_EEM!$B21="","",CALC_EEM!K21)</f>
      </c>
      <c r="L28">
        <f>IF(CALC_EEM!$B21="","",CALC_EEM!L21)</f>
      </c>
      <c r="M28">
        <f>IF(CALC_EEM!$B21="","",CALC_EEM!M21)</f>
      </c>
      <c r="N28">
        <f>IF(CALC_EEM!$B21="","",CALC_EEM!N21)</f>
      </c>
      <c r="O28">
        <f>IF(CALC_EEM!$B21="","",CALC_EEM!O21)</f>
      </c>
      <c r="P28">
        <f>IF(CALC_EEM!$B21="","",CALC_EEM!P21)</f>
      </c>
      <c r="Q28">
        <f>IF(CALC_EEM!$B21="","",CALC_EEM!Q21)</f>
      </c>
      <c r="R28">
        <f>IF(CALC_EEM!$B21="","",CALC_EEM!R21)</f>
      </c>
      <c r="S28">
        <f>IF(CALC_EEM!$B21="","",CALC_EEM!S21)</f>
      </c>
      <c r="T28">
        <f>IF(CALC_EEM!$B21="","",CALC_EEM!T21)</f>
      </c>
      <c r="U28">
        <f>IF(CALC_EEM!$B21="","",CALC_EEM!U21)</f>
      </c>
    </row>
    <row r="29" spans="1:24">
      <c r="A29" t="str">
        <f>IF(CALC_EEM!$B22="","",IF(CALC_EEM!A22="GLOBAL","GLOBAL",IF(CALC_EEM!C22="Total","CURSO_TOTAL",IF(CALC_EEM!C22="TotalEsp","CURSO_ESP",IF(CALC_EEM!C22="TotalNoEsp","CURSO_NOESP","CURSO_ASIG")))))</f>
      </c>
      <c r="B29" t="str">
        <f>IF(CALC_EEM!$B22="","",CALC_EEM!A22)</f>
      </c>
      <c r="C29" t="str">
        <f>IF(CALC_EEM!$B22="","",CALC_EEM!B22)</f>
      </c>
      <c r="D29">
        <f>IF(CALC_EEM!$B22="","",CALC_EEM!D22)</f>
      </c>
      <c r="E29" s="14" t="str">
        <f>IF(CALC_EEM!$B22="","",CALC_EEM!E22)</f>
      </c>
      <c r="F29" s="14" t="str">
        <f>IF(CALC_EEM!$B22="","",CALC_EEM!F22)</f>
      </c>
      <c r="G29" t="str">
        <f>IF(CALC_EEM!$B22="","",CALC_EEM!G22)</f>
      </c>
      <c r="H29" s="16" t="str">
        <f>IF(CALC_EEM!$B22="","",CALC_EEM!H22)</f>
      </c>
      <c r="I29" s="16" t="str">
        <f>IF(CALC_EEM!$B22="","",CALC_EEM!I22)</f>
      </c>
      <c r="J29" t="str">
        <f>IF(CALC_EEM!$B22="","",CALC_EEM!J22)</f>
      </c>
      <c r="K29" t="str">
        <f>IF(CALC_EEM!$B22="","",CALC_EEM!K22)</f>
      </c>
      <c r="L29">
        <f>IF(CALC_EEM!$B22="","",CALC_EEM!L22)</f>
      </c>
      <c r="M29">
        <f>IF(CALC_EEM!$B22="","",CALC_EEM!M22)</f>
      </c>
      <c r="N29">
        <f>IF(CALC_EEM!$B22="","",CALC_EEM!N22)</f>
      </c>
      <c r="O29">
        <f>IF(CALC_EEM!$B22="","",CALC_EEM!O22)</f>
      </c>
      <c r="P29">
        <f>IF(CALC_EEM!$B22="","",CALC_EEM!P22)</f>
      </c>
      <c r="Q29">
        <f>IF(CALC_EEM!$B22="","",CALC_EEM!Q22)</f>
      </c>
      <c r="R29">
        <f>IF(CALC_EEM!$B22="","",CALC_EEM!R22)</f>
      </c>
      <c r="S29">
        <f>IF(CALC_EEM!$B22="","",CALC_EEM!S22)</f>
      </c>
      <c r="T29">
        <f>IF(CALC_EEM!$B22="","",CALC_EEM!T22)</f>
      </c>
      <c r="U29">
        <f>IF(CALC_EEM!$B22="","",CALC_EEM!U22)</f>
      </c>
    </row>
    <row r="30" spans="1:24">
      <c r="A30" t="str">
        <f>IF(CALC_EEM!$B23="","",IF(CALC_EEM!A23="GLOBAL","GLOBAL",IF(CALC_EEM!C23="Total","CURSO_TOTAL",IF(CALC_EEM!C23="TotalEsp","CURSO_ESP",IF(CALC_EEM!C23="TotalNoEsp","CURSO_NOESP","CURSO_ASIG")))))</f>
      </c>
      <c r="B30" t="str">
        <f>IF(CALC_EEM!$B23="","",CALC_EEM!A23)</f>
      </c>
      <c r="C30" t="str">
        <f>IF(CALC_EEM!$B23="","",CALC_EEM!B23)</f>
      </c>
      <c r="D30">
        <f>IF(CALC_EEM!$B23="","",CALC_EEM!D23)</f>
      </c>
      <c r="E30" s="14" t="str">
        <f>IF(CALC_EEM!$B23="","",CALC_EEM!E23)</f>
      </c>
      <c r="F30" s="14" t="str">
        <f>IF(CALC_EEM!$B23="","",CALC_EEM!F23)</f>
      </c>
      <c r="G30" t="str">
        <f>IF(CALC_EEM!$B23="","",CALC_EEM!G23)</f>
      </c>
      <c r="H30" s="16" t="str">
        <f>IF(CALC_EEM!$B23="","",CALC_EEM!H23)</f>
      </c>
      <c r="I30" s="16" t="str">
        <f>IF(CALC_EEM!$B23="","",CALC_EEM!I23)</f>
      </c>
      <c r="J30" t="str">
        <f>IF(CALC_EEM!$B23="","",CALC_EEM!J23)</f>
      </c>
      <c r="K30" t="str">
        <f>IF(CALC_EEM!$B23="","",CALC_EEM!K23)</f>
      </c>
      <c r="L30">
        <f>IF(CALC_EEM!$B23="","",CALC_EEM!L23)</f>
      </c>
      <c r="M30">
        <f>IF(CALC_EEM!$B23="","",CALC_EEM!M23)</f>
      </c>
      <c r="N30">
        <f>IF(CALC_EEM!$B23="","",CALC_EEM!N23)</f>
      </c>
      <c r="O30">
        <f>IF(CALC_EEM!$B23="","",CALC_EEM!O23)</f>
      </c>
      <c r="P30">
        <f>IF(CALC_EEM!$B23="","",CALC_EEM!P23)</f>
      </c>
      <c r="Q30">
        <f>IF(CALC_EEM!$B23="","",CALC_EEM!Q23)</f>
      </c>
      <c r="R30">
        <f>IF(CALC_EEM!$B23="","",CALC_EEM!R23)</f>
      </c>
      <c r="S30">
        <f>IF(CALC_EEM!$B23="","",CALC_EEM!S23)</f>
      </c>
      <c r="T30">
        <f>IF(CALC_EEM!$B23="","",CALC_EEM!T23)</f>
      </c>
      <c r="U30">
        <f>IF(CALC_EEM!$B23="","",CALC_EEM!U23)</f>
      </c>
    </row>
    <row r="31" spans="1:24">
      <c r="A31" t="str">
        <f>IF(CALC_EEM!$B24="","",IF(CALC_EEM!A24="GLOBAL","GLOBAL",IF(CALC_EEM!C24="Total","CURSO_TOTAL",IF(CALC_EEM!C24="TotalEsp","CURSO_ESP",IF(CALC_EEM!C24="TotalNoEsp","CURSO_NOESP","CURSO_ASIG")))))</f>
      </c>
      <c r="B31" t="str">
        <f>IF(CALC_EEM!$B24="","",CALC_EEM!A24)</f>
      </c>
      <c r="C31" t="str">
        <f>IF(CALC_EEM!$B24="","",CALC_EEM!B24)</f>
      </c>
      <c r="D31">
        <f>IF(CALC_EEM!$B24="","",CALC_EEM!D24)</f>
      </c>
      <c r="E31" s="14" t="str">
        <f>IF(CALC_EEM!$B24="","",CALC_EEM!E24)</f>
      </c>
      <c r="F31" s="14" t="str">
        <f>IF(CALC_EEM!$B24="","",CALC_EEM!F24)</f>
      </c>
      <c r="G31" t="str">
        <f>IF(CALC_EEM!$B24="","",CALC_EEM!G24)</f>
      </c>
      <c r="H31" s="16" t="str">
        <f>IF(CALC_EEM!$B24="","",CALC_EEM!H24)</f>
      </c>
      <c r="I31" s="16" t="str">
        <f>IF(CALC_EEM!$B24="","",CALC_EEM!I24)</f>
      </c>
      <c r="J31" t="str">
        <f>IF(CALC_EEM!$B24="","",CALC_EEM!J24)</f>
      </c>
      <c r="K31" t="str">
        <f>IF(CALC_EEM!$B24="","",CALC_EEM!K24)</f>
      </c>
      <c r="L31">
        <f>IF(CALC_EEM!$B24="","",CALC_EEM!L24)</f>
      </c>
      <c r="M31">
        <f>IF(CALC_EEM!$B24="","",CALC_EEM!M24)</f>
      </c>
      <c r="N31">
        <f>IF(CALC_EEM!$B24="","",CALC_EEM!N24)</f>
      </c>
      <c r="O31">
        <f>IF(CALC_EEM!$B24="","",CALC_EEM!O24)</f>
      </c>
      <c r="P31">
        <f>IF(CALC_EEM!$B24="","",CALC_EEM!P24)</f>
      </c>
      <c r="Q31">
        <f>IF(CALC_EEM!$B24="","",CALC_EEM!Q24)</f>
      </c>
      <c r="R31">
        <f>IF(CALC_EEM!$B24="","",CALC_EEM!R24)</f>
      </c>
      <c r="S31">
        <f>IF(CALC_EEM!$B24="","",CALC_EEM!S24)</f>
      </c>
      <c r="T31">
        <f>IF(CALC_EEM!$B24="","",CALC_EEM!T24)</f>
      </c>
      <c r="U31">
        <f>IF(CALC_EEM!$B24="","",CALC_EEM!U24)</f>
      </c>
    </row>
    <row r="32" spans="1:24">
      <c r="A32" t="str">
        <f>IF(CALC_EEM!$B25="","",IF(CALC_EEM!A25="GLOBAL","GLOBAL",IF(CALC_EEM!C25="Total","CURSO_TOTAL",IF(CALC_EEM!C25="TotalEsp","CURSO_ESP",IF(CALC_EEM!C25="TotalNoEsp","CURSO_NOESP","CURSO_ASIG")))))</f>
      </c>
      <c r="B32" t="str">
        <f>IF(CALC_EEM!$B25="","",CALC_EEM!A25)</f>
      </c>
      <c r="C32" t="str">
        <f>IF(CALC_EEM!$B25="","",CALC_EEM!B25)</f>
      </c>
      <c r="D32">
        <f>IF(CALC_EEM!$B25="","",CALC_EEM!D25)</f>
      </c>
      <c r="E32" s="14" t="str">
        <f>IF(CALC_EEM!$B25="","",CALC_EEM!E25)</f>
      </c>
      <c r="F32" s="14" t="str">
        <f>IF(CALC_EEM!$B25="","",CALC_EEM!F25)</f>
      </c>
      <c r="G32" t="str">
        <f>IF(CALC_EEM!$B25="","",CALC_EEM!G25)</f>
      </c>
      <c r="H32" s="16" t="str">
        <f>IF(CALC_EEM!$B25="","",CALC_EEM!H25)</f>
      </c>
      <c r="I32" s="16" t="str">
        <f>IF(CALC_EEM!$B25="","",CALC_EEM!I25)</f>
      </c>
      <c r="J32" t="str">
        <f>IF(CALC_EEM!$B25="","",CALC_EEM!J25)</f>
      </c>
      <c r="K32" t="str">
        <f>IF(CALC_EEM!$B25="","",CALC_EEM!K25)</f>
      </c>
      <c r="L32">
        <f>IF(CALC_EEM!$B25="","",CALC_EEM!L25)</f>
      </c>
      <c r="M32">
        <f>IF(CALC_EEM!$B25="","",CALC_EEM!M25)</f>
      </c>
      <c r="N32">
        <f>IF(CALC_EEM!$B25="","",CALC_EEM!N25)</f>
      </c>
      <c r="O32">
        <f>IF(CALC_EEM!$B25="","",CALC_EEM!O25)</f>
      </c>
      <c r="P32">
        <f>IF(CALC_EEM!$B25="","",CALC_EEM!P25)</f>
      </c>
      <c r="Q32">
        <f>IF(CALC_EEM!$B25="","",CALC_EEM!Q25)</f>
      </c>
      <c r="R32">
        <f>IF(CALC_EEM!$B25="","",CALC_EEM!R25)</f>
      </c>
      <c r="S32">
        <f>IF(CALC_EEM!$B25="","",CALC_EEM!S25)</f>
      </c>
      <c r="T32">
        <f>IF(CALC_EEM!$B25="","",CALC_EEM!T25)</f>
      </c>
      <c r="U32">
        <f>IF(CALC_EEM!$B25="","",CALC_EEM!U25)</f>
      </c>
    </row>
    <row r="33" spans="1:24">
      <c r="A33" t="str">
        <f>IF(CALC_EEM!$B26="","",IF(CALC_EEM!A26="GLOBAL","GLOBAL",IF(CALC_EEM!C26="Total","CURSO_TOTAL",IF(CALC_EEM!C26="TotalEsp","CURSO_ESP",IF(CALC_EEM!C26="TotalNoEsp","CURSO_NOESP","CURSO_ASIG")))))</f>
      </c>
      <c r="B33" t="str">
        <f>IF(CALC_EEM!$B26="","",CALC_EEM!A26)</f>
      </c>
      <c r="C33" t="str">
        <f>IF(CALC_EEM!$B26="","",CALC_EEM!B26)</f>
      </c>
      <c r="D33">
        <f>IF(CALC_EEM!$B26="","",CALC_EEM!D26)</f>
      </c>
      <c r="E33" s="14" t="str">
        <f>IF(CALC_EEM!$B26="","",CALC_EEM!E26)</f>
      </c>
      <c r="F33" s="14" t="str">
        <f>IF(CALC_EEM!$B26="","",CALC_EEM!F26)</f>
      </c>
      <c r="G33" t="str">
        <f>IF(CALC_EEM!$B26="","",CALC_EEM!G26)</f>
      </c>
      <c r="H33" s="16" t="str">
        <f>IF(CALC_EEM!$B26="","",CALC_EEM!H26)</f>
      </c>
      <c r="I33" s="16" t="str">
        <f>IF(CALC_EEM!$B26="","",CALC_EEM!I26)</f>
      </c>
      <c r="J33" t="str">
        <f>IF(CALC_EEM!$B26="","",CALC_EEM!J26)</f>
      </c>
      <c r="K33" t="str">
        <f>IF(CALC_EEM!$B26="","",CALC_EEM!K26)</f>
      </c>
      <c r="L33">
        <f>IF(CALC_EEM!$B26="","",CALC_EEM!L26)</f>
      </c>
      <c r="M33">
        <f>IF(CALC_EEM!$B26="","",CALC_EEM!M26)</f>
      </c>
      <c r="N33">
        <f>IF(CALC_EEM!$B26="","",CALC_EEM!N26)</f>
      </c>
      <c r="O33">
        <f>IF(CALC_EEM!$B26="","",CALC_EEM!O26)</f>
      </c>
      <c r="P33">
        <f>IF(CALC_EEM!$B26="","",CALC_EEM!P26)</f>
      </c>
      <c r="Q33">
        <f>IF(CALC_EEM!$B26="","",CALC_EEM!Q26)</f>
      </c>
      <c r="R33">
        <f>IF(CALC_EEM!$B26="","",CALC_EEM!R26)</f>
      </c>
      <c r="S33">
        <f>IF(CALC_EEM!$B26="","",CALC_EEM!S26)</f>
      </c>
      <c r="T33">
        <f>IF(CALC_EEM!$B26="","",CALC_EEM!T26)</f>
      </c>
      <c r="U33">
        <f>IF(CALC_EEM!$B26="","",CALC_EEM!U26)</f>
      </c>
    </row>
    <row r="34" spans="1:24">
      <c r="A34" t="str">
        <f>IF(CALC_EEM!$B27="","",IF(CALC_EEM!A27="GLOBAL","GLOBAL",IF(CALC_EEM!C27="Total","CURSO_TOTAL",IF(CALC_EEM!C27="TotalEsp","CURSO_ESP",IF(CALC_EEM!C27="TotalNoEsp","CURSO_NOESP","CURSO_ASIG")))))</f>
      </c>
      <c r="B34" t="str">
        <f>IF(CALC_EEM!$B27="","",CALC_EEM!A27)</f>
      </c>
      <c r="C34" t="str">
        <f>IF(CALC_EEM!$B27="","",CALC_EEM!B27)</f>
      </c>
      <c r="D34">
        <f>IF(CALC_EEM!$B27="","",CALC_EEM!D27)</f>
      </c>
      <c r="E34" s="14" t="str">
        <f>IF(CALC_EEM!$B27="","",CALC_EEM!E27)</f>
      </c>
      <c r="F34" s="14" t="str">
        <f>IF(CALC_EEM!$B27="","",CALC_EEM!F27)</f>
      </c>
      <c r="G34" t="str">
        <f>IF(CALC_EEM!$B27="","",CALC_EEM!G27)</f>
      </c>
      <c r="H34" s="16" t="str">
        <f>IF(CALC_EEM!$B27="","",CALC_EEM!H27)</f>
      </c>
      <c r="I34" s="16" t="str">
        <f>IF(CALC_EEM!$B27="","",CALC_EEM!I27)</f>
      </c>
      <c r="J34" t="str">
        <f>IF(CALC_EEM!$B27="","",CALC_EEM!J27)</f>
      </c>
      <c r="K34" t="str">
        <f>IF(CALC_EEM!$B27="","",CALC_EEM!K27)</f>
      </c>
      <c r="L34">
        <f>IF(CALC_EEM!$B27="","",CALC_EEM!L27)</f>
      </c>
      <c r="M34">
        <f>IF(CALC_EEM!$B27="","",CALC_EEM!M27)</f>
      </c>
      <c r="N34">
        <f>IF(CALC_EEM!$B27="","",CALC_EEM!N27)</f>
      </c>
      <c r="O34">
        <f>IF(CALC_EEM!$B27="","",CALC_EEM!O27)</f>
      </c>
      <c r="P34">
        <f>IF(CALC_EEM!$B27="","",CALC_EEM!P27)</f>
      </c>
      <c r="Q34">
        <f>IF(CALC_EEM!$B27="","",CALC_EEM!Q27)</f>
      </c>
      <c r="R34">
        <f>IF(CALC_EEM!$B27="","",CALC_EEM!R27)</f>
      </c>
      <c r="S34">
        <f>IF(CALC_EEM!$B27="","",CALC_EEM!S27)</f>
      </c>
      <c r="T34">
        <f>IF(CALC_EEM!$B27="","",CALC_EEM!T27)</f>
      </c>
      <c r="U34">
        <f>IF(CALC_EEM!$B27="","",CALC_EEM!U27)</f>
      </c>
    </row>
    <row r="35" spans="1:24">
      <c r="A35" t="str">
        <f>IF(CALC_EEM!$B28="","",IF(CALC_EEM!A28="GLOBAL","GLOBAL",IF(CALC_EEM!C28="Total","CURSO_TOTAL",IF(CALC_EEM!C28="TotalEsp","CURSO_ESP",IF(CALC_EEM!C28="TotalNoEsp","CURSO_NOESP","CURSO_ASIG")))))</f>
      </c>
      <c r="B35" t="str">
        <f>IF(CALC_EEM!$B28="","",CALC_EEM!A28)</f>
      </c>
      <c r="C35" t="str">
        <f>IF(CALC_EEM!$B28="","",CALC_EEM!B28)</f>
      </c>
      <c r="D35">
        <f>IF(CALC_EEM!$B28="","",CALC_EEM!D28)</f>
      </c>
      <c r="E35" s="14" t="str">
        <f>IF(CALC_EEM!$B28="","",CALC_EEM!E28)</f>
      </c>
      <c r="F35" s="14" t="str">
        <f>IF(CALC_EEM!$B28="","",CALC_EEM!F28)</f>
      </c>
      <c r="G35" t="str">
        <f>IF(CALC_EEM!$B28="","",CALC_EEM!G28)</f>
      </c>
      <c r="H35" s="16" t="str">
        <f>IF(CALC_EEM!$B28="","",CALC_EEM!H28)</f>
      </c>
      <c r="I35" s="16" t="str">
        <f>IF(CALC_EEM!$B28="","",CALC_EEM!I28)</f>
      </c>
      <c r="J35" t="str">
        <f>IF(CALC_EEM!$B28="","",CALC_EEM!J28)</f>
      </c>
      <c r="K35" t="str">
        <f>IF(CALC_EEM!$B28="","",CALC_EEM!K28)</f>
      </c>
      <c r="L35">
        <f>IF(CALC_EEM!$B28="","",CALC_EEM!L28)</f>
      </c>
      <c r="M35">
        <f>IF(CALC_EEM!$B28="","",CALC_EEM!M28)</f>
      </c>
      <c r="N35">
        <f>IF(CALC_EEM!$B28="","",CALC_EEM!N28)</f>
      </c>
      <c r="O35">
        <f>IF(CALC_EEM!$B28="","",CALC_EEM!O28)</f>
      </c>
      <c r="P35">
        <f>IF(CALC_EEM!$B28="","",CALC_EEM!P28)</f>
      </c>
      <c r="Q35">
        <f>IF(CALC_EEM!$B28="","",CALC_EEM!Q28)</f>
      </c>
      <c r="R35">
        <f>IF(CALC_EEM!$B28="","",CALC_EEM!R28)</f>
      </c>
      <c r="S35">
        <f>IF(CALC_EEM!$B28="","",CALC_EEM!S28)</f>
      </c>
      <c r="T35">
        <f>IF(CALC_EEM!$B28="","",CALC_EEM!T28)</f>
      </c>
      <c r="U35">
        <f>IF(CALC_EEM!$B28="","",CALC_EEM!U28)</f>
      </c>
    </row>
    <row r="36" spans="1:24">
      <c r="A36" t="str">
        <f>IF(CALC_EEM!$B29="","",IF(CALC_EEM!A29="GLOBAL","GLOBAL",IF(CALC_EEM!C29="Total","CURSO_TOTAL",IF(CALC_EEM!C29="TotalEsp","CURSO_ESP",IF(CALC_EEM!C29="TotalNoEsp","CURSO_NOESP","CURSO_ASIG")))))</f>
      </c>
      <c r="B36" t="str">
        <f>IF(CALC_EEM!$B29="","",CALC_EEM!A29)</f>
      </c>
      <c r="C36" t="str">
        <f>IF(CALC_EEM!$B29="","",CALC_EEM!B29)</f>
      </c>
      <c r="D36">
        <f>IF(CALC_EEM!$B29="","",CALC_EEM!D29)</f>
      </c>
      <c r="E36" s="14" t="str">
        <f>IF(CALC_EEM!$B29="","",CALC_EEM!E29)</f>
      </c>
      <c r="F36" s="14" t="str">
        <f>IF(CALC_EEM!$B29="","",CALC_EEM!F29)</f>
      </c>
      <c r="G36" t="str">
        <f>IF(CALC_EEM!$B29="","",CALC_EEM!G29)</f>
      </c>
      <c r="H36" s="16" t="str">
        <f>IF(CALC_EEM!$B29="","",CALC_EEM!H29)</f>
      </c>
      <c r="I36" s="16" t="str">
        <f>IF(CALC_EEM!$B29="","",CALC_EEM!I29)</f>
      </c>
      <c r="J36" t="str">
        <f>IF(CALC_EEM!$B29="","",CALC_EEM!J29)</f>
      </c>
      <c r="K36" t="str">
        <f>IF(CALC_EEM!$B29="","",CALC_EEM!K29)</f>
      </c>
      <c r="L36">
        <f>IF(CALC_EEM!$B29="","",CALC_EEM!L29)</f>
      </c>
      <c r="M36">
        <f>IF(CALC_EEM!$B29="","",CALC_EEM!M29)</f>
      </c>
      <c r="N36">
        <f>IF(CALC_EEM!$B29="","",CALC_EEM!N29)</f>
      </c>
      <c r="O36">
        <f>IF(CALC_EEM!$B29="","",CALC_EEM!O29)</f>
      </c>
      <c r="P36">
        <f>IF(CALC_EEM!$B29="","",CALC_EEM!P29)</f>
      </c>
      <c r="Q36">
        <f>IF(CALC_EEM!$B29="","",CALC_EEM!Q29)</f>
      </c>
      <c r="R36">
        <f>IF(CALC_EEM!$B29="","",CALC_EEM!R29)</f>
      </c>
      <c r="S36">
        <f>IF(CALC_EEM!$B29="","",CALC_EEM!S29)</f>
      </c>
      <c r="T36">
        <f>IF(CALC_EEM!$B29="","",CALC_EEM!T29)</f>
      </c>
      <c r="U36">
        <f>IF(CALC_EEM!$B29="","",CALC_EEM!U29)</f>
      </c>
    </row>
    <row r="37" spans="1:24">
      <c r="A37" t="str">
        <f>IF(CALC_EEM!$B30="","",IF(CALC_EEM!A30="GLOBAL","GLOBAL",IF(CALC_EEM!C30="Total","CURSO_TOTAL",IF(CALC_EEM!C30="TotalEsp","CURSO_ESP",IF(CALC_EEM!C30="TotalNoEsp","CURSO_NOESP","CURSO_ASIG")))))</f>
      </c>
      <c r="B37" t="str">
        <f>IF(CALC_EEM!$B30="","",CALC_EEM!A30)</f>
      </c>
      <c r="C37" t="str">
        <f>IF(CALC_EEM!$B30="","",CALC_EEM!B30)</f>
      </c>
      <c r="D37">
        <f>IF(CALC_EEM!$B30="","",CALC_EEM!D30)</f>
      </c>
      <c r="E37" s="14" t="str">
        <f>IF(CALC_EEM!$B30="","",CALC_EEM!E30)</f>
      </c>
      <c r="F37" s="14" t="str">
        <f>IF(CALC_EEM!$B30="","",CALC_EEM!F30)</f>
      </c>
      <c r="G37" t="str">
        <f>IF(CALC_EEM!$B30="","",CALC_EEM!G30)</f>
      </c>
      <c r="H37" s="16" t="str">
        <f>IF(CALC_EEM!$B30="","",CALC_EEM!H30)</f>
      </c>
      <c r="I37" s="16" t="str">
        <f>IF(CALC_EEM!$B30="","",CALC_EEM!I30)</f>
      </c>
      <c r="J37" t="str">
        <f>IF(CALC_EEM!$B30="","",CALC_EEM!J30)</f>
      </c>
      <c r="K37" t="str">
        <f>IF(CALC_EEM!$B30="","",CALC_EEM!K30)</f>
      </c>
      <c r="L37">
        <f>IF(CALC_EEM!$B30="","",CALC_EEM!L30)</f>
      </c>
      <c r="M37">
        <f>IF(CALC_EEM!$B30="","",CALC_EEM!M30)</f>
      </c>
      <c r="N37">
        <f>IF(CALC_EEM!$B30="","",CALC_EEM!N30)</f>
      </c>
      <c r="O37">
        <f>IF(CALC_EEM!$B30="","",CALC_EEM!O30)</f>
      </c>
      <c r="P37">
        <f>IF(CALC_EEM!$B30="","",CALC_EEM!P30)</f>
      </c>
      <c r="Q37">
        <f>IF(CALC_EEM!$B30="","",CALC_EEM!Q30)</f>
      </c>
      <c r="R37">
        <f>IF(CALC_EEM!$B30="","",CALC_EEM!R30)</f>
      </c>
      <c r="S37">
        <f>IF(CALC_EEM!$B30="","",CALC_EEM!S30)</f>
      </c>
      <c r="T37">
        <f>IF(CALC_EEM!$B30="","",CALC_EEM!T30)</f>
      </c>
      <c r="U37">
        <f>IF(CALC_EEM!$B30="","",CALC_EEM!U30)</f>
      </c>
    </row>
    <row r="38" spans="1:24">
      <c r="A38" t="str">
        <f>IF(CALC_EEM!$B31="","",IF(CALC_EEM!A31="GLOBAL","GLOBAL",IF(CALC_EEM!C31="Total","CURSO_TOTAL",IF(CALC_EEM!C31="TotalEsp","CURSO_ESP",IF(CALC_EEM!C31="TotalNoEsp","CURSO_NOESP","CURSO_ASIG")))))</f>
      </c>
      <c r="B38" t="str">
        <f>IF(CALC_EEM!$B31="","",CALC_EEM!A31)</f>
      </c>
      <c r="C38" t="str">
        <f>IF(CALC_EEM!$B31="","",CALC_EEM!B31)</f>
      </c>
      <c r="D38">
        <f>IF(CALC_EEM!$B31="","",CALC_EEM!D31)</f>
      </c>
      <c r="E38" s="14" t="str">
        <f>IF(CALC_EEM!$B31="","",CALC_EEM!E31)</f>
      </c>
      <c r="F38" s="14" t="str">
        <f>IF(CALC_EEM!$B31="","",CALC_EEM!F31)</f>
      </c>
      <c r="G38" t="str">
        <f>IF(CALC_EEM!$B31="","",CALC_EEM!G31)</f>
      </c>
      <c r="H38" s="16" t="str">
        <f>IF(CALC_EEM!$B31="","",CALC_EEM!H31)</f>
      </c>
      <c r="I38" s="16" t="str">
        <f>IF(CALC_EEM!$B31="","",CALC_EEM!I31)</f>
      </c>
      <c r="J38" t="str">
        <f>IF(CALC_EEM!$B31="","",CALC_EEM!J31)</f>
      </c>
      <c r="K38" t="str">
        <f>IF(CALC_EEM!$B31="","",CALC_EEM!K31)</f>
      </c>
      <c r="L38">
        <f>IF(CALC_EEM!$B31="","",CALC_EEM!L31)</f>
      </c>
      <c r="M38">
        <f>IF(CALC_EEM!$B31="","",CALC_EEM!M31)</f>
      </c>
      <c r="N38">
        <f>IF(CALC_EEM!$B31="","",CALC_EEM!N31)</f>
      </c>
      <c r="O38">
        <f>IF(CALC_EEM!$B31="","",CALC_EEM!O31)</f>
      </c>
      <c r="P38">
        <f>IF(CALC_EEM!$B31="","",CALC_EEM!P31)</f>
      </c>
      <c r="Q38">
        <f>IF(CALC_EEM!$B31="","",CALC_EEM!Q31)</f>
      </c>
      <c r="R38">
        <f>IF(CALC_EEM!$B31="","",CALC_EEM!R31)</f>
      </c>
      <c r="S38">
        <f>IF(CALC_EEM!$B31="","",CALC_EEM!S31)</f>
      </c>
      <c r="T38">
        <f>IF(CALC_EEM!$B31="","",CALC_EEM!T31)</f>
      </c>
      <c r="U38">
        <f>IF(CALC_EEM!$B31="","",CALC_EEM!U31)</f>
      </c>
    </row>
    <row r="39" spans="1:24">
      <c r="A39" t="str">
        <f>IF(CALC_EEM!$B32="","",IF(CALC_EEM!A32="GLOBAL","GLOBAL",IF(CALC_EEM!C32="Total","CURSO_TOTAL",IF(CALC_EEM!C32="TotalEsp","CURSO_ESP",IF(CALC_EEM!C32="TotalNoEsp","CURSO_NOESP","CURSO_ASIG")))))</f>
      </c>
      <c r="B39" t="str">
        <f>IF(CALC_EEM!$B32="","",CALC_EEM!A32)</f>
      </c>
      <c r="C39" t="str">
        <f>IF(CALC_EEM!$B32="","",CALC_EEM!B32)</f>
      </c>
      <c r="D39">
        <f>IF(CALC_EEM!$B32="","",CALC_EEM!D32)</f>
      </c>
      <c r="E39" s="14" t="str">
        <f>IF(CALC_EEM!$B32="","",CALC_EEM!E32)</f>
      </c>
      <c r="F39" s="14" t="str">
        <f>IF(CALC_EEM!$B32="","",CALC_EEM!F32)</f>
      </c>
      <c r="G39" t="str">
        <f>IF(CALC_EEM!$B32="","",CALC_EEM!G32)</f>
      </c>
      <c r="H39" s="16" t="str">
        <f>IF(CALC_EEM!$B32="","",CALC_EEM!H32)</f>
      </c>
      <c r="I39" s="16" t="str">
        <f>IF(CALC_EEM!$B32="","",CALC_EEM!I32)</f>
      </c>
      <c r="J39" t="str">
        <f>IF(CALC_EEM!$B32="","",CALC_EEM!J32)</f>
      </c>
      <c r="K39" t="str">
        <f>IF(CALC_EEM!$B32="","",CALC_EEM!K32)</f>
      </c>
      <c r="L39">
        <f>IF(CALC_EEM!$B32="","",CALC_EEM!L32)</f>
      </c>
      <c r="M39">
        <f>IF(CALC_EEM!$B32="","",CALC_EEM!M32)</f>
      </c>
      <c r="N39">
        <f>IF(CALC_EEM!$B32="","",CALC_EEM!N32)</f>
      </c>
      <c r="O39">
        <f>IF(CALC_EEM!$B32="","",CALC_EEM!O32)</f>
      </c>
      <c r="P39">
        <f>IF(CALC_EEM!$B32="","",CALC_EEM!P32)</f>
      </c>
      <c r="Q39">
        <f>IF(CALC_EEM!$B32="","",CALC_EEM!Q32)</f>
      </c>
      <c r="R39">
        <f>IF(CALC_EEM!$B32="","",CALC_EEM!R32)</f>
      </c>
      <c r="S39">
        <f>IF(CALC_EEM!$B32="","",CALC_EEM!S32)</f>
      </c>
      <c r="T39">
        <f>IF(CALC_EEM!$B32="","",CALC_EEM!T32)</f>
      </c>
      <c r="U39">
        <f>IF(CALC_EEM!$B32="","",CALC_EEM!U32)</f>
      </c>
    </row>
    <row r="40" spans="1:24">
      <c r="A40" t="str">
        <f>IF(CALC_EEM!$B33="","",IF(CALC_EEM!A33="GLOBAL","GLOBAL",IF(CALC_EEM!C33="Total","CURSO_TOTAL",IF(CALC_EEM!C33="TotalEsp","CURSO_ESP",IF(CALC_EEM!C33="TotalNoEsp","CURSO_NOESP","CURSO_ASIG")))))</f>
      </c>
      <c r="B40" t="str">
        <f>IF(CALC_EEM!$B33="","",CALC_EEM!A33)</f>
      </c>
      <c r="C40" t="str">
        <f>IF(CALC_EEM!$B33="","",CALC_EEM!B33)</f>
      </c>
      <c r="D40">
        <f>IF(CALC_EEM!$B33="","",CALC_EEM!D33)</f>
      </c>
      <c r="E40" s="14" t="str">
        <f>IF(CALC_EEM!$B33="","",CALC_EEM!E33)</f>
      </c>
      <c r="F40" s="14" t="str">
        <f>IF(CALC_EEM!$B33="","",CALC_EEM!F33)</f>
      </c>
      <c r="G40" t="str">
        <f>IF(CALC_EEM!$B33="","",CALC_EEM!G33)</f>
      </c>
      <c r="H40" s="16" t="str">
        <f>IF(CALC_EEM!$B33="","",CALC_EEM!H33)</f>
      </c>
      <c r="I40" s="16" t="str">
        <f>IF(CALC_EEM!$B33="","",CALC_EEM!I33)</f>
      </c>
      <c r="J40" t="str">
        <f>IF(CALC_EEM!$B33="","",CALC_EEM!J33)</f>
      </c>
      <c r="K40" t="str">
        <f>IF(CALC_EEM!$B33="","",CALC_EEM!K33)</f>
      </c>
      <c r="L40">
        <f>IF(CALC_EEM!$B33="","",CALC_EEM!L33)</f>
      </c>
      <c r="M40">
        <f>IF(CALC_EEM!$B33="","",CALC_EEM!M33)</f>
      </c>
      <c r="N40">
        <f>IF(CALC_EEM!$B33="","",CALC_EEM!N33)</f>
      </c>
      <c r="O40">
        <f>IF(CALC_EEM!$B33="","",CALC_EEM!O33)</f>
      </c>
      <c r="P40">
        <f>IF(CALC_EEM!$B33="","",CALC_EEM!P33)</f>
      </c>
      <c r="Q40">
        <f>IF(CALC_EEM!$B33="","",CALC_EEM!Q33)</f>
      </c>
      <c r="R40">
        <f>IF(CALC_EEM!$B33="","",CALC_EEM!R33)</f>
      </c>
      <c r="S40">
        <f>IF(CALC_EEM!$B33="","",CALC_EEM!S33)</f>
      </c>
      <c r="T40">
        <f>IF(CALC_EEM!$B33="","",CALC_EEM!T33)</f>
      </c>
      <c r="U40">
        <f>IF(CALC_EEM!$B33="","",CALC_EEM!U33)</f>
      </c>
    </row>
    <row r="41" spans="1:24">
      <c r="A41" t="str">
        <f>IF(CALC_EEM!$B34="","",IF(CALC_EEM!A34="GLOBAL","GLOBAL",IF(CALC_EEM!C34="Total","CURSO_TOTAL",IF(CALC_EEM!C34="TotalEsp","CURSO_ESP",IF(CALC_EEM!C34="TotalNoEsp","CURSO_NOESP","CURSO_ASIG")))))</f>
      </c>
      <c r="B41" t="str">
        <f>IF(CALC_EEM!$B34="","",CALC_EEM!A34)</f>
      </c>
      <c r="C41" t="str">
        <f>IF(CALC_EEM!$B34="","",CALC_EEM!B34)</f>
      </c>
      <c r="D41">
        <f>IF(CALC_EEM!$B34="","",CALC_EEM!D34)</f>
      </c>
      <c r="E41" s="14" t="str">
        <f>IF(CALC_EEM!$B34="","",CALC_EEM!E34)</f>
      </c>
      <c r="F41" s="14" t="str">
        <f>IF(CALC_EEM!$B34="","",CALC_EEM!F34)</f>
      </c>
      <c r="G41" t="str">
        <f>IF(CALC_EEM!$B34="","",CALC_EEM!G34)</f>
      </c>
      <c r="H41" s="16" t="str">
        <f>IF(CALC_EEM!$B34="","",CALC_EEM!H34)</f>
      </c>
      <c r="I41" s="16" t="str">
        <f>IF(CALC_EEM!$B34="","",CALC_EEM!I34)</f>
      </c>
      <c r="J41" t="str">
        <f>IF(CALC_EEM!$B34="","",CALC_EEM!J34)</f>
      </c>
      <c r="K41" t="str">
        <f>IF(CALC_EEM!$B34="","",CALC_EEM!K34)</f>
      </c>
      <c r="L41">
        <f>IF(CALC_EEM!$B34="","",CALC_EEM!L34)</f>
      </c>
      <c r="M41">
        <f>IF(CALC_EEM!$B34="","",CALC_EEM!M34)</f>
      </c>
      <c r="N41">
        <f>IF(CALC_EEM!$B34="","",CALC_EEM!N34)</f>
      </c>
      <c r="O41">
        <f>IF(CALC_EEM!$B34="","",CALC_EEM!O34)</f>
      </c>
      <c r="P41">
        <f>IF(CALC_EEM!$B34="","",CALC_EEM!P34)</f>
      </c>
      <c r="Q41">
        <f>IF(CALC_EEM!$B34="","",CALC_EEM!Q34)</f>
      </c>
      <c r="R41">
        <f>IF(CALC_EEM!$B34="","",CALC_EEM!R34)</f>
      </c>
      <c r="S41">
        <f>IF(CALC_EEM!$B34="","",CALC_EEM!S34)</f>
      </c>
      <c r="T41">
        <f>IF(CALC_EEM!$B34="","",CALC_EEM!T34)</f>
      </c>
      <c r="U41">
        <f>IF(CALC_EEM!$B34="","",CALC_EEM!U34)</f>
      </c>
    </row>
    <row r="42" spans="1:24">
      <c r="A42" t="str">
        <f>IF(CALC_EEM!$B35="","",IF(CALC_EEM!A35="GLOBAL","GLOBAL",IF(CALC_EEM!C35="Total","CURSO_TOTAL",IF(CALC_EEM!C35="TotalEsp","CURSO_ESP",IF(CALC_EEM!C35="TotalNoEsp","CURSO_NOESP","CURSO_ASIG")))))</f>
      </c>
      <c r="B42" t="str">
        <f>IF(CALC_EEM!$B35="","",CALC_EEM!A35)</f>
      </c>
      <c r="C42" t="str">
        <f>IF(CALC_EEM!$B35="","",CALC_EEM!B35)</f>
      </c>
      <c r="D42">
        <f>IF(CALC_EEM!$B35="","",CALC_EEM!D35)</f>
      </c>
      <c r="E42" s="14" t="str">
        <f>IF(CALC_EEM!$B35="","",CALC_EEM!E35)</f>
      </c>
      <c r="F42" s="14" t="str">
        <f>IF(CALC_EEM!$B35="","",CALC_EEM!F35)</f>
      </c>
      <c r="G42" t="str">
        <f>IF(CALC_EEM!$B35="","",CALC_EEM!G35)</f>
      </c>
      <c r="H42" s="16" t="str">
        <f>IF(CALC_EEM!$B35="","",CALC_EEM!H35)</f>
      </c>
      <c r="I42" s="16" t="str">
        <f>IF(CALC_EEM!$B35="","",CALC_EEM!I35)</f>
      </c>
      <c r="J42" t="str">
        <f>IF(CALC_EEM!$B35="","",CALC_EEM!J35)</f>
      </c>
      <c r="K42" t="str">
        <f>IF(CALC_EEM!$B35="","",CALC_EEM!K35)</f>
      </c>
      <c r="L42">
        <f>IF(CALC_EEM!$B35="","",CALC_EEM!L35)</f>
      </c>
      <c r="M42">
        <f>IF(CALC_EEM!$B35="","",CALC_EEM!M35)</f>
      </c>
      <c r="N42">
        <f>IF(CALC_EEM!$B35="","",CALC_EEM!N35)</f>
      </c>
      <c r="O42">
        <f>IF(CALC_EEM!$B35="","",CALC_EEM!O35)</f>
      </c>
      <c r="P42">
        <f>IF(CALC_EEM!$B35="","",CALC_EEM!P35)</f>
      </c>
      <c r="Q42">
        <f>IF(CALC_EEM!$B35="","",CALC_EEM!Q35)</f>
      </c>
      <c r="R42">
        <f>IF(CALC_EEM!$B35="","",CALC_EEM!R35)</f>
      </c>
      <c r="S42">
        <f>IF(CALC_EEM!$B35="","",CALC_EEM!S35)</f>
      </c>
      <c r="T42">
        <f>IF(CALC_EEM!$B35="","",CALC_EEM!T35)</f>
      </c>
      <c r="U42">
        <f>IF(CALC_EEM!$B35="","",CALC_EEM!U35)</f>
      </c>
    </row>
    <row r="43" spans="1:24">
      <c r="A43" t="str">
        <f>IF(CALC_EEM!$B36="","",IF(CALC_EEM!A36="GLOBAL","GLOBAL",IF(CALC_EEM!C36="Total","CURSO_TOTAL",IF(CALC_EEM!C36="TotalEsp","CURSO_ESP",IF(CALC_EEM!C36="TotalNoEsp","CURSO_NOESP","CURSO_ASIG")))))</f>
      </c>
      <c r="B43" t="str">
        <f>IF(CALC_EEM!$B36="","",CALC_EEM!A36)</f>
      </c>
      <c r="C43" t="str">
        <f>IF(CALC_EEM!$B36="","",CALC_EEM!B36)</f>
      </c>
      <c r="D43">
        <f>IF(CALC_EEM!$B36="","",CALC_EEM!D36)</f>
      </c>
      <c r="E43" s="14" t="str">
        <f>IF(CALC_EEM!$B36="","",CALC_EEM!E36)</f>
      </c>
      <c r="F43" s="14" t="str">
        <f>IF(CALC_EEM!$B36="","",CALC_EEM!F36)</f>
      </c>
      <c r="G43" t="str">
        <f>IF(CALC_EEM!$B36="","",CALC_EEM!G36)</f>
      </c>
      <c r="H43" s="16" t="str">
        <f>IF(CALC_EEM!$B36="","",CALC_EEM!H36)</f>
      </c>
      <c r="I43" s="16" t="str">
        <f>IF(CALC_EEM!$B36="","",CALC_EEM!I36)</f>
      </c>
      <c r="J43" t="str">
        <f>IF(CALC_EEM!$B36="","",CALC_EEM!J36)</f>
      </c>
      <c r="K43" t="str">
        <f>IF(CALC_EEM!$B36="","",CALC_EEM!K36)</f>
      </c>
      <c r="L43">
        <f>IF(CALC_EEM!$B36="","",CALC_EEM!L36)</f>
      </c>
      <c r="M43">
        <f>IF(CALC_EEM!$B36="","",CALC_EEM!M36)</f>
      </c>
      <c r="N43">
        <f>IF(CALC_EEM!$B36="","",CALC_EEM!N36)</f>
      </c>
      <c r="O43">
        <f>IF(CALC_EEM!$B36="","",CALC_EEM!O36)</f>
      </c>
      <c r="P43">
        <f>IF(CALC_EEM!$B36="","",CALC_EEM!P36)</f>
      </c>
      <c r="Q43">
        <f>IF(CALC_EEM!$B36="","",CALC_EEM!Q36)</f>
      </c>
      <c r="R43">
        <f>IF(CALC_EEM!$B36="","",CALC_EEM!R36)</f>
      </c>
      <c r="S43">
        <f>IF(CALC_EEM!$B36="","",CALC_EEM!S36)</f>
      </c>
      <c r="T43">
        <f>IF(CALC_EEM!$B36="","",CALC_EEM!T36)</f>
      </c>
      <c r="U43">
        <f>IF(CALC_EEM!$B36="","",CALC_EEM!U36)</f>
      </c>
    </row>
    <row r="44" spans="1:24">
      <c r="A44" t="str">
        <f>IF(CALC_EEM!$B37="","",IF(CALC_EEM!A37="GLOBAL","GLOBAL",IF(CALC_EEM!C37="Total","CURSO_TOTAL",IF(CALC_EEM!C37="TotalEsp","CURSO_ESP",IF(CALC_EEM!C37="TotalNoEsp","CURSO_NOESP","CURSO_ASIG")))))</f>
      </c>
      <c r="B44" t="str">
        <f>IF(CALC_EEM!$B37="","",CALC_EEM!A37)</f>
      </c>
      <c r="C44" t="str">
        <f>IF(CALC_EEM!$B37="","",CALC_EEM!B37)</f>
      </c>
      <c r="D44">
        <f>IF(CALC_EEM!$B37="","",CALC_EEM!D37)</f>
      </c>
      <c r="E44" s="14" t="str">
        <f>IF(CALC_EEM!$B37="","",CALC_EEM!E37)</f>
      </c>
      <c r="F44" s="14" t="str">
        <f>IF(CALC_EEM!$B37="","",CALC_EEM!F37)</f>
      </c>
      <c r="G44" t="str">
        <f>IF(CALC_EEM!$B37="","",CALC_EEM!G37)</f>
      </c>
      <c r="H44" s="16" t="str">
        <f>IF(CALC_EEM!$B37="","",CALC_EEM!H37)</f>
      </c>
      <c r="I44" s="16" t="str">
        <f>IF(CALC_EEM!$B37="","",CALC_EEM!I37)</f>
      </c>
      <c r="J44" t="str">
        <f>IF(CALC_EEM!$B37="","",CALC_EEM!J37)</f>
      </c>
      <c r="K44" t="str">
        <f>IF(CALC_EEM!$B37="","",CALC_EEM!K37)</f>
      </c>
      <c r="L44">
        <f>IF(CALC_EEM!$B37="","",CALC_EEM!L37)</f>
      </c>
      <c r="M44">
        <f>IF(CALC_EEM!$B37="","",CALC_EEM!M37)</f>
      </c>
      <c r="N44">
        <f>IF(CALC_EEM!$B37="","",CALC_EEM!N37)</f>
      </c>
      <c r="O44">
        <f>IF(CALC_EEM!$B37="","",CALC_EEM!O37)</f>
      </c>
      <c r="P44">
        <f>IF(CALC_EEM!$B37="","",CALC_EEM!P37)</f>
      </c>
      <c r="Q44">
        <f>IF(CALC_EEM!$B37="","",CALC_EEM!Q37)</f>
      </c>
      <c r="R44">
        <f>IF(CALC_EEM!$B37="","",CALC_EEM!R37)</f>
      </c>
      <c r="S44">
        <f>IF(CALC_EEM!$B37="","",CALC_EEM!S37)</f>
      </c>
      <c r="T44">
        <f>IF(CALC_EEM!$B37="","",CALC_EEM!T37)</f>
      </c>
      <c r="U44">
        <f>IF(CALC_EEM!$B37="","",CALC_EEM!U37)</f>
      </c>
    </row>
    <row r="45" spans="1:24">
      <c r="A45" t="str">
        <f>IF(CALC_EEM!$B38="","",IF(CALC_EEM!A38="GLOBAL","GLOBAL",IF(CALC_EEM!C38="Total","CURSO_TOTAL",IF(CALC_EEM!C38="TotalEsp","CURSO_ESP",IF(CALC_EEM!C38="TotalNoEsp","CURSO_NOESP","CURSO_ASIG")))))</f>
      </c>
      <c r="B45" t="str">
        <f>IF(CALC_EEM!$B38="","",CALC_EEM!A38)</f>
      </c>
      <c r="C45" t="str">
        <f>IF(CALC_EEM!$B38="","",CALC_EEM!B38)</f>
      </c>
      <c r="D45">
        <f>IF(CALC_EEM!$B38="","",CALC_EEM!D38)</f>
      </c>
      <c r="E45" s="14" t="str">
        <f>IF(CALC_EEM!$B38="","",CALC_EEM!E38)</f>
      </c>
      <c r="F45" s="14" t="str">
        <f>IF(CALC_EEM!$B38="","",CALC_EEM!F38)</f>
      </c>
      <c r="G45" t="str">
        <f>IF(CALC_EEM!$B38="","",CALC_EEM!G38)</f>
      </c>
      <c r="H45" s="16" t="str">
        <f>IF(CALC_EEM!$B38="","",CALC_EEM!H38)</f>
      </c>
      <c r="I45" s="16" t="str">
        <f>IF(CALC_EEM!$B38="","",CALC_EEM!I38)</f>
      </c>
      <c r="J45" t="str">
        <f>IF(CALC_EEM!$B38="","",CALC_EEM!J38)</f>
      </c>
      <c r="K45" t="str">
        <f>IF(CALC_EEM!$B38="","",CALC_EEM!K38)</f>
      </c>
      <c r="L45">
        <f>IF(CALC_EEM!$B38="","",CALC_EEM!L38)</f>
      </c>
      <c r="M45">
        <f>IF(CALC_EEM!$B38="","",CALC_EEM!M38)</f>
      </c>
      <c r="N45">
        <f>IF(CALC_EEM!$B38="","",CALC_EEM!N38)</f>
      </c>
      <c r="O45">
        <f>IF(CALC_EEM!$B38="","",CALC_EEM!O38)</f>
      </c>
      <c r="P45">
        <f>IF(CALC_EEM!$B38="","",CALC_EEM!P38)</f>
      </c>
      <c r="Q45">
        <f>IF(CALC_EEM!$B38="","",CALC_EEM!Q38)</f>
      </c>
      <c r="R45">
        <f>IF(CALC_EEM!$B38="","",CALC_EEM!R38)</f>
      </c>
      <c r="S45">
        <f>IF(CALC_EEM!$B38="","",CALC_EEM!S38)</f>
      </c>
      <c r="T45">
        <f>IF(CALC_EEM!$B38="","",CALC_EEM!T38)</f>
      </c>
      <c r="U45">
        <f>IF(CALC_EEM!$B38="","",CALC_EEM!U38)</f>
      </c>
    </row>
    <row r="46" spans="1:24">
      <c r="A46" t="str">
        <f>IF(CALC_EEM!$B39="","",IF(CALC_EEM!A39="GLOBAL","GLOBAL",IF(CALC_EEM!C39="Total","CURSO_TOTAL",IF(CALC_EEM!C39="TotalEsp","CURSO_ESP",IF(CALC_EEM!C39="TotalNoEsp","CURSO_NOESP","CURSO_ASIG")))))</f>
      </c>
      <c r="B46" t="str">
        <f>IF(CALC_EEM!$B39="","",CALC_EEM!A39)</f>
      </c>
      <c r="C46" t="str">
        <f>IF(CALC_EEM!$B39="","",CALC_EEM!B39)</f>
      </c>
      <c r="D46">
        <f>IF(CALC_EEM!$B39="","",CALC_EEM!D39)</f>
      </c>
      <c r="E46" s="14" t="str">
        <f>IF(CALC_EEM!$B39="","",CALC_EEM!E39)</f>
      </c>
      <c r="F46" s="14" t="str">
        <f>IF(CALC_EEM!$B39="","",CALC_EEM!F39)</f>
      </c>
      <c r="G46" t="str">
        <f>IF(CALC_EEM!$B39="","",CALC_EEM!G39)</f>
      </c>
      <c r="H46" s="16" t="str">
        <f>IF(CALC_EEM!$B39="","",CALC_EEM!H39)</f>
      </c>
      <c r="I46" s="16" t="str">
        <f>IF(CALC_EEM!$B39="","",CALC_EEM!I39)</f>
      </c>
      <c r="J46" t="str">
        <f>IF(CALC_EEM!$B39="","",CALC_EEM!J39)</f>
      </c>
      <c r="K46" t="str">
        <f>IF(CALC_EEM!$B39="","",CALC_EEM!K39)</f>
      </c>
      <c r="L46">
        <f>IF(CALC_EEM!$B39="","",CALC_EEM!L39)</f>
      </c>
      <c r="M46">
        <f>IF(CALC_EEM!$B39="","",CALC_EEM!M39)</f>
      </c>
      <c r="N46">
        <f>IF(CALC_EEM!$B39="","",CALC_EEM!N39)</f>
      </c>
      <c r="O46">
        <f>IF(CALC_EEM!$B39="","",CALC_EEM!O39)</f>
      </c>
      <c r="P46">
        <f>IF(CALC_EEM!$B39="","",CALC_EEM!P39)</f>
      </c>
      <c r="Q46">
        <f>IF(CALC_EEM!$B39="","",CALC_EEM!Q39)</f>
      </c>
      <c r="R46">
        <f>IF(CALC_EEM!$B39="","",CALC_EEM!R39)</f>
      </c>
      <c r="S46">
        <f>IF(CALC_EEM!$B39="","",CALC_EEM!S39)</f>
      </c>
      <c r="T46">
        <f>IF(CALC_EEM!$B39="","",CALC_EEM!T39)</f>
      </c>
      <c r="U46">
        <f>IF(CALC_EEM!$B39="","",CALC_EEM!U39)</f>
      </c>
    </row>
    <row r="47" spans="1:24">
      <c r="A47" t="str">
        <f>IF(CALC_EEM!$B40="","",IF(CALC_EEM!A40="GLOBAL","GLOBAL",IF(CALC_EEM!C40="Total","CURSO_TOTAL",IF(CALC_EEM!C40="TotalEsp","CURSO_ESP",IF(CALC_EEM!C40="TotalNoEsp","CURSO_NOESP","CURSO_ASIG")))))</f>
      </c>
      <c r="B47" t="str">
        <f>IF(CALC_EEM!$B40="","",CALC_EEM!A40)</f>
      </c>
      <c r="C47" t="str">
        <f>IF(CALC_EEM!$B40="","",CALC_EEM!B40)</f>
      </c>
      <c r="D47">
        <f>IF(CALC_EEM!$B40="","",CALC_EEM!D40)</f>
      </c>
      <c r="E47" s="14" t="str">
        <f>IF(CALC_EEM!$B40="","",CALC_EEM!E40)</f>
      </c>
      <c r="F47" s="14" t="str">
        <f>IF(CALC_EEM!$B40="","",CALC_EEM!F40)</f>
      </c>
      <c r="G47" t="str">
        <f>IF(CALC_EEM!$B40="","",CALC_EEM!G40)</f>
      </c>
      <c r="H47" s="16" t="str">
        <f>IF(CALC_EEM!$B40="","",CALC_EEM!H40)</f>
      </c>
      <c r="I47" s="16" t="str">
        <f>IF(CALC_EEM!$B40="","",CALC_EEM!I40)</f>
      </c>
      <c r="J47" t="str">
        <f>IF(CALC_EEM!$B40="","",CALC_EEM!J40)</f>
      </c>
      <c r="K47" t="str">
        <f>IF(CALC_EEM!$B40="","",CALC_EEM!K40)</f>
      </c>
      <c r="L47">
        <f>IF(CALC_EEM!$B40="","",CALC_EEM!L40)</f>
      </c>
      <c r="M47">
        <f>IF(CALC_EEM!$B40="","",CALC_EEM!M40)</f>
      </c>
      <c r="N47">
        <f>IF(CALC_EEM!$B40="","",CALC_EEM!N40)</f>
      </c>
      <c r="O47">
        <f>IF(CALC_EEM!$B40="","",CALC_EEM!O40)</f>
      </c>
      <c r="P47">
        <f>IF(CALC_EEM!$B40="","",CALC_EEM!P40)</f>
      </c>
      <c r="Q47">
        <f>IF(CALC_EEM!$B40="","",CALC_EEM!Q40)</f>
      </c>
      <c r="R47">
        <f>IF(CALC_EEM!$B40="","",CALC_EEM!R40)</f>
      </c>
      <c r="S47">
        <f>IF(CALC_EEM!$B40="","",CALC_EEM!S40)</f>
      </c>
      <c r="T47">
        <f>IF(CALC_EEM!$B40="","",CALC_EEM!T40)</f>
      </c>
      <c r="U47">
        <f>IF(CALC_EEM!$B40="","",CALC_EEM!U40)</f>
      </c>
    </row>
    <row r="48" spans="1:24">
      <c r="A48" t="str">
        <f>IF(CALC_EEM!$B41="","",IF(CALC_EEM!A41="GLOBAL","GLOBAL",IF(CALC_EEM!C41="Total","CURSO_TOTAL",IF(CALC_EEM!C41="TotalEsp","CURSO_ESP",IF(CALC_EEM!C41="TotalNoEsp","CURSO_NOESP","CURSO_ASIG")))))</f>
      </c>
      <c r="B48" t="str">
        <f>IF(CALC_EEM!$B41="","",CALC_EEM!A41)</f>
      </c>
      <c r="C48" t="str">
        <f>IF(CALC_EEM!$B41="","",CALC_EEM!B41)</f>
      </c>
      <c r="D48">
        <f>IF(CALC_EEM!$B41="","",CALC_EEM!D41)</f>
      </c>
      <c r="E48" s="14" t="str">
        <f>IF(CALC_EEM!$B41="","",CALC_EEM!E41)</f>
      </c>
      <c r="F48" s="14" t="str">
        <f>IF(CALC_EEM!$B41="","",CALC_EEM!F41)</f>
      </c>
      <c r="G48" t="str">
        <f>IF(CALC_EEM!$B41="","",CALC_EEM!G41)</f>
      </c>
      <c r="H48" s="16" t="str">
        <f>IF(CALC_EEM!$B41="","",CALC_EEM!H41)</f>
      </c>
      <c r="I48" s="16" t="str">
        <f>IF(CALC_EEM!$B41="","",CALC_EEM!I41)</f>
      </c>
      <c r="J48" t="str">
        <f>IF(CALC_EEM!$B41="","",CALC_EEM!J41)</f>
      </c>
      <c r="K48" t="str">
        <f>IF(CALC_EEM!$B41="","",CALC_EEM!K41)</f>
      </c>
      <c r="L48">
        <f>IF(CALC_EEM!$B41="","",CALC_EEM!L41)</f>
      </c>
      <c r="M48">
        <f>IF(CALC_EEM!$B41="","",CALC_EEM!M41)</f>
      </c>
      <c r="N48">
        <f>IF(CALC_EEM!$B41="","",CALC_EEM!N41)</f>
      </c>
      <c r="O48">
        <f>IF(CALC_EEM!$B41="","",CALC_EEM!O41)</f>
      </c>
      <c r="P48">
        <f>IF(CALC_EEM!$B41="","",CALC_EEM!P41)</f>
      </c>
      <c r="Q48">
        <f>IF(CALC_EEM!$B41="","",CALC_EEM!Q41)</f>
      </c>
      <c r="R48">
        <f>IF(CALC_EEM!$B41="","",CALC_EEM!R41)</f>
      </c>
      <c r="S48">
        <f>IF(CALC_EEM!$B41="","",CALC_EEM!S41)</f>
      </c>
      <c r="T48">
        <f>IF(CALC_EEM!$B41="","",CALC_EEM!T41)</f>
      </c>
      <c r="U48">
        <f>IF(CALC_EEM!$B41="","",CALC_EEM!U41)</f>
      </c>
    </row>
    <row r="49" spans="1:24">
      <c r="A49" t="str">
        <f>IF(CALC_EEM!$B42="","",IF(CALC_EEM!A42="GLOBAL","GLOBAL",IF(CALC_EEM!C42="Total","CURSO_TOTAL",IF(CALC_EEM!C42="TotalEsp","CURSO_ESP",IF(CALC_EEM!C42="TotalNoEsp","CURSO_NOESP","CURSO_ASIG")))))</f>
      </c>
      <c r="B49" t="str">
        <f>IF(CALC_EEM!$B42="","",CALC_EEM!A42)</f>
      </c>
      <c r="C49" t="str">
        <f>IF(CALC_EEM!$B42="","",CALC_EEM!B42)</f>
      </c>
      <c r="D49">
        <f>IF(CALC_EEM!$B42="","",CALC_EEM!D42)</f>
      </c>
      <c r="E49" s="14" t="str">
        <f>IF(CALC_EEM!$B42="","",CALC_EEM!E42)</f>
      </c>
      <c r="F49" s="14" t="str">
        <f>IF(CALC_EEM!$B42="","",CALC_EEM!F42)</f>
      </c>
      <c r="G49" t="str">
        <f>IF(CALC_EEM!$B42="","",CALC_EEM!G42)</f>
      </c>
      <c r="H49" s="16" t="str">
        <f>IF(CALC_EEM!$B42="","",CALC_EEM!H42)</f>
      </c>
      <c r="I49" s="16" t="str">
        <f>IF(CALC_EEM!$B42="","",CALC_EEM!I42)</f>
      </c>
      <c r="J49" t="str">
        <f>IF(CALC_EEM!$B42="","",CALC_EEM!J42)</f>
      </c>
      <c r="K49" t="str">
        <f>IF(CALC_EEM!$B42="","",CALC_EEM!K42)</f>
      </c>
      <c r="L49">
        <f>IF(CALC_EEM!$B42="","",CALC_EEM!L42)</f>
      </c>
      <c r="M49">
        <f>IF(CALC_EEM!$B42="","",CALC_EEM!M42)</f>
      </c>
      <c r="N49">
        <f>IF(CALC_EEM!$B42="","",CALC_EEM!N42)</f>
      </c>
      <c r="O49">
        <f>IF(CALC_EEM!$B42="","",CALC_EEM!O42)</f>
      </c>
      <c r="P49">
        <f>IF(CALC_EEM!$B42="","",CALC_EEM!P42)</f>
      </c>
      <c r="Q49">
        <f>IF(CALC_EEM!$B42="","",CALC_EEM!Q42)</f>
      </c>
      <c r="R49">
        <f>IF(CALC_EEM!$B42="","",CALC_EEM!R42)</f>
      </c>
      <c r="S49">
        <f>IF(CALC_EEM!$B42="","",CALC_EEM!S42)</f>
      </c>
      <c r="T49">
        <f>IF(CALC_EEM!$B42="","",CALC_EEM!T42)</f>
      </c>
      <c r="U49">
        <f>IF(CALC_EEM!$B42="","",CALC_EEM!U42)</f>
      </c>
    </row>
    <row r="50" spans="1:24">
      <c r="A50" t="str">
        <f>IF(CALC_EEM!$B43="","",IF(CALC_EEM!A43="GLOBAL","GLOBAL",IF(CALC_EEM!C43="Total","CURSO_TOTAL",IF(CALC_EEM!C43="TotalEsp","CURSO_ESP",IF(CALC_EEM!C43="TotalNoEsp","CURSO_NOESP","CURSO_ASIG")))))</f>
      </c>
      <c r="B50" t="str">
        <f>IF(CALC_EEM!$B43="","",CALC_EEM!A43)</f>
      </c>
      <c r="C50" t="str">
        <f>IF(CALC_EEM!$B43="","",CALC_EEM!B43)</f>
      </c>
      <c r="D50">
        <f>IF(CALC_EEM!$B43="","",CALC_EEM!D43)</f>
      </c>
      <c r="E50" s="14" t="str">
        <f>IF(CALC_EEM!$B43="","",CALC_EEM!E43)</f>
      </c>
      <c r="F50" s="14" t="str">
        <f>IF(CALC_EEM!$B43="","",CALC_EEM!F43)</f>
      </c>
      <c r="G50" t="str">
        <f>IF(CALC_EEM!$B43="","",CALC_EEM!G43)</f>
      </c>
      <c r="H50" s="16" t="str">
        <f>IF(CALC_EEM!$B43="","",CALC_EEM!H43)</f>
      </c>
      <c r="I50" s="16" t="str">
        <f>IF(CALC_EEM!$B43="","",CALC_EEM!I43)</f>
      </c>
      <c r="J50" t="str">
        <f>IF(CALC_EEM!$B43="","",CALC_EEM!J43)</f>
      </c>
      <c r="K50" t="str">
        <f>IF(CALC_EEM!$B43="","",CALC_EEM!K43)</f>
      </c>
      <c r="L50">
        <f>IF(CALC_EEM!$B43="","",CALC_EEM!L43)</f>
      </c>
      <c r="M50">
        <f>IF(CALC_EEM!$B43="","",CALC_EEM!M43)</f>
      </c>
      <c r="N50">
        <f>IF(CALC_EEM!$B43="","",CALC_EEM!N43)</f>
      </c>
      <c r="O50">
        <f>IF(CALC_EEM!$B43="","",CALC_EEM!O43)</f>
      </c>
      <c r="P50">
        <f>IF(CALC_EEM!$B43="","",CALC_EEM!P43)</f>
      </c>
      <c r="Q50">
        <f>IF(CALC_EEM!$B43="","",CALC_EEM!Q43)</f>
      </c>
      <c r="R50">
        <f>IF(CALC_EEM!$B43="","",CALC_EEM!R43)</f>
      </c>
      <c r="S50">
        <f>IF(CALC_EEM!$B43="","",CALC_EEM!S43)</f>
      </c>
      <c r="T50">
        <f>IF(CALC_EEM!$B43="","",CALC_EEM!T43)</f>
      </c>
      <c r="U50">
        <f>IF(CALC_EEM!$B43="","",CALC_EEM!U43)</f>
      </c>
    </row>
    <row r="51" spans="1:24">
      <c r="A51" t="str">
        <f>IF(CALC_EEM!$B44="","",IF(CALC_EEM!A44="GLOBAL","GLOBAL",IF(CALC_EEM!C44="Total","CURSO_TOTAL",IF(CALC_EEM!C44="TotalEsp","CURSO_ESP",IF(CALC_EEM!C44="TotalNoEsp","CURSO_NOESP","CURSO_ASIG")))))</f>
      </c>
      <c r="B51" t="str">
        <f>IF(CALC_EEM!$B44="","",CALC_EEM!A44)</f>
      </c>
      <c r="C51" t="str">
        <f>IF(CALC_EEM!$B44="","",CALC_EEM!B44)</f>
      </c>
      <c r="D51">
        <f>IF(CALC_EEM!$B44="","",CALC_EEM!D44)</f>
      </c>
      <c r="E51" s="14" t="str">
        <f>IF(CALC_EEM!$B44="","",CALC_EEM!E44)</f>
      </c>
      <c r="F51" s="14" t="str">
        <f>IF(CALC_EEM!$B44="","",CALC_EEM!F44)</f>
      </c>
      <c r="G51" t="str">
        <f>IF(CALC_EEM!$B44="","",CALC_EEM!G44)</f>
      </c>
      <c r="H51" s="16" t="str">
        <f>IF(CALC_EEM!$B44="","",CALC_EEM!H44)</f>
      </c>
      <c r="I51" s="16" t="str">
        <f>IF(CALC_EEM!$B44="","",CALC_EEM!I44)</f>
      </c>
      <c r="J51" t="str">
        <f>IF(CALC_EEM!$B44="","",CALC_EEM!J44)</f>
      </c>
      <c r="K51" t="str">
        <f>IF(CALC_EEM!$B44="","",CALC_EEM!K44)</f>
      </c>
      <c r="L51">
        <f>IF(CALC_EEM!$B44="","",CALC_EEM!L44)</f>
      </c>
      <c r="M51">
        <f>IF(CALC_EEM!$B44="","",CALC_EEM!M44)</f>
      </c>
      <c r="N51">
        <f>IF(CALC_EEM!$B44="","",CALC_EEM!N44)</f>
      </c>
      <c r="O51">
        <f>IF(CALC_EEM!$B44="","",CALC_EEM!O44)</f>
      </c>
      <c r="P51">
        <f>IF(CALC_EEM!$B44="","",CALC_EEM!P44)</f>
      </c>
      <c r="Q51">
        <f>IF(CALC_EEM!$B44="","",CALC_EEM!Q44)</f>
      </c>
      <c r="R51">
        <f>IF(CALC_EEM!$B44="","",CALC_EEM!R44)</f>
      </c>
      <c r="S51">
        <f>IF(CALC_EEM!$B44="","",CALC_EEM!S44)</f>
      </c>
      <c r="T51">
        <f>IF(CALC_EEM!$B44="","",CALC_EEM!T44)</f>
      </c>
      <c r="U51">
        <f>IF(CALC_EEM!$B44="","",CALC_EEM!U44)</f>
      </c>
    </row>
    <row r="52" spans="1:24">
      <c r="A52" t="str">
        <f>IF(CALC_EEM!$B45="","",IF(CALC_EEM!A45="GLOBAL","GLOBAL",IF(CALC_EEM!C45="Total","CURSO_TOTAL",IF(CALC_EEM!C45="TotalEsp","CURSO_ESP",IF(CALC_EEM!C45="TotalNoEsp","CURSO_NOESP","CURSO_ASIG")))))</f>
      </c>
      <c r="B52" t="str">
        <f>IF(CALC_EEM!$B45="","",CALC_EEM!A45)</f>
      </c>
      <c r="C52" t="str">
        <f>IF(CALC_EEM!$B45="","",CALC_EEM!B45)</f>
      </c>
      <c r="D52">
        <f>IF(CALC_EEM!$B45="","",CALC_EEM!D45)</f>
      </c>
      <c r="E52" s="14" t="str">
        <f>IF(CALC_EEM!$B45="","",CALC_EEM!E45)</f>
      </c>
      <c r="F52" s="14" t="str">
        <f>IF(CALC_EEM!$B45="","",CALC_EEM!F45)</f>
      </c>
      <c r="G52" t="str">
        <f>IF(CALC_EEM!$B45="","",CALC_EEM!G45)</f>
      </c>
      <c r="H52" s="16" t="str">
        <f>IF(CALC_EEM!$B45="","",CALC_EEM!H45)</f>
      </c>
      <c r="I52" s="16" t="str">
        <f>IF(CALC_EEM!$B45="","",CALC_EEM!I45)</f>
      </c>
      <c r="J52" t="str">
        <f>IF(CALC_EEM!$B45="","",CALC_EEM!J45)</f>
      </c>
      <c r="K52" t="str">
        <f>IF(CALC_EEM!$B45="","",CALC_EEM!K45)</f>
      </c>
      <c r="L52">
        <f>IF(CALC_EEM!$B45="","",CALC_EEM!L45)</f>
      </c>
      <c r="M52">
        <f>IF(CALC_EEM!$B45="","",CALC_EEM!M45)</f>
      </c>
      <c r="N52">
        <f>IF(CALC_EEM!$B45="","",CALC_EEM!N45)</f>
      </c>
      <c r="O52">
        <f>IF(CALC_EEM!$B45="","",CALC_EEM!O45)</f>
      </c>
      <c r="P52">
        <f>IF(CALC_EEM!$B45="","",CALC_EEM!P45)</f>
      </c>
      <c r="Q52">
        <f>IF(CALC_EEM!$B45="","",CALC_EEM!Q45)</f>
      </c>
      <c r="R52">
        <f>IF(CALC_EEM!$B45="","",CALC_EEM!R45)</f>
      </c>
      <c r="S52">
        <f>IF(CALC_EEM!$B45="","",CALC_EEM!S45)</f>
      </c>
      <c r="T52">
        <f>IF(CALC_EEM!$B45="","",CALC_EEM!T45)</f>
      </c>
      <c r="U52">
        <f>IF(CALC_EEM!$B45="","",CALC_EEM!U45)</f>
      </c>
    </row>
    <row r="53" spans="1:24">
      <c r="A53" t="str">
        <f>IF(CALC_EEM!$B46="","",IF(CALC_EEM!A46="GLOBAL","GLOBAL",IF(CALC_EEM!C46="Total","CURSO_TOTAL",IF(CALC_EEM!C46="TotalEsp","CURSO_ESP",IF(CALC_EEM!C46="TotalNoEsp","CURSO_NOESP","CURSO_ASIG")))))</f>
      </c>
      <c r="B53" t="str">
        <f>IF(CALC_EEM!$B46="","",CALC_EEM!A46)</f>
      </c>
      <c r="C53" t="str">
        <f>IF(CALC_EEM!$B46="","",CALC_EEM!B46)</f>
      </c>
      <c r="D53">
        <f>IF(CALC_EEM!$B46="","",CALC_EEM!D46)</f>
      </c>
      <c r="E53" s="14" t="str">
        <f>IF(CALC_EEM!$B46="","",CALC_EEM!E46)</f>
      </c>
      <c r="F53" s="14" t="str">
        <f>IF(CALC_EEM!$B46="","",CALC_EEM!F46)</f>
      </c>
      <c r="G53" t="str">
        <f>IF(CALC_EEM!$B46="","",CALC_EEM!G46)</f>
      </c>
      <c r="H53" s="16" t="str">
        <f>IF(CALC_EEM!$B46="","",CALC_EEM!H46)</f>
      </c>
      <c r="I53" s="16" t="str">
        <f>IF(CALC_EEM!$B46="","",CALC_EEM!I46)</f>
      </c>
      <c r="J53" t="str">
        <f>IF(CALC_EEM!$B46="","",CALC_EEM!J46)</f>
      </c>
      <c r="K53" t="str">
        <f>IF(CALC_EEM!$B46="","",CALC_EEM!K46)</f>
      </c>
      <c r="L53">
        <f>IF(CALC_EEM!$B46="","",CALC_EEM!L46)</f>
      </c>
      <c r="M53">
        <f>IF(CALC_EEM!$B46="","",CALC_EEM!M46)</f>
      </c>
      <c r="N53">
        <f>IF(CALC_EEM!$B46="","",CALC_EEM!N46)</f>
      </c>
      <c r="O53">
        <f>IF(CALC_EEM!$B46="","",CALC_EEM!O46)</f>
      </c>
      <c r="P53">
        <f>IF(CALC_EEM!$B46="","",CALC_EEM!P46)</f>
      </c>
      <c r="Q53">
        <f>IF(CALC_EEM!$B46="","",CALC_EEM!Q46)</f>
      </c>
      <c r="R53">
        <f>IF(CALC_EEM!$B46="","",CALC_EEM!R46)</f>
      </c>
      <c r="S53">
        <f>IF(CALC_EEM!$B46="","",CALC_EEM!S46)</f>
      </c>
      <c r="T53">
        <f>IF(CALC_EEM!$B46="","",CALC_EEM!T46)</f>
      </c>
      <c r="U53">
        <f>IF(CALC_EEM!$B46="","",CALC_EEM!U46)</f>
      </c>
    </row>
    <row r="54" spans="1:24">
      <c r="A54" t="str">
        <f>IF(CALC_EEM!$B47="","",IF(CALC_EEM!A47="GLOBAL","GLOBAL",IF(CALC_EEM!C47="Total","CURSO_TOTAL",IF(CALC_EEM!C47="TotalEsp","CURSO_ESP",IF(CALC_EEM!C47="TotalNoEsp","CURSO_NOESP","CURSO_ASIG")))))</f>
      </c>
      <c r="B54" t="str">
        <f>IF(CALC_EEM!$B47="","",CALC_EEM!A47)</f>
      </c>
      <c r="C54" t="str">
        <f>IF(CALC_EEM!$B47="","",CALC_EEM!B47)</f>
      </c>
      <c r="D54">
        <f>IF(CALC_EEM!$B47="","",CALC_EEM!D47)</f>
      </c>
      <c r="E54" s="14" t="str">
        <f>IF(CALC_EEM!$B47="","",CALC_EEM!E47)</f>
      </c>
      <c r="F54" s="14" t="str">
        <f>IF(CALC_EEM!$B47="","",CALC_EEM!F47)</f>
      </c>
      <c r="G54" t="str">
        <f>IF(CALC_EEM!$B47="","",CALC_EEM!G47)</f>
      </c>
      <c r="H54" s="16" t="str">
        <f>IF(CALC_EEM!$B47="","",CALC_EEM!H47)</f>
      </c>
      <c r="I54" s="16" t="str">
        <f>IF(CALC_EEM!$B47="","",CALC_EEM!I47)</f>
      </c>
      <c r="J54" t="str">
        <f>IF(CALC_EEM!$B47="","",CALC_EEM!J47)</f>
      </c>
      <c r="K54" t="str">
        <f>IF(CALC_EEM!$B47="","",CALC_EEM!K47)</f>
      </c>
      <c r="L54">
        <f>IF(CALC_EEM!$B47="","",CALC_EEM!L47)</f>
      </c>
      <c r="M54">
        <f>IF(CALC_EEM!$B47="","",CALC_EEM!M47)</f>
      </c>
      <c r="N54">
        <f>IF(CALC_EEM!$B47="","",CALC_EEM!N47)</f>
      </c>
      <c r="O54">
        <f>IF(CALC_EEM!$B47="","",CALC_EEM!O47)</f>
      </c>
      <c r="P54">
        <f>IF(CALC_EEM!$B47="","",CALC_EEM!P47)</f>
      </c>
      <c r="Q54">
        <f>IF(CALC_EEM!$B47="","",CALC_EEM!Q47)</f>
      </c>
      <c r="R54">
        <f>IF(CALC_EEM!$B47="","",CALC_EEM!R47)</f>
      </c>
      <c r="S54">
        <f>IF(CALC_EEM!$B47="","",CALC_EEM!S47)</f>
      </c>
      <c r="T54">
        <f>IF(CALC_EEM!$B47="","",CALC_EEM!T47)</f>
      </c>
      <c r="U54">
        <f>IF(CALC_EEM!$B47="","",CALC_EEM!U47)</f>
      </c>
    </row>
    <row r="55" spans="1:24">
      <c r="A55" t="str">
        <f>IF(CALC_EEM!$B48="","",IF(CALC_EEM!A48="GLOBAL","GLOBAL",IF(CALC_EEM!C48="Total","CURSO_TOTAL",IF(CALC_EEM!C48="TotalEsp","CURSO_ESP",IF(CALC_EEM!C48="TotalNoEsp","CURSO_NOESP","CURSO_ASIG")))))</f>
      </c>
      <c r="B55" t="str">
        <f>IF(CALC_EEM!$B48="","",CALC_EEM!A48)</f>
      </c>
      <c r="C55" t="str">
        <f>IF(CALC_EEM!$B48="","",CALC_EEM!B48)</f>
      </c>
      <c r="D55">
        <f>IF(CALC_EEM!$B48="","",CALC_EEM!D48)</f>
      </c>
      <c r="E55" s="14" t="str">
        <f>IF(CALC_EEM!$B48="","",CALC_EEM!E48)</f>
      </c>
      <c r="F55" s="14" t="str">
        <f>IF(CALC_EEM!$B48="","",CALC_EEM!F48)</f>
      </c>
      <c r="G55" t="str">
        <f>IF(CALC_EEM!$B48="","",CALC_EEM!G48)</f>
      </c>
      <c r="H55" s="16" t="str">
        <f>IF(CALC_EEM!$B48="","",CALC_EEM!H48)</f>
      </c>
      <c r="I55" s="16" t="str">
        <f>IF(CALC_EEM!$B48="","",CALC_EEM!I48)</f>
      </c>
      <c r="J55" t="str">
        <f>IF(CALC_EEM!$B48="","",CALC_EEM!J48)</f>
      </c>
      <c r="K55" t="str">
        <f>IF(CALC_EEM!$B48="","",CALC_EEM!K48)</f>
      </c>
      <c r="L55">
        <f>IF(CALC_EEM!$B48="","",CALC_EEM!L48)</f>
      </c>
      <c r="M55">
        <f>IF(CALC_EEM!$B48="","",CALC_EEM!M48)</f>
      </c>
      <c r="N55">
        <f>IF(CALC_EEM!$B48="","",CALC_EEM!N48)</f>
      </c>
      <c r="O55">
        <f>IF(CALC_EEM!$B48="","",CALC_EEM!O48)</f>
      </c>
      <c r="P55">
        <f>IF(CALC_EEM!$B48="","",CALC_EEM!P48)</f>
      </c>
      <c r="Q55">
        <f>IF(CALC_EEM!$B48="","",CALC_EEM!Q48)</f>
      </c>
      <c r="R55">
        <f>IF(CALC_EEM!$B48="","",CALC_EEM!R48)</f>
      </c>
      <c r="S55">
        <f>IF(CALC_EEM!$B48="","",CALC_EEM!S48)</f>
      </c>
      <c r="T55">
        <f>IF(CALC_EEM!$B48="","",CALC_EEM!T48)</f>
      </c>
      <c r="U55">
        <f>IF(CALC_EEM!$B48="","",CALC_EEM!U48)</f>
      </c>
    </row>
    <row r="56" spans="1:24">
      <c r="A56" t="str">
        <f>IF(CALC_EEM!$B49="","",IF(CALC_EEM!A49="GLOBAL","GLOBAL",IF(CALC_EEM!C49="Total","CURSO_TOTAL",IF(CALC_EEM!C49="TotalEsp","CURSO_ESP",IF(CALC_EEM!C49="TotalNoEsp","CURSO_NOESP","CURSO_ASIG")))))</f>
      </c>
      <c r="B56" t="str">
        <f>IF(CALC_EEM!$B49="","",CALC_EEM!A49)</f>
      </c>
      <c r="C56" t="str">
        <f>IF(CALC_EEM!$B49="","",CALC_EEM!B49)</f>
      </c>
      <c r="D56">
        <f>IF(CALC_EEM!$B49="","",CALC_EEM!D49)</f>
      </c>
      <c r="E56" s="14" t="str">
        <f>IF(CALC_EEM!$B49="","",CALC_EEM!E49)</f>
      </c>
      <c r="F56" s="14" t="str">
        <f>IF(CALC_EEM!$B49="","",CALC_EEM!F49)</f>
      </c>
      <c r="G56" t="str">
        <f>IF(CALC_EEM!$B49="","",CALC_EEM!G49)</f>
      </c>
      <c r="H56" s="16" t="str">
        <f>IF(CALC_EEM!$B49="","",CALC_EEM!H49)</f>
      </c>
      <c r="I56" s="16" t="str">
        <f>IF(CALC_EEM!$B49="","",CALC_EEM!I49)</f>
      </c>
      <c r="J56" t="str">
        <f>IF(CALC_EEM!$B49="","",CALC_EEM!J49)</f>
      </c>
      <c r="K56" t="str">
        <f>IF(CALC_EEM!$B49="","",CALC_EEM!K49)</f>
      </c>
      <c r="L56">
        <f>IF(CALC_EEM!$B49="","",CALC_EEM!L49)</f>
      </c>
      <c r="M56">
        <f>IF(CALC_EEM!$B49="","",CALC_EEM!M49)</f>
      </c>
      <c r="N56">
        <f>IF(CALC_EEM!$B49="","",CALC_EEM!N49)</f>
      </c>
      <c r="O56">
        <f>IF(CALC_EEM!$B49="","",CALC_EEM!O49)</f>
      </c>
      <c r="P56">
        <f>IF(CALC_EEM!$B49="","",CALC_EEM!P49)</f>
      </c>
      <c r="Q56">
        <f>IF(CALC_EEM!$B49="","",CALC_EEM!Q49)</f>
      </c>
      <c r="R56">
        <f>IF(CALC_EEM!$B49="","",CALC_EEM!R49)</f>
      </c>
      <c r="S56">
        <f>IF(CALC_EEM!$B49="","",CALC_EEM!S49)</f>
      </c>
      <c r="T56">
        <f>IF(CALC_EEM!$B49="","",CALC_EEM!T49)</f>
      </c>
      <c r="U56">
        <f>IF(CALC_EEM!$B49="","",CALC_EEM!U49)</f>
      </c>
    </row>
    <row r="57" spans="1:24">
      <c r="A57" t="str">
        <f>IF(CALC_EEM!$B50="","",IF(CALC_EEM!A50="GLOBAL","GLOBAL",IF(CALC_EEM!C50="Total","CURSO_TOTAL",IF(CALC_EEM!C50="TotalEsp","CURSO_ESP",IF(CALC_EEM!C50="TotalNoEsp","CURSO_NOESP","CURSO_ASIG")))))</f>
      </c>
      <c r="B57" t="str">
        <f>IF(CALC_EEM!$B50="","",CALC_EEM!A50)</f>
      </c>
      <c r="C57" t="str">
        <f>IF(CALC_EEM!$B50="","",CALC_EEM!B50)</f>
      </c>
      <c r="D57">
        <f>IF(CALC_EEM!$B50="","",CALC_EEM!D50)</f>
      </c>
      <c r="E57" s="14" t="str">
        <f>IF(CALC_EEM!$B50="","",CALC_EEM!E50)</f>
      </c>
      <c r="F57" s="14" t="str">
        <f>IF(CALC_EEM!$B50="","",CALC_EEM!F50)</f>
      </c>
      <c r="G57" t="str">
        <f>IF(CALC_EEM!$B50="","",CALC_EEM!G50)</f>
      </c>
      <c r="H57" s="16" t="str">
        <f>IF(CALC_EEM!$B50="","",CALC_EEM!H50)</f>
      </c>
      <c r="I57" s="16" t="str">
        <f>IF(CALC_EEM!$B50="","",CALC_EEM!I50)</f>
      </c>
      <c r="J57" t="str">
        <f>IF(CALC_EEM!$B50="","",CALC_EEM!J50)</f>
      </c>
      <c r="K57" t="str">
        <f>IF(CALC_EEM!$B50="","",CALC_EEM!K50)</f>
      </c>
      <c r="L57">
        <f>IF(CALC_EEM!$B50="","",CALC_EEM!L50)</f>
      </c>
      <c r="M57">
        <f>IF(CALC_EEM!$B50="","",CALC_EEM!M50)</f>
      </c>
      <c r="N57">
        <f>IF(CALC_EEM!$B50="","",CALC_EEM!N50)</f>
      </c>
      <c r="O57">
        <f>IF(CALC_EEM!$B50="","",CALC_EEM!O50)</f>
      </c>
      <c r="P57">
        <f>IF(CALC_EEM!$B50="","",CALC_EEM!P50)</f>
      </c>
      <c r="Q57">
        <f>IF(CALC_EEM!$B50="","",CALC_EEM!Q50)</f>
      </c>
      <c r="R57">
        <f>IF(CALC_EEM!$B50="","",CALC_EEM!R50)</f>
      </c>
      <c r="S57">
        <f>IF(CALC_EEM!$B50="","",CALC_EEM!S50)</f>
      </c>
      <c r="T57">
        <f>IF(CALC_EEM!$B50="","",CALC_EEM!T50)</f>
      </c>
      <c r="U57">
        <f>IF(CALC_EEM!$B50="","",CALC_EEM!U50)</f>
      </c>
    </row>
    <row r="58" spans="1:24">
      <c r="A58" t="str">
        <f>IF(CALC_EEM!$B51="","",IF(CALC_EEM!A51="GLOBAL","GLOBAL",IF(CALC_EEM!C51="Total","CURSO_TOTAL",IF(CALC_EEM!C51="TotalEsp","CURSO_ESP",IF(CALC_EEM!C51="TotalNoEsp","CURSO_NOESP","CURSO_ASIG")))))</f>
      </c>
      <c r="B58" t="str">
        <f>IF(CALC_EEM!$B51="","",CALC_EEM!A51)</f>
      </c>
      <c r="C58" t="str">
        <f>IF(CALC_EEM!$B51="","",CALC_EEM!B51)</f>
      </c>
      <c r="D58">
        <f>IF(CALC_EEM!$B51="","",CALC_EEM!D51)</f>
      </c>
      <c r="E58" s="14" t="str">
        <f>IF(CALC_EEM!$B51="","",CALC_EEM!E51)</f>
      </c>
      <c r="F58" s="14" t="str">
        <f>IF(CALC_EEM!$B51="","",CALC_EEM!F51)</f>
      </c>
      <c r="G58" t="str">
        <f>IF(CALC_EEM!$B51="","",CALC_EEM!G51)</f>
      </c>
      <c r="H58" s="16" t="str">
        <f>IF(CALC_EEM!$B51="","",CALC_EEM!H51)</f>
      </c>
      <c r="I58" s="16" t="str">
        <f>IF(CALC_EEM!$B51="","",CALC_EEM!I51)</f>
      </c>
      <c r="J58" t="str">
        <f>IF(CALC_EEM!$B51="","",CALC_EEM!J51)</f>
      </c>
      <c r="K58" t="str">
        <f>IF(CALC_EEM!$B51="","",CALC_EEM!K51)</f>
      </c>
      <c r="L58">
        <f>IF(CALC_EEM!$B51="","",CALC_EEM!L51)</f>
      </c>
      <c r="M58">
        <f>IF(CALC_EEM!$B51="","",CALC_EEM!M51)</f>
      </c>
      <c r="N58">
        <f>IF(CALC_EEM!$B51="","",CALC_EEM!N51)</f>
      </c>
      <c r="O58">
        <f>IF(CALC_EEM!$B51="","",CALC_EEM!O51)</f>
      </c>
      <c r="P58">
        <f>IF(CALC_EEM!$B51="","",CALC_EEM!P51)</f>
      </c>
      <c r="Q58">
        <f>IF(CALC_EEM!$B51="","",CALC_EEM!Q51)</f>
      </c>
      <c r="R58">
        <f>IF(CALC_EEM!$B51="","",CALC_EEM!R51)</f>
      </c>
      <c r="S58">
        <f>IF(CALC_EEM!$B51="","",CALC_EEM!S51)</f>
      </c>
      <c r="T58">
        <f>IF(CALC_EEM!$B51="","",CALC_EEM!T51)</f>
      </c>
      <c r="U58">
        <f>IF(CALC_EEM!$B51="","",CALC_EEM!U51)</f>
      </c>
    </row>
    <row r="59" spans="1:24">
      <c r="A59" t="str">
        <f>IF(CALC_EEM!$B52="","",IF(CALC_EEM!A52="GLOBAL","GLOBAL",IF(CALC_EEM!C52="Total","CURSO_TOTAL",IF(CALC_EEM!C52="TotalEsp","CURSO_ESP",IF(CALC_EEM!C52="TotalNoEsp","CURSO_NOESP","CURSO_ASIG")))))</f>
      </c>
      <c r="B59" t="str">
        <f>IF(CALC_EEM!$B52="","",CALC_EEM!A52)</f>
      </c>
      <c r="C59" t="str">
        <f>IF(CALC_EEM!$B52="","",CALC_EEM!B52)</f>
      </c>
      <c r="D59">
        <f>IF(CALC_EEM!$B52="","",CALC_EEM!D52)</f>
      </c>
      <c r="E59" s="14" t="str">
        <f>IF(CALC_EEM!$B52="","",CALC_EEM!E52)</f>
      </c>
      <c r="F59" s="14" t="str">
        <f>IF(CALC_EEM!$B52="","",CALC_EEM!F52)</f>
      </c>
      <c r="G59" t="str">
        <f>IF(CALC_EEM!$B52="","",CALC_EEM!G52)</f>
      </c>
      <c r="H59" s="16" t="str">
        <f>IF(CALC_EEM!$B52="","",CALC_EEM!H52)</f>
      </c>
      <c r="I59" s="16" t="str">
        <f>IF(CALC_EEM!$B52="","",CALC_EEM!I52)</f>
      </c>
      <c r="J59" t="str">
        <f>IF(CALC_EEM!$B52="","",CALC_EEM!J52)</f>
      </c>
      <c r="K59" t="str">
        <f>IF(CALC_EEM!$B52="","",CALC_EEM!K52)</f>
      </c>
      <c r="L59">
        <f>IF(CALC_EEM!$B52="","",CALC_EEM!L52)</f>
      </c>
      <c r="M59">
        <f>IF(CALC_EEM!$B52="","",CALC_EEM!M52)</f>
      </c>
      <c r="N59">
        <f>IF(CALC_EEM!$B52="","",CALC_EEM!N52)</f>
      </c>
      <c r="O59">
        <f>IF(CALC_EEM!$B52="","",CALC_EEM!O52)</f>
      </c>
      <c r="P59">
        <f>IF(CALC_EEM!$B52="","",CALC_EEM!P52)</f>
      </c>
      <c r="Q59">
        <f>IF(CALC_EEM!$B52="","",CALC_EEM!Q52)</f>
      </c>
      <c r="R59">
        <f>IF(CALC_EEM!$B52="","",CALC_EEM!R52)</f>
      </c>
      <c r="S59">
        <f>IF(CALC_EEM!$B52="","",CALC_EEM!S52)</f>
      </c>
      <c r="T59">
        <f>IF(CALC_EEM!$B52="","",CALC_EEM!T52)</f>
      </c>
      <c r="U59">
        <f>IF(CALC_EEM!$B52="","",CALC_EEM!U52)</f>
      </c>
    </row>
    <row r="60" spans="1:24">
      <c r="A60" t="str">
        <f>IF(CALC_EEM!$B53="","",IF(CALC_EEM!A53="GLOBAL","GLOBAL",IF(CALC_EEM!C53="Total","CURSO_TOTAL",IF(CALC_EEM!C53="TotalEsp","CURSO_ESP",IF(CALC_EEM!C53="TotalNoEsp","CURSO_NOESP","CURSO_ASIG")))))</f>
      </c>
      <c r="B60" t="str">
        <f>IF(CALC_EEM!$B53="","",CALC_EEM!A53)</f>
      </c>
      <c r="C60" t="str">
        <f>IF(CALC_EEM!$B53="","",CALC_EEM!B53)</f>
      </c>
      <c r="D60">
        <f>IF(CALC_EEM!$B53="","",CALC_EEM!D53)</f>
      </c>
      <c r="E60" s="14" t="str">
        <f>IF(CALC_EEM!$B53="","",CALC_EEM!E53)</f>
      </c>
      <c r="F60" s="14" t="str">
        <f>IF(CALC_EEM!$B53="","",CALC_EEM!F53)</f>
      </c>
      <c r="G60" t="str">
        <f>IF(CALC_EEM!$B53="","",CALC_EEM!G53)</f>
      </c>
      <c r="H60" s="16" t="str">
        <f>IF(CALC_EEM!$B53="","",CALC_EEM!H53)</f>
      </c>
      <c r="I60" s="16" t="str">
        <f>IF(CALC_EEM!$B53="","",CALC_EEM!I53)</f>
      </c>
      <c r="J60" t="str">
        <f>IF(CALC_EEM!$B53="","",CALC_EEM!J53)</f>
      </c>
      <c r="K60" t="str">
        <f>IF(CALC_EEM!$B53="","",CALC_EEM!K53)</f>
      </c>
      <c r="L60">
        <f>IF(CALC_EEM!$B53="","",CALC_EEM!L53)</f>
      </c>
      <c r="M60">
        <f>IF(CALC_EEM!$B53="","",CALC_EEM!M53)</f>
      </c>
      <c r="N60">
        <f>IF(CALC_EEM!$B53="","",CALC_EEM!N53)</f>
      </c>
      <c r="O60">
        <f>IF(CALC_EEM!$B53="","",CALC_EEM!O53)</f>
      </c>
      <c r="P60">
        <f>IF(CALC_EEM!$B53="","",CALC_EEM!P53)</f>
      </c>
      <c r="Q60">
        <f>IF(CALC_EEM!$B53="","",CALC_EEM!Q53)</f>
      </c>
      <c r="R60">
        <f>IF(CALC_EEM!$B53="","",CALC_EEM!R53)</f>
      </c>
      <c r="S60">
        <f>IF(CALC_EEM!$B53="","",CALC_EEM!S53)</f>
      </c>
      <c r="T60">
        <f>IF(CALC_EEM!$B53="","",CALC_EEM!T53)</f>
      </c>
      <c r="U60">
        <f>IF(CALC_EEM!$B53="","",CALC_EEM!U53)</f>
      </c>
    </row>
    <row r="61" spans="1:24">
      <c r="A61" t="str">
        <f>IF(CALC_EEM!$B54="","",IF(CALC_EEM!A54="GLOBAL","GLOBAL",IF(CALC_EEM!C54="Total","CURSO_TOTAL",IF(CALC_EEM!C54="TotalEsp","CURSO_ESP",IF(CALC_EEM!C54="TotalNoEsp","CURSO_NOESP","CURSO_ASIG")))))</f>
      </c>
      <c r="B61" t="str">
        <f>IF(CALC_EEM!$B54="","",CALC_EEM!A54)</f>
      </c>
      <c r="C61" t="str">
        <f>IF(CALC_EEM!$B54="","",CALC_EEM!B54)</f>
      </c>
      <c r="D61">
        <f>IF(CALC_EEM!$B54="","",CALC_EEM!D54)</f>
      </c>
      <c r="E61" s="14" t="str">
        <f>IF(CALC_EEM!$B54="","",CALC_EEM!E54)</f>
      </c>
      <c r="F61" s="14" t="str">
        <f>IF(CALC_EEM!$B54="","",CALC_EEM!F54)</f>
      </c>
      <c r="G61" t="str">
        <f>IF(CALC_EEM!$B54="","",CALC_EEM!G54)</f>
      </c>
      <c r="H61" s="16" t="str">
        <f>IF(CALC_EEM!$B54="","",CALC_EEM!H54)</f>
      </c>
      <c r="I61" s="16" t="str">
        <f>IF(CALC_EEM!$B54="","",CALC_EEM!I54)</f>
      </c>
      <c r="J61" t="str">
        <f>IF(CALC_EEM!$B54="","",CALC_EEM!J54)</f>
      </c>
      <c r="K61" t="str">
        <f>IF(CALC_EEM!$B54="","",CALC_EEM!K54)</f>
      </c>
      <c r="L61">
        <f>IF(CALC_EEM!$B54="","",CALC_EEM!L54)</f>
      </c>
      <c r="M61">
        <f>IF(CALC_EEM!$B54="","",CALC_EEM!M54)</f>
      </c>
      <c r="N61">
        <f>IF(CALC_EEM!$B54="","",CALC_EEM!N54)</f>
      </c>
      <c r="O61">
        <f>IF(CALC_EEM!$B54="","",CALC_EEM!O54)</f>
      </c>
      <c r="P61">
        <f>IF(CALC_EEM!$B54="","",CALC_EEM!P54)</f>
      </c>
      <c r="Q61">
        <f>IF(CALC_EEM!$B54="","",CALC_EEM!Q54)</f>
      </c>
      <c r="R61">
        <f>IF(CALC_EEM!$B54="","",CALC_EEM!R54)</f>
      </c>
      <c r="S61">
        <f>IF(CALC_EEM!$B54="","",CALC_EEM!S54)</f>
      </c>
      <c r="T61">
        <f>IF(CALC_EEM!$B54="","",CALC_EEM!T54)</f>
      </c>
      <c r="U61">
        <f>IF(CALC_EEM!$B54="","",CALC_EEM!U54)</f>
      </c>
    </row>
    <row r="62" spans="1:24">
      <c r="A62" t="str">
        <f>IF(CALC_EEM!$B55="","",IF(CALC_EEM!A55="GLOBAL","GLOBAL",IF(CALC_EEM!C55="Total","CURSO_TOTAL",IF(CALC_EEM!C55="TotalEsp","CURSO_ESP",IF(CALC_EEM!C55="TotalNoEsp","CURSO_NOESP","CURSO_ASIG")))))</f>
      </c>
      <c r="B62" t="str">
        <f>IF(CALC_EEM!$B55="","",CALC_EEM!A55)</f>
      </c>
      <c r="C62" t="str">
        <f>IF(CALC_EEM!$B55="","",CALC_EEM!B55)</f>
      </c>
      <c r="D62">
        <f>IF(CALC_EEM!$B55="","",CALC_EEM!D55)</f>
      </c>
      <c r="E62" s="14" t="str">
        <f>IF(CALC_EEM!$B55="","",CALC_EEM!E55)</f>
      </c>
      <c r="F62" s="14" t="str">
        <f>IF(CALC_EEM!$B55="","",CALC_EEM!F55)</f>
      </c>
      <c r="G62" t="str">
        <f>IF(CALC_EEM!$B55="","",CALC_EEM!G55)</f>
      </c>
      <c r="H62" s="16" t="str">
        <f>IF(CALC_EEM!$B55="","",CALC_EEM!H55)</f>
      </c>
      <c r="I62" s="16" t="str">
        <f>IF(CALC_EEM!$B55="","",CALC_EEM!I55)</f>
      </c>
      <c r="J62" t="str">
        <f>IF(CALC_EEM!$B55="","",CALC_EEM!J55)</f>
      </c>
      <c r="K62" t="str">
        <f>IF(CALC_EEM!$B55="","",CALC_EEM!K55)</f>
      </c>
      <c r="L62">
        <f>IF(CALC_EEM!$B55="","",CALC_EEM!L55)</f>
      </c>
      <c r="M62">
        <f>IF(CALC_EEM!$B55="","",CALC_EEM!M55)</f>
      </c>
      <c r="N62">
        <f>IF(CALC_EEM!$B55="","",CALC_EEM!N55)</f>
      </c>
      <c r="O62">
        <f>IF(CALC_EEM!$B55="","",CALC_EEM!O55)</f>
      </c>
      <c r="P62">
        <f>IF(CALC_EEM!$B55="","",CALC_EEM!P55)</f>
      </c>
      <c r="Q62">
        <f>IF(CALC_EEM!$B55="","",CALC_EEM!Q55)</f>
      </c>
      <c r="R62">
        <f>IF(CALC_EEM!$B55="","",CALC_EEM!R55)</f>
      </c>
      <c r="S62">
        <f>IF(CALC_EEM!$B55="","",CALC_EEM!S55)</f>
      </c>
      <c r="T62">
        <f>IF(CALC_EEM!$B55="","",CALC_EEM!T55)</f>
      </c>
      <c r="U62">
        <f>IF(CALC_EEM!$B55="","",CALC_EEM!U55)</f>
      </c>
    </row>
    <row r="63" spans="1:24">
      <c r="A63" t="str">
        <f>IF(CALC_EEM!$B56="","",IF(CALC_EEM!A56="GLOBAL","GLOBAL",IF(CALC_EEM!C56="Total","CURSO_TOTAL",IF(CALC_EEM!C56="TotalEsp","CURSO_ESP",IF(CALC_EEM!C56="TotalNoEsp","CURSO_NOESP","CURSO_ASIG")))))</f>
      </c>
      <c r="B63" t="str">
        <f>IF(CALC_EEM!$B56="","",CALC_EEM!A56)</f>
      </c>
      <c r="C63" t="str">
        <f>IF(CALC_EEM!$B56="","",CALC_EEM!B56)</f>
      </c>
      <c r="D63">
        <f>IF(CALC_EEM!$B56="","",CALC_EEM!D56)</f>
      </c>
      <c r="E63" s="14" t="str">
        <f>IF(CALC_EEM!$B56="","",CALC_EEM!E56)</f>
      </c>
      <c r="F63" s="14" t="str">
        <f>IF(CALC_EEM!$B56="","",CALC_EEM!F56)</f>
      </c>
      <c r="G63" t="str">
        <f>IF(CALC_EEM!$B56="","",CALC_EEM!G56)</f>
      </c>
      <c r="H63" s="16" t="str">
        <f>IF(CALC_EEM!$B56="","",CALC_EEM!H56)</f>
      </c>
      <c r="I63" s="16" t="str">
        <f>IF(CALC_EEM!$B56="","",CALC_EEM!I56)</f>
      </c>
      <c r="J63" t="str">
        <f>IF(CALC_EEM!$B56="","",CALC_EEM!J56)</f>
      </c>
      <c r="K63" t="str">
        <f>IF(CALC_EEM!$B56="","",CALC_EEM!K56)</f>
      </c>
      <c r="L63">
        <f>IF(CALC_EEM!$B56="","",CALC_EEM!L56)</f>
      </c>
      <c r="M63">
        <f>IF(CALC_EEM!$B56="","",CALC_EEM!M56)</f>
      </c>
      <c r="N63">
        <f>IF(CALC_EEM!$B56="","",CALC_EEM!N56)</f>
      </c>
      <c r="O63">
        <f>IF(CALC_EEM!$B56="","",CALC_EEM!O56)</f>
      </c>
      <c r="P63">
        <f>IF(CALC_EEM!$B56="","",CALC_EEM!P56)</f>
      </c>
      <c r="Q63">
        <f>IF(CALC_EEM!$B56="","",CALC_EEM!Q56)</f>
      </c>
      <c r="R63">
        <f>IF(CALC_EEM!$B56="","",CALC_EEM!R56)</f>
      </c>
      <c r="S63">
        <f>IF(CALC_EEM!$B56="","",CALC_EEM!S56)</f>
      </c>
      <c r="T63">
        <f>IF(CALC_EEM!$B56="","",CALC_EEM!T56)</f>
      </c>
      <c r="U63">
        <f>IF(CALC_EEM!$B56="","",CALC_EEM!U56)</f>
      </c>
    </row>
    <row r="64" spans="1:24">
      <c r="A64" t="str">
        <f>IF(CALC_EEM!$B57="","",IF(CALC_EEM!A57="GLOBAL","GLOBAL",IF(CALC_EEM!C57="Total","CURSO_TOTAL",IF(CALC_EEM!C57="TotalEsp","CURSO_ESP",IF(CALC_EEM!C57="TotalNoEsp","CURSO_NOESP","CURSO_ASIG")))))</f>
      </c>
      <c r="B64" t="str">
        <f>IF(CALC_EEM!$B57="","",CALC_EEM!A57)</f>
      </c>
      <c r="C64" t="str">
        <f>IF(CALC_EEM!$B57="","",CALC_EEM!B57)</f>
      </c>
      <c r="D64">
        <f>IF(CALC_EEM!$B57="","",CALC_EEM!D57)</f>
      </c>
      <c r="E64" s="14" t="str">
        <f>IF(CALC_EEM!$B57="","",CALC_EEM!E57)</f>
      </c>
      <c r="F64" s="14" t="str">
        <f>IF(CALC_EEM!$B57="","",CALC_EEM!F57)</f>
      </c>
      <c r="G64" t="str">
        <f>IF(CALC_EEM!$B57="","",CALC_EEM!G57)</f>
      </c>
      <c r="H64" s="16" t="str">
        <f>IF(CALC_EEM!$B57="","",CALC_EEM!H57)</f>
      </c>
      <c r="I64" s="16" t="str">
        <f>IF(CALC_EEM!$B57="","",CALC_EEM!I57)</f>
      </c>
      <c r="J64" t="str">
        <f>IF(CALC_EEM!$B57="","",CALC_EEM!J57)</f>
      </c>
      <c r="K64" t="str">
        <f>IF(CALC_EEM!$B57="","",CALC_EEM!K57)</f>
      </c>
      <c r="L64">
        <f>IF(CALC_EEM!$B57="","",CALC_EEM!L57)</f>
      </c>
      <c r="M64">
        <f>IF(CALC_EEM!$B57="","",CALC_EEM!M57)</f>
      </c>
      <c r="N64">
        <f>IF(CALC_EEM!$B57="","",CALC_EEM!N57)</f>
      </c>
      <c r="O64">
        <f>IF(CALC_EEM!$B57="","",CALC_EEM!O57)</f>
      </c>
      <c r="P64">
        <f>IF(CALC_EEM!$B57="","",CALC_EEM!P57)</f>
      </c>
      <c r="Q64">
        <f>IF(CALC_EEM!$B57="","",CALC_EEM!Q57)</f>
      </c>
      <c r="R64">
        <f>IF(CALC_EEM!$B57="","",CALC_EEM!R57)</f>
      </c>
      <c r="S64">
        <f>IF(CALC_EEM!$B57="","",CALC_EEM!S57)</f>
      </c>
      <c r="T64">
        <f>IF(CALC_EEM!$B57="","",CALC_EEM!T57)</f>
      </c>
      <c r="U64">
        <f>IF(CALC_EEM!$B57="","",CALC_EEM!U57)</f>
      </c>
    </row>
    <row r="65" spans="1:24">
      <c r="A65" t="str">
        <f>IF(CALC_EEM!$B58="","",IF(CALC_EEM!A58="GLOBAL","GLOBAL",IF(CALC_EEM!C58="Total","CURSO_TOTAL",IF(CALC_EEM!C58="TotalEsp","CURSO_ESP",IF(CALC_EEM!C58="TotalNoEsp","CURSO_NOESP","CURSO_ASIG")))))</f>
      </c>
      <c r="B65" t="str">
        <f>IF(CALC_EEM!$B58="","",CALC_EEM!A58)</f>
      </c>
      <c r="C65" t="str">
        <f>IF(CALC_EEM!$B58="","",CALC_EEM!B58)</f>
      </c>
      <c r="D65">
        <f>IF(CALC_EEM!$B58="","",CALC_EEM!D58)</f>
      </c>
      <c r="E65" s="14" t="str">
        <f>IF(CALC_EEM!$B58="","",CALC_EEM!E58)</f>
      </c>
      <c r="F65" s="14" t="str">
        <f>IF(CALC_EEM!$B58="","",CALC_EEM!F58)</f>
      </c>
      <c r="G65" t="str">
        <f>IF(CALC_EEM!$B58="","",CALC_EEM!G58)</f>
      </c>
      <c r="H65" s="16" t="str">
        <f>IF(CALC_EEM!$B58="","",CALC_EEM!H58)</f>
      </c>
      <c r="I65" s="16" t="str">
        <f>IF(CALC_EEM!$B58="","",CALC_EEM!I58)</f>
      </c>
      <c r="J65" t="str">
        <f>IF(CALC_EEM!$B58="","",CALC_EEM!J58)</f>
      </c>
      <c r="K65" t="str">
        <f>IF(CALC_EEM!$B58="","",CALC_EEM!K58)</f>
      </c>
      <c r="L65">
        <f>IF(CALC_EEM!$B58="","",CALC_EEM!L58)</f>
      </c>
      <c r="M65">
        <f>IF(CALC_EEM!$B58="","",CALC_EEM!M58)</f>
      </c>
      <c r="N65">
        <f>IF(CALC_EEM!$B58="","",CALC_EEM!N58)</f>
      </c>
      <c r="O65">
        <f>IF(CALC_EEM!$B58="","",CALC_EEM!O58)</f>
      </c>
      <c r="P65">
        <f>IF(CALC_EEM!$B58="","",CALC_EEM!P58)</f>
      </c>
      <c r="Q65">
        <f>IF(CALC_EEM!$B58="","",CALC_EEM!Q58)</f>
      </c>
      <c r="R65">
        <f>IF(CALC_EEM!$B58="","",CALC_EEM!R58)</f>
      </c>
      <c r="S65">
        <f>IF(CALC_EEM!$B58="","",CALC_EEM!S58)</f>
      </c>
      <c r="T65">
        <f>IF(CALC_EEM!$B58="","",CALC_EEM!T58)</f>
      </c>
      <c r="U65">
        <f>IF(CALC_EEM!$B58="","",CALC_EEM!U58)</f>
      </c>
    </row>
    <row r="66" spans="1:24">
      <c r="A66" t="str">
        <f>IF(CALC_EEM!$B59="","",IF(CALC_EEM!A59="GLOBAL","GLOBAL",IF(CALC_EEM!C59="Total","CURSO_TOTAL",IF(CALC_EEM!C59="TotalEsp","CURSO_ESP",IF(CALC_EEM!C59="TotalNoEsp","CURSO_NOESP","CURSO_ASIG")))))</f>
      </c>
      <c r="B66" t="str">
        <f>IF(CALC_EEM!$B59="","",CALC_EEM!A59)</f>
      </c>
      <c r="C66" t="str">
        <f>IF(CALC_EEM!$B59="","",CALC_EEM!B59)</f>
      </c>
      <c r="D66">
        <f>IF(CALC_EEM!$B59="","",CALC_EEM!D59)</f>
      </c>
      <c r="E66" s="14" t="str">
        <f>IF(CALC_EEM!$B59="","",CALC_EEM!E59)</f>
      </c>
      <c r="F66" s="14" t="str">
        <f>IF(CALC_EEM!$B59="","",CALC_EEM!F59)</f>
      </c>
      <c r="G66" t="str">
        <f>IF(CALC_EEM!$B59="","",CALC_EEM!G59)</f>
      </c>
      <c r="H66" s="16" t="str">
        <f>IF(CALC_EEM!$B59="","",CALC_EEM!H59)</f>
      </c>
      <c r="I66" s="16" t="str">
        <f>IF(CALC_EEM!$B59="","",CALC_EEM!I59)</f>
      </c>
      <c r="J66" t="str">
        <f>IF(CALC_EEM!$B59="","",CALC_EEM!J59)</f>
      </c>
      <c r="K66" t="str">
        <f>IF(CALC_EEM!$B59="","",CALC_EEM!K59)</f>
      </c>
      <c r="L66">
        <f>IF(CALC_EEM!$B59="","",CALC_EEM!L59)</f>
      </c>
      <c r="M66">
        <f>IF(CALC_EEM!$B59="","",CALC_EEM!M59)</f>
      </c>
      <c r="N66">
        <f>IF(CALC_EEM!$B59="","",CALC_EEM!N59)</f>
      </c>
      <c r="O66">
        <f>IF(CALC_EEM!$B59="","",CALC_EEM!O59)</f>
      </c>
      <c r="P66">
        <f>IF(CALC_EEM!$B59="","",CALC_EEM!P59)</f>
      </c>
      <c r="Q66">
        <f>IF(CALC_EEM!$B59="","",CALC_EEM!Q59)</f>
      </c>
      <c r="R66">
        <f>IF(CALC_EEM!$B59="","",CALC_EEM!R59)</f>
      </c>
      <c r="S66">
        <f>IF(CALC_EEM!$B59="","",CALC_EEM!S59)</f>
      </c>
      <c r="T66">
        <f>IF(CALC_EEM!$B59="","",CALC_EEM!T59)</f>
      </c>
      <c r="U66">
        <f>IF(CALC_EEM!$B59="","",CALC_EEM!U59)</f>
      </c>
    </row>
    <row r="67" spans="1:24">
      <c r="A67" t="str">
        <f>IF(CALC_EEM!$B60="","",IF(CALC_EEM!A60="GLOBAL","GLOBAL",IF(CALC_EEM!C60="Total","CURSO_TOTAL",IF(CALC_EEM!C60="TotalEsp","CURSO_ESP",IF(CALC_EEM!C60="TotalNoEsp","CURSO_NOESP","CURSO_ASIG")))))</f>
      </c>
      <c r="B67" t="str">
        <f>IF(CALC_EEM!$B60="","",CALC_EEM!A60)</f>
      </c>
      <c r="C67" t="str">
        <f>IF(CALC_EEM!$B60="","",CALC_EEM!B60)</f>
      </c>
      <c r="D67">
        <f>IF(CALC_EEM!$B60="","",CALC_EEM!D60)</f>
      </c>
      <c r="E67" s="14" t="str">
        <f>IF(CALC_EEM!$B60="","",CALC_EEM!E60)</f>
      </c>
      <c r="F67" s="14" t="str">
        <f>IF(CALC_EEM!$B60="","",CALC_EEM!F60)</f>
      </c>
      <c r="G67" t="str">
        <f>IF(CALC_EEM!$B60="","",CALC_EEM!G60)</f>
      </c>
      <c r="H67" s="16" t="str">
        <f>IF(CALC_EEM!$B60="","",CALC_EEM!H60)</f>
      </c>
      <c r="I67" s="16" t="str">
        <f>IF(CALC_EEM!$B60="","",CALC_EEM!I60)</f>
      </c>
      <c r="J67" t="str">
        <f>IF(CALC_EEM!$B60="","",CALC_EEM!J60)</f>
      </c>
      <c r="K67" t="str">
        <f>IF(CALC_EEM!$B60="","",CALC_EEM!K60)</f>
      </c>
      <c r="L67">
        <f>IF(CALC_EEM!$B60="","",CALC_EEM!L60)</f>
      </c>
      <c r="M67">
        <f>IF(CALC_EEM!$B60="","",CALC_EEM!M60)</f>
      </c>
      <c r="N67">
        <f>IF(CALC_EEM!$B60="","",CALC_EEM!N60)</f>
      </c>
      <c r="O67">
        <f>IF(CALC_EEM!$B60="","",CALC_EEM!O60)</f>
      </c>
      <c r="P67">
        <f>IF(CALC_EEM!$B60="","",CALC_EEM!P60)</f>
      </c>
      <c r="Q67">
        <f>IF(CALC_EEM!$B60="","",CALC_EEM!Q60)</f>
      </c>
      <c r="R67">
        <f>IF(CALC_EEM!$B60="","",CALC_EEM!R60)</f>
      </c>
      <c r="S67">
        <f>IF(CALC_EEM!$B60="","",CALC_EEM!S60)</f>
      </c>
      <c r="T67">
        <f>IF(CALC_EEM!$B60="","",CALC_EEM!T60)</f>
      </c>
      <c r="U67">
        <f>IF(CALC_EEM!$B60="","",CALC_EEM!U60)</f>
      </c>
    </row>
    <row r="68" spans="1:24">
      <c r="A68" t="str">
        <f>IF(CALC_EEM!$B61="","",IF(CALC_EEM!A61="GLOBAL","GLOBAL",IF(CALC_EEM!C61="Total","CURSO_TOTAL",IF(CALC_EEM!C61="TotalEsp","CURSO_ESP",IF(CALC_EEM!C61="TotalNoEsp","CURSO_NOESP","CURSO_ASIG")))))</f>
      </c>
      <c r="B68" t="str">
        <f>IF(CALC_EEM!$B61="","",CALC_EEM!A61)</f>
      </c>
      <c r="C68" t="str">
        <f>IF(CALC_EEM!$B61="","",CALC_EEM!B61)</f>
      </c>
      <c r="D68">
        <f>IF(CALC_EEM!$B61="","",CALC_EEM!D61)</f>
      </c>
      <c r="E68" s="14" t="str">
        <f>IF(CALC_EEM!$B61="","",CALC_EEM!E61)</f>
      </c>
      <c r="F68" s="14" t="str">
        <f>IF(CALC_EEM!$B61="","",CALC_EEM!F61)</f>
      </c>
      <c r="G68" t="str">
        <f>IF(CALC_EEM!$B61="","",CALC_EEM!G61)</f>
      </c>
      <c r="H68" s="16" t="str">
        <f>IF(CALC_EEM!$B61="","",CALC_EEM!H61)</f>
      </c>
      <c r="I68" s="16" t="str">
        <f>IF(CALC_EEM!$B61="","",CALC_EEM!I61)</f>
      </c>
      <c r="J68" t="str">
        <f>IF(CALC_EEM!$B61="","",CALC_EEM!J61)</f>
      </c>
      <c r="K68" t="str">
        <f>IF(CALC_EEM!$B61="","",CALC_EEM!K61)</f>
      </c>
      <c r="L68">
        <f>IF(CALC_EEM!$B61="","",CALC_EEM!L61)</f>
      </c>
      <c r="M68">
        <f>IF(CALC_EEM!$B61="","",CALC_EEM!M61)</f>
      </c>
      <c r="N68">
        <f>IF(CALC_EEM!$B61="","",CALC_EEM!N61)</f>
      </c>
      <c r="O68">
        <f>IF(CALC_EEM!$B61="","",CALC_EEM!O61)</f>
      </c>
      <c r="P68">
        <f>IF(CALC_EEM!$B61="","",CALC_EEM!P61)</f>
      </c>
      <c r="Q68">
        <f>IF(CALC_EEM!$B61="","",CALC_EEM!Q61)</f>
      </c>
      <c r="R68">
        <f>IF(CALC_EEM!$B61="","",CALC_EEM!R61)</f>
      </c>
      <c r="S68">
        <f>IF(CALC_EEM!$B61="","",CALC_EEM!S61)</f>
      </c>
      <c r="T68">
        <f>IF(CALC_EEM!$B61="","",CALC_EEM!T61)</f>
      </c>
      <c r="U68">
        <f>IF(CALC_EEM!$B61="","",CALC_EEM!U61)</f>
      </c>
    </row>
    <row r="69" spans="1:24">
      <c r="A69" t="str">
        <f>IF(CALC_EEM!$B62="","",IF(CALC_EEM!A62="GLOBAL","GLOBAL",IF(CALC_EEM!C62="Total","CURSO_TOTAL",IF(CALC_EEM!C62="TotalEsp","CURSO_ESP",IF(CALC_EEM!C62="TotalNoEsp","CURSO_NOESP","CURSO_ASIG")))))</f>
      </c>
      <c r="B69" t="str">
        <f>IF(CALC_EEM!$B62="","",CALC_EEM!A62)</f>
      </c>
      <c r="C69" t="str">
        <f>IF(CALC_EEM!$B62="","",CALC_EEM!B62)</f>
      </c>
      <c r="D69">
        <f>IF(CALC_EEM!$B62="","",CALC_EEM!D62)</f>
      </c>
      <c r="E69" s="14" t="str">
        <f>IF(CALC_EEM!$B62="","",CALC_EEM!E62)</f>
      </c>
      <c r="F69" s="14" t="str">
        <f>IF(CALC_EEM!$B62="","",CALC_EEM!F62)</f>
      </c>
      <c r="G69" t="str">
        <f>IF(CALC_EEM!$B62="","",CALC_EEM!G62)</f>
      </c>
      <c r="H69" s="16" t="str">
        <f>IF(CALC_EEM!$B62="","",CALC_EEM!H62)</f>
      </c>
      <c r="I69" s="16" t="str">
        <f>IF(CALC_EEM!$B62="","",CALC_EEM!I62)</f>
      </c>
      <c r="J69" t="str">
        <f>IF(CALC_EEM!$B62="","",CALC_EEM!J62)</f>
      </c>
      <c r="K69" t="str">
        <f>IF(CALC_EEM!$B62="","",CALC_EEM!K62)</f>
      </c>
      <c r="L69">
        <f>IF(CALC_EEM!$B62="","",CALC_EEM!L62)</f>
      </c>
      <c r="M69">
        <f>IF(CALC_EEM!$B62="","",CALC_EEM!M62)</f>
      </c>
      <c r="N69">
        <f>IF(CALC_EEM!$B62="","",CALC_EEM!N62)</f>
      </c>
      <c r="O69">
        <f>IF(CALC_EEM!$B62="","",CALC_EEM!O62)</f>
      </c>
      <c r="P69">
        <f>IF(CALC_EEM!$B62="","",CALC_EEM!P62)</f>
      </c>
      <c r="Q69">
        <f>IF(CALC_EEM!$B62="","",CALC_EEM!Q62)</f>
      </c>
      <c r="R69">
        <f>IF(CALC_EEM!$B62="","",CALC_EEM!R62)</f>
      </c>
      <c r="S69">
        <f>IF(CALC_EEM!$B62="","",CALC_EEM!S62)</f>
      </c>
      <c r="T69">
        <f>IF(CALC_EEM!$B62="","",CALC_EEM!T62)</f>
      </c>
      <c r="U69">
        <f>IF(CALC_EEM!$B62="","",CALC_EEM!U62)</f>
      </c>
    </row>
    <row r="70" spans="1:24">
      <c r="A70" t="str">
        <f>IF(CALC_EEM!$B63="","",IF(CALC_EEM!A63="GLOBAL","GLOBAL",IF(CALC_EEM!C63="Total","CURSO_TOTAL",IF(CALC_EEM!C63="TotalEsp","CURSO_ESP",IF(CALC_EEM!C63="TotalNoEsp","CURSO_NOESP","CURSO_ASIG")))))</f>
      </c>
      <c r="B70" t="str">
        <f>IF(CALC_EEM!$B63="","",CALC_EEM!A63)</f>
      </c>
      <c r="C70" t="str">
        <f>IF(CALC_EEM!$B63="","",CALC_EEM!B63)</f>
      </c>
      <c r="D70">
        <f>IF(CALC_EEM!$B63="","",CALC_EEM!D63)</f>
      </c>
      <c r="E70" s="14" t="str">
        <f>IF(CALC_EEM!$B63="","",CALC_EEM!E63)</f>
      </c>
      <c r="F70" s="14" t="str">
        <f>IF(CALC_EEM!$B63="","",CALC_EEM!F63)</f>
      </c>
      <c r="G70" t="str">
        <f>IF(CALC_EEM!$B63="","",CALC_EEM!G63)</f>
      </c>
      <c r="H70" s="16" t="str">
        <f>IF(CALC_EEM!$B63="","",CALC_EEM!H63)</f>
      </c>
      <c r="I70" s="16" t="str">
        <f>IF(CALC_EEM!$B63="","",CALC_EEM!I63)</f>
      </c>
      <c r="J70" t="str">
        <f>IF(CALC_EEM!$B63="","",CALC_EEM!J63)</f>
      </c>
      <c r="K70" t="str">
        <f>IF(CALC_EEM!$B63="","",CALC_EEM!K63)</f>
      </c>
      <c r="L70">
        <f>IF(CALC_EEM!$B63="","",CALC_EEM!L63)</f>
      </c>
      <c r="M70">
        <f>IF(CALC_EEM!$B63="","",CALC_EEM!M63)</f>
      </c>
      <c r="N70">
        <f>IF(CALC_EEM!$B63="","",CALC_EEM!N63)</f>
      </c>
      <c r="O70">
        <f>IF(CALC_EEM!$B63="","",CALC_EEM!O63)</f>
      </c>
      <c r="P70">
        <f>IF(CALC_EEM!$B63="","",CALC_EEM!P63)</f>
      </c>
      <c r="Q70">
        <f>IF(CALC_EEM!$B63="","",CALC_EEM!Q63)</f>
      </c>
      <c r="R70">
        <f>IF(CALC_EEM!$B63="","",CALC_EEM!R63)</f>
      </c>
      <c r="S70">
        <f>IF(CALC_EEM!$B63="","",CALC_EEM!S63)</f>
      </c>
      <c r="T70">
        <f>IF(CALC_EEM!$B63="","",CALC_EEM!T63)</f>
      </c>
      <c r="U70">
        <f>IF(CALC_EEM!$B63="","",CALC_EEM!U63)</f>
      </c>
    </row>
    <row r="71" spans="1:24">
      <c r="A71" t="str">
        <f>IF(CALC_EEM!$B64="","",IF(CALC_EEM!A64="GLOBAL","GLOBAL",IF(CALC_EEM!C64="Total","CURSO_TOTAL",IF(CALC_EEM!C64="TotalEsp","CURSO_ESP",IF(CALC_EEM!C64="TotalNoEsp","CURSO_NOESP","CURSO_ASIG")))))</f>
      </c>
      <c r="B71" t="str">
        <f>IF(CALC_EEM!$B64="","",CALC_EEM!A64)</f>
      </c>
      <c r="C71" t="str">
        <f>IF(CALC_EEM!$B64="","",CALC_EEM!B64)</f>
      </c>
      <c r="D71">
        <f>IF(CALC_EEM!$B64="","",CALC_EEM!D64)</f>
      </c>
      <c r="E71" s="14" t="str">
        <f>IF(CALC_EEM!$B64="","",CALC_EEM!E64)</f>
      </c>
      <c r="F71" s="14" t="str">
        <f>IF(CALC_EEM!$B64="","",CALC_EEM!F64)</f>
      </c>
      <c r="G71" t="str">
        <f>IF(CALC_EEM!$B64="","",CALC_EEM!G64)</f>
      </c>
      <c r="H71" s="16" t="str">
        <f>IF(CALC_EEM!$B64="","",CALC_EEM!H64)</f>
      </c>
      <c r="I71" s="16" t="str">
        <f>IF(CALC_EEM!$B64="","",CALC_EEM!I64)</f>
      </c>
      <c r="J71" t="str">
        <f>IF(CALC_EEM!$B64="","",CALC_EEM!J64)</f>
      </c>
      <c r="K71" t="str">
        <f>IF(CALC_EEM!$B64="","",CALC_EEM!K64)</f>
      </c>
      <c r="L71">
        <f>IF(CALC_EEM!$B64="","",CALC_EEM!L64)</f>
      </c>
      <c r="M71">
        <f>IF(CALC_EEM!$B64="","",CALC_EEM!M64)</f>
      </c>
      <c r="N71">
        <f>IF(CALC_EEM!$B64="","",CALC_EEM!N64)</f>
      </c>
      <c r="O71">
        <f>IF(CALC_EEM!$B64="","",CALC_EEM!O64)</f>
      </c>
      <c r="P71">
        <f>IF(CALC_EEM!$B64="","",CALC_EEM!P64)</f>
      </c>
      <c r="Q71">
        <f>IF(CALC_EEM!$B64="","",CALC_EEM!Q64)</f>
      </c>
      <c r="R71">
        <f>IF(CALC_EEM!$B64="","",CALC_EEM!R64)</f>
      </c>
      <c r="S71">
        <f>IF(CALC_EEM!$B64="","",CALC_EEM!S64)</f>
      </c>
      <c r="T71">
        <f>IF(CALC_EEM!$B64="","",CALC_EEM!T64)</f>
      </c>
      <c r="U71">
        <f>IF(CALC_EEM!$B64="","",CALC_EEM!U64)</f>
      </c>
    </row>
    <row r="72" spans="1:24">
      <c r="A72" t="str">
        <f>IF(CALC_EEM!$B65="","",IF(CALC_EEM!A65="GLOBAL","GLOBAL",IF(CALC_EEM!C65="Total","CURSO_TOTAL",IF(CALC_EEM!C65="TotalEsp","CURSO_ESP",IF(CALC_EEM!C65="TotalNoEsp","CURSO_NOESP","CURSO_ASIG")))))</f>
      </c>
      <c r="B72" t="str">
        <f>IF(CALC_EEM!$B65="","",CALC_EEM!A65)</f>
      </c>
      <c r="C72" t="str">
        <f>IF(CALC_EEM!$B65="","",CALC_EEM!B65)</f>
      </c>
      <c r="D72">
        <f>IF(CALC_EEM!$B65="","",CALC_EEM!D65)</f>
      </c>
      <c r="E72" s="14" t="str">
        <f>IF(CALC_EEM!$B65="","",CALC_EEM!E65)</f>
      </c>
      <c r="F72" s="14" t="str">
        <f>IF(CALC_EEM!$B65="","",CALC_EEM!F65)</f>
      </c>
      <c r="G72" t="str">
        <f>IF(CALC_EEM!$B65="","",CALC_EEM!G65)</f>
      </c>
      <c r="H72" s="16" t="str">
        <f>IF(CALC_EEM!$B65="","",CALC_EEM!H65)</f>
      </c>
      <c r="I72" s="16" t="str">
        <f>IF(CALC_EEM!$B65="","",CALC_EEM!I65)</f>
      </c>
      <c r="J72" t="str">
        <f>IF(CALC_EEM!$B65="","",CALC_EEM!J65)</f>
      </c>
      <c r="K72" t="str">
        <f>IF(CALC_EEM!$B65="","",CALC_EEM!K65)</f>
      </c>
      <c r="L72">
        <f>IF(CALC_EEM!$B65="","",CALC_EEM!L65)</f>
      </c>
      <c r="M72">
        <f>IF(CALC_EEM!$B65="","",CALC_EEM!M65)</f>
      </c>
      <c r="N72">
        <f>IF(CALC_EEM!$B65="","",CALC_EEM!N65)</f>
      </c>
      <c r="O72">
        <f>IF(CALC_EEM!$B65="","",CALC_EEM!O65)</f>
      </c>
      <c r="P72">
        <f>IF(CALC_EEM!$B65="","",CALC_EEM!P65)</f>
      </c>
      <c r="Q72">
        <f>IF(CALC_EEM!$B65="","",CALC_EEM!Q65)</f>
      </c>
      <c r="R72">
        <f>IF(CALC_EEM!$B65="","",CALC_EEM!R65)</f>
      </c>
      <c r="S72">
        <f>IF(CALC_EEM!$B65="","",CALC_EEM!S65)</f>
      </c>
      <c r="T72">
        <f>IF(CALC_EEM!$B65="","",CALC_EEM!T65)</f>
      </c>
      <c r="U72">
        <f>IF(CALC_EEM!$B65="","",CALC_EEM!U65)</f>
      </c>
    </row>
    <row r="73" spans="1:24">
      <c r="A73" t="str">
        <f>IF(CALC_EEM!$B66="","",IF(CALC_EEM!A66="GLOBAL","GLOBAL",IF(CALC_EEM!C66="Total","CURSO_TOTAL",IF(CALC_EEM!C66="TotalEsp","CURSO_ESP",IF(CALC_EEM!C66="TotalNoEsp","CURSO_NOESP","CURSO_ASIG")))))</f>
      </c>
      <c r="B73" t="str">
        <f>IF(CALC_EEM!$B66="","",CALC_EEM!A66)</f>
      </c>
      <c r="C73" t="str">
        <f>IF(CALC_EEM!$B66="","",CALC_EEM!B66)</f>
      </c>
      <c r="D73">
        <f>IF(CALC_EEM!$B66="","",CALC_EEM!D66)</f>
      </c>
      <c r="E73" s="14" t="str">
        <f>IF(CALC_EEM!$B66="","",CALC_EEM!E66)</f>
      </c>
      <c r="F73" s="14" t="str">
        <f>IF(CALC_EEM!$B66="","",CALC_EEM!F66)</f>
      </c>
      <c r="G73" t="str">
        <f>IF(CALC_EEM!$B66="","",CALC_EEM!G66)</f>
      </c>
      <c r="H73" s="16" t="str">
        <f>IF(CALC_EEM!$B66="","",CALC_EEM!H66)</f>
      </c>
      <c r="I73" s="16" t="str">
        <f>IF(CALC_EEM!$B66="","",CALC_EEM!I66)</f>
      </c>
      <c r="J73" t="str">
        <f>IF(CALC_EEM!$B66="","",CALC_EEM!J66)</f>
      </c>
      <c r="K73" t="str">
        <f>IF(CALC_EEM!$B66="","",CALC_EEM!K66)</f>
      </c>
      <c r="L73">
        <f>IF(CALC_EEM!$B66="","",CALC_EEM!L66)</f>
      </c>
      <c r="M73">
        <f>IF(CALC_EEM!$B66="","",CALC_EEM!M66)</f>
      </c>
      <c r="N73">
        <f>IF(CALC_EEM!$B66="","",CALC_EEM!N66)</f>
      </c>
      <c r="O73">
        <f>IF(CALC_EEM!$B66="","",CALC_EEM!O66)</f>
      </c>
      <c r="P73">
        <f>IF(CALC_EEM!$B66="","",CALC_EEM!P66)</f>
      </c>
      <c r="Q73">
        <f>IF(CALC_EEM!$B66="","",CALC_EEM!Q66)</f>
      </c>
      <c r="R73">
        <f>IF(CALC_EEM!$B66="","",CALC_EEM!R66)</f>
      </c>
      <c r="S73">
        <f>IF(CALC_EEM!$B66="","",CALC_EEM!S66)</f>
      </c>
      <c r="T73">
        <f>IF(CALC_EEM!$B66="","",CALC_EEM!T66)</f>
      </c>
      <c r="U73">
        <f>IF(CALC_EEM!$B66="","",CALC_EEM!U66)</f>
      </c>
    </row>
    <row r="74" spans="1:24">
      <c r="A74" t="str">
        <f>IF(CALC_EEM!$B67="","",IF(CALC_EEM!A67="GLOBAL","GLOBAL",IF(CALC_EEM!C67="Total","CURSO_TOTAL",IF(CALC_EEM!C67="TotalEsp","CURSO_ESP",IF(CALC_EEM!C67="TotalNoEsp","CURSO_NOESP","CURSO_ASIG")))))</f>
      </c>
      <c r="B74" t="str">
        <f>IF(CALC_EEM!$B67="","",CALC_EEM!A67)</f>
      </c>
      <c r="C74" t="str">
        <f>IF(CALC_EEM!$B67="","",CALC_EEM!B67)</f>
      </c>
      <c r="D74">
        <f>IF(CALC_EEM!$B67="","",CALC_EEM!D67)</f>
      </c>
      <c r="E74" s="14" t="str">
        <f>IF(CALC_EEM!$B67="","",CALC_EEM!E67)</f>
      </c>
      <c r="F74" s="14" t="str">
        <f>IF(CALC_EEM!$B67="","",CALC_EEM!F67)</f>
      </c>
      <c r="G74" t="str">
        <f>IF(CALC_EEM!$B67="","",CALC_EEM!G67)</f>
      </c>
      <c r="H74" s="16" t="str">
        <f>IF(CALC_EEM!$B67="","",CALC_EEM!H67)</f>
      </c>
      <c r="I74" s="16" t="str">
        <f>IF(CALC_EEM!$B67="","",CALC_EEM!I67)</f>
      </c>
      <c r="J74" t="str">
        <f>IF(CALC_EEM!$B67="","",CALC_EEM!J67)</f>
      </c>
      <c r="K74" t="str">
        <f>IF(CALC_EEM!$B67="","",CALC_EEM!K67)</f>
      </c>
      <c r="L74">
        <f>IF(CALC_EEM!$B67="","",CALC_EEM!L67)</f>
      </c>
      <c r="M74">
        <f>IF(CALC_EEM!$B67="","",CALC_EEM!M67)</f>
      </c>
      <c r="N74">
        <f>IF(CALC_EEM!$B67="","",CALC_EEM!N67)</f>
      </c>
      <c r="O74">
        <f>IF(CALC_EEM!$B67="","",CALC_EEM!O67)</f>
      </c>
      <c r="P74">
        <f>IF(CALC_EEM!$B67="","",CALC_EEM!P67)</f>
      </c>
      <c r="Q74">
        <f>IF(CALC_EEM!$B67="","",CALC_EEM!Q67)</f>
      </c>
      <c r="R74">
        <f>IF(CALC_EEM!$B67="","",CALC_EEM!R67)</f>
      </c>
      <c r="S74">
        <f>IF(CALC_EEM!$B67="","",CALC_EEM!S67)</f>
      </c>
      <c r="T74">
        <f>IF(CALC_EEM!$B67="","",CALC_EEM!T67)</f>
      </c>
      <c r="U74">
        <f>IF(CALC_EEM!$B67="","",CALC_EEM!U67)</f>
      </c>
    </row>
    <row r="75" spans="1:24">
      <c r="A75" t="str">
        <f>IF(CALC_EEM!$B68="","",IF(CALC_EEM!A68="GLOBAL","GLOBAL",IF(CALC_EEM!C68="Total","CURSO_TOTAL",IF(CALC_EEM!C68="TotalEsp","CURSO_ESP",IF(CALC_EEM!C68="TotalNoEsp","CURSO_NOESP","CURSO_ASIG")))))</f>
      </c>
      <c r="B75" t="str">
        <f>IF(CALC_EEM!$B68="","",CALC_EEM!A68)</f>
      </c>
      <c r="C75" t="str">
        <f>IF(CALC_EEM!$B68="","",CALC_EEM!B68)</f>
      </c>
      <c r="D75">
        <f>IF(CALC_EEM!$B68="","",CALC_EEM!D68)</f>
      </c>
      <c r="E75" s="14" t="str">
        <f>IF(CALC_EEM!$B68="","",CALC_EEM!E68)</f>
      </c>
      <c r="F75" s="14" t="str">
        <f>IF(CALC_EEM!$B68="","",CALC_EEM!F68)</f>
      </c>
      <c r="G75" t="str">
        <f>IF(CALC_EEM!$B68="","",CALC_EEM!G68)</f>
      </c>
      <c r="H75" s="16" t="str">
        <f>IF(CALC_EEM!$B68="","",CALC_EEM!H68)</f>
      </c>
      <c r="I75" s="16" t="str">
        <f>IF(CALC_EEM!$B68="","",CALC_EEM!I68)</f>
      </c>
      <c r="J75" t="str">
        <f>IF(CALC_EEM!$B68="","",CALC_EEM!J68)</f>
      </c>
      <c r="K75" t="str">
        <f>IF(CALC_EEM!$B68="","",CALC_EEM!K68)</f>
      </c>
      <c r="L75">
        <f>IF(CALC_EEM!$B68="","",CALC_EEM!L68)</f>
      </c>
      <c r="M75">
        <f>IF(CALC_EEM!$B68="","",CALC_EEM!M68)</f>
      </c>
      <c r="N75">
        <f>IF(CALC_EEM!$B68="","",CALC_EEM!N68)</f>
      </c>
      <c r="O75">
        <f>IF(CALC_EEM!$B68="","",CALC_EEM!O68)</f>
      </c>
      <c r="P75">
        <f>IF(CALC_EEM!$B68="","",CALC_EEM!P68)</f>
      </c>
      <c r="Q75">
        <f>IF(CALC_EEM!$B68="","",CALC_EEM!Q68)</f>
      </c>
      <c r="R75">
        <f>IF(CALC_EEM!$B68="","",CALC_EEM!R68)</f>
      </c>
      <c r="S75">
        <f>IF(CALC_EEM!$B68="","",CALC_EEM!S68)</f>
      </c>
      <c r="T75">
        <f>IF(CALC_EEM!$B68="","",CALC_EEM!T68)</f>
      </c>
      <c r="U75">
        <f>IF(CALC_EEM!$B68="","",CALC_EEM!U68)</f>
      </c>
    </row>
    <row r="76" spans="1:24">
      <c r="A76" t="str">
        <f>IF(CALC_EEM!$B69="","",IF(CALC_EEM!A69="GLOBAL","GLOBAL",IF(CALC_EEM!C69="Total","CURSO_TOTAL",IF(CALC_EEM!C69="TotalEsp","CURSO_ESP",IF(CALC_EEM!C69="TotalNoEsp","CURSO_NOESP","CURSO_ASIG")))))</f>
      </c>
      <c r="B76" t="str">
        <f>IF(CALC_EEM!$B69="","",CALC_EEM!A69)</f>
      </c>
      <c r="C76" t="str">
        <f>IF(CALC_EEM!$B69="","",CALC_EEM!B69)</f>
      </c>
      <c r="D76">
        <f>IF(CALC_EEM!$B69="","",CALC_EEM!D69)</f>
      </c>
      <c r="E76" s="14" t="str">
        <f>IF(CALC_EEM!$B69="","",CALC_EEM!E69)</f>
      </c>
      <c r="F76" s="14" t="str">
        <f>IF(CALC_EEM!$B69="","",CALC_EEM!F69)</f>
      </c>
      <c r="G76" t="str">
        <f>IF(CALC_EEM!$B69="","",CALC_EEM!G69)</f>
      </c>
      <c r="H76" s="16" t="str">
        <f>IF(CALC_EEM!$B69="","",CALC_EEM!H69)</f>
      </c>
      <c r="I76" s="16" t="str">
        <f>IF(CALC_EEM!$B69="","",CALC_EEM!I69)</f>
      </c>
      <c r="J76" t="str">
        <f>IF(CALC_EEM!$B69="","",CALC_EEM!J69)</f>
      </c>
      <c r="K76" t="str">
        <f>IF(CALC_EEM!$B69="","",CALC_EEM!K69)</f>
      </c>
      <c r="L76">
        <f>IF(CALC_EEM!$B69="","",CALC_EEM!L69)</f>
      </c>
      <c r="M76">
        <f>IF(CALC_EEM!$B69="","",CALC_EEM!M69)</f>
      </c>
      <c r="N76">
        <f>IF(CALC_EEM!$B69="","",CALC_EEM!N69)</f>
      </c>
      <c r="O76">
        <f>IF(CALC_EEM!$B69="","",CALC_EEM!O69)</f>
      </c>
      <c r="P76">
        <f>IF(CALC_EEM!$B69="","",CALC_EEM!P69)</f>
      </c>
      <c r="Q76">
        <f>IF(CALC_EEM!$B69="","",CALC_EEM!Q69)</f>
      </c>
      <c r="R76">
        <f>IF(CALC_EEM!$B69="","",CALC_EEM!R69)</f>
      </c>
      <c r="S76">
        <f>IF(CALC_EEM!$B69="","",CALC_EEM!S69)</f>
      </c>
      <c r="T76">
        <f>IF(CALC_EEM!$B69="","",CALC_EEM!T69)</f>
      </c>
      <c r="U76">
        <f>IF(CALC_EEM!$B69="","",CALC_EEM!U69)</f>
      </c>
    </row>
    <row r="77" spans="1:24">
      <c r="A77" t="str">
        <f>IF(CALC_EEM!$B70="","",IF(CALC_EEM!A70="GLOBAL","GLOBAL",IF(CALC_EEM!C70="Total","CURSO_TOTAL",IF(CALC_EEM!C70="TotalEsp","CURSO_ESP",IF(CALC_EEM!C70="TotalNoEsp","CURSO_NOESP","CURSO_ASIG")))))</f>
      </c>
      <c r="B77" t="str">
        <f>IF(CALC_EEM!$B70="","",CALC_EEM!A70)</f>
      </c>
      <c r="C77" t="str">
        <f>IF(CALC_EEM!$B70="","",CALC_EEM!B70)</f>
      </c>
      <c r="D77">
        <f>IF(CALC_EEM!$B70="","",CALC_EEM!D70)</f>
      </c>
      <c r="E77" s="14" t="str">
        <f>IF(CALC_EEM!$B70="","",CALC_EEM!E70)</f>
      </c>
      <c r="F77" s="14" t="str">
        <f>IF(CALC_EEM!$B70="","",CALC_EEM!F70)</f>
      </c>
      <c r="G77" t="str">
        <f>IF(CALC_EEM!$B70="","",CALC_EEM!G70)</f>
      </c>
      <c r="H77" s="16" t="str">
        <f>IF(CALC_EEM!$B70="","",CALC_EEM!H70)</f>
      </c>
      <c r="I77" s="16" t="str">
        <f>IF(CALC_EEM!$B70="","",CALC_EEM!I70)</f>
      </c>
      <c r="J77" t="str">
        <f>IF(CALC_EEM!$B70="","",CALC_EEM!J70)</f>
      </c>
      <c r="K77" t="str">
        <f>IF(CALC_EEM!$B70="","",CALC_EEM!K70)</f>
      </c>
      <c r="L77">
        <f>IF(CALC_EEM!$B70="","",CALC_EEM!L70)</f>
      </c>
      <c r="M77">
        <f>IF(CALC_EEM!$B70="","",CALC_EEM!M70)</f>
      </c>
      <c r="N77">
        <f>IF(CALC_EEM!$B70="","",CALC_EEM!N70)</f>
      </c>
      <c r="O77">
        <f>IF(CALC_EEM!$B70="","",CALC_EEM!O70)</f>
      </c>
      <c r="P77">
        <f>IF(CALC_EEM!$B70="","",CALC_EEM!P70)</f>
      </c>
      <c r="Q77">
        <f>IF(CALC_EEM!$B70="","",CALC_EEM!Q70)</f>
      </c>
      <c r="R77">
        <f>IF(CALC_EEM!$B70="","",CALC_EEM!R70)</f>
      </c>
      <c r="S77">
        <f>IF(CALC_EEM!$B70="","",CALC_EEM!S70)</f>
      </c>
      <c r="T77">
        <f>IF(CALC_EEM!$B70="","",CALC_EEM!T70)</f>
      </c>
      <c r="U77">
        <f>IF(CALC_EEM!$B70="","",CALC_EEM!U70)</f>
      </c>
    </row>
    <row r="78" spans="1:24">
      <c r="A78" t="str">
        <f>IF(CALC_EEM!$B71="","",IF(CALC_EEM!A71="GLOBAL","GLOBAL",IF(CALC_EEM!C71="Total","CURSO_TOTAL",IF(CALC_EEM!C71="TotalEsp","CURSO_ESP",IF(CALC_EEM!C71="TotalNoEsp","CURSO_NOESP","CURSO_ASIG")))))</f>
      </c>
      <c r="B78" t="str">
        <f>IF(CALC_EEM!$B71="","",CALC_EEM!A71)</f>
      </c>
      <c r="C78" t="str">
        <f>IF(CALC_EEM!$B71="","",CALC_EEM!B71)</f>
      </c>
      <c r="D78">
        <f>IF(CALC_EEM!$B71="","",CALC_EEM!D71)</f>
      </c>
      <c r="E78" s="14" t="str">
        <f>IF(CALC_EEM!$B71="","",CALC_EEM!E71)</f>
      </c>
      <c r="F78" s="14" t="str">
        <f>IF(CALC_EEM!$B71="","",CALC_EEM!F71)</f>
      </c>
      <c r="G78" t="str">
        <f>IF(CALC_EEM!$B71="","",CALC_EEM!G71)</f>
      </c>
      <c r="H78" s="16" t="str">
        <f>IF(CALC_EEM!$B71="","",CALC_EEM!H71)</f>
      </c>
      <c r="I78" s="16" t="str">
        <f>IF(CALC_EEM!$B71="","",CALC_EEM!I71)</f>
      </c>
      <c r="J78" t="str">
        <f>IF(CALC_EEM!$B71="","",CALC_EEM!J71)</f>
      </c>
      <c r="K78" t="str">
        <f>IF(CALC_EEM!$B71="","",CALC_EEM!K71)</f>
      </c>
      <c r="L78">
        <f>IF(CALC_EEM!$B71="","",CALC_EEM!L71)</f>
      </c>
      <c r="M78">
        <f>IF(CALC_EEM!$B71="","",CALC_EEM!M71)</f>
      </c>
      <c r="N78">
        <f>IF(CALC_EEM!$B71="","",CALC_EEM!N71)</f>
      </c>
      <c r="O78">
        <f>IF(CALC_EEM!$B71="","",CALC_EEM!O71)</f>
      </c>
      <c r="P78">
        <f>IF(CALC_EEM!$B71="","",CALC_EEM!P71)</f>
      </c>
      <c r="Q78">
        <f>IF(CALC_EEM!$B71="","",CALC_EEM!Q71)</f>
      </c>
      <c r="R78">
        <f>IF(CALC_EEM!$B71="","",CALC_EEM!R71)</f>
      </c>
      <c r="S78">
        <f>IF(CALC_EEM!$B71="","",CALC_EEM!S71)</f>
      </c>
      <c r="T78">
        <f>IF(CALC_EEM!$B71="","",CALC_EEM!T71)</f>
      </c>
      <c r="U78">
        <f>IF(CALC_EEM!$B71="","",CALC_EEM!U71)</f>
      </c>
    </row>
    <row r="79" spans="1:24">
      <c r="A79" t="str">
        <f>IF(CALC_EEM!$B72="","",IF(CALC_EEM!A72="GLOBAL","GLOBAL",IF(CALC_EEM!C72="Total","CURSO_TOTAL",IF(CALC_EEM!C72="TotalEsp","CURSO_ESP",IF(CALC_EEM!C72="TotalNoEsp","CURSO_NOESP","CURSO_ASIG")))))</f>
      </c>
      <c r="B79" t="str">
        <f>IF(CALC_EEM!$B72="","",CALC_EEM!A72)</f>
      </c>
      <c r="C79" t="str">
        <f>IF(CALC_EEM!$B72="","",CALC_EEM!B72)</f>
      </c>
      <c r="D79">
        <f>IF(CALC_EEM!$B72="","",CALC_EEM!D72)</f>
      </c>
      <c r="E79" s="14" t="str">
        <f>IF(CALC_EEM!$B72="","",CALC_EEM!E72)</f>
      </c>
      <c r="F79" s="14" t="str">
        <f>IF(CALC_EEM!$B72="","",CALC_EEM!F72)</f>
      </c>
      <c r="G79" t="str">
        <f>IF(CALC_EEM!$B72="","",CALC_EEM!G72)</f>
      </c>
      <c r="H79" s="16" t="str">
        <f>IF(CALC_EEM!$B72="","",CALC_EEM!H72)</f>
      </c>
      <c r="I79" s="16" t="str">
        <f>IF(CALC_EEM!$B72="","",CALC_EEM!I72)</f>
      </c>
      <c r="J79" t="str">
        <f>IF(CALC_EEM!$B72="","",CALC_EEM!J72)</f>
      </c>
      <c r="K79" t="str">
        <f>IF(CALC_EEM!$B72="","",CALC_EEM!K72)</f>
      </c>
      <c r="L79">
        <f>IF(CALC_EEM!$B72="","",CALC_EEM!L72)</f>
      </c>
      <c r="M79">
        <f>IF(CALC_EEM!$B72="","",CALC_EEM!M72)</f>
      </c>
      <c r="N79">
        <f>IF(CALC_EEM!$B72="","",CALC_EEM!N72)</f>
      </c>
      <c r="O79">
        <f>IF(CALC_EEM!$B72="","",CALC_EEM!O72)</f>
      </c>
      <c r="P79">
        <f>IF(CALC_EEM!$B72="","",CALC_EEM!P72)</f>
      </c>
      <c r="Q79">
        <f>IF(CALC_EEM!$B72="","",CALC_EEM!Q72)</f>
      </c>
      <c r="R79">
        <f>IF(CALC_EEM!$B72="","",CALC_EEM!R72)</f>
      </c>
      <c r="S79">
        <f>IF(CALC_EEM!$B72="","",CALC_EEM!S72)</f>
      </c>
      <c r="T79">
        <f>IF(CALC_EEM!$B72="","",CALC_EEM!T72)</f>
      </c>
      <c r="U79">
        <f>IF(CALC_EEM!$B72="","",CALC_EEM!U72)</f>
      </c>
    </row>
    <row r="80" spans="1:24">
      <c r="A80" t="str">
        <f>IF(CALC_EEM!$B73="","",IF(CALC_EEM!A73="GLOBAL","GLOBAL",IF(CALC_EEM!C73="Total","CURSO_TOTAL",IF(CALC_EEM!C73="TotalEsp","CURSO_ESP",IF(CALC_EEM!C73="TotalNoEsp","CURSO_NOESP","CURSO_ASIG")))))</f>
      </c>
      <c r="B80" t="str">
        <f>IF(CALC_EEM!$B73="","",CALC_EEM!A73)</f>
      </c>
      <c r="C80" t="str">
        <f>IF(CALC_EEM!$B73="","",CALC_EEM!B73)</f>
      </c>
      <c r="D80">
        <f>IF(CALC_EEM!$B73="","",CALC_EEM!D73)</f>
      </c>
      <c r="E80" s="14" t="str">
        <f>IF(CALC_EEM!$B73="","",CALC_EEM!E73)</f>
      </c>
      <c r="F80" s="14" t="str">
        <f>IF(CALC_EEM!$B73="","",CALC_EEM!F73)</f>
      </c>
      <c r="G80" t="str">
        <f>IF(CALC_EEM!$B73="","",CALC_EEM!G73)</f>
      </c>
      <c r="H80" s="16" t="str">
        <f>IF(CALC_EEM!$B73="","",CALC_EEM!H73)</f>
      </c>
      <c r="I80" s="16" t="str">
        <f>IF(CALC_EEM!$B73="","",CALC_EEM!I73)</f>
      </c>
      <c r="J80" t="str">
        <f>IF(CALC_EEM!$B73="","",CALC_EEM!J73)</f>
      </c>
      <c r="K80" t="str">
        <f>IF(CALC_EEM!$B73="","",CALC_EEM!K73)</f>
      </c>
      <c r="L80">
        <f>IF(CALC_EEM!$B73="","",CALC_EEM!L73)</f>
      </c>
      <c r="M80">
        <f>IF(CALC_EEM!$B73="","",CALC_EEM!M73)</f>
      </c>
      <c r="N80">
        <f>IF(CALC_EEM!$B73="","",CALC_EEM!N73)</f>
      </c>
      <c r="O80">
        <f>IF(CALC_EEM!$B73="","",CALC_EEM!O73)</f>
      </c>
      <c r="P80">
        <f>IF(CALC_EEM!$B73="","",CALC_EEM!P73)</f>
      </c>
      <c r="Q80">
        <f>IF(CALC_EEM!$B73="","",CALC_EEM!Q73)</f>
      </c>
      <c r="R80">
        <f>IF(CALC_EEM!$B73="","",CALC_EEM!R73)</f>
      </c>
      <c r="S80">
        <f>IF(CALC_EEM!$B73="","",CALC_EEM!S73)</f>
      </c>
      <c r="T80">
        <f>IF(CALC_EEM!$B73="","",CALC_EEM!T73)</f>
      </c>
      <c r="U80">
        <f>IF(CALC_EEM!$B73="","",CALC_EEM!U73)</f>
      </c>
    </row>
    <row r="81" spans="1:24">
      <c r="A81" t="str">
        <f>IF(CALC_EEM!$B74="","",IF(CALC_EEM!A74="GLOBAL","GLOBAL",IF(CALC_EEM!C74="Total","CURSO_TOTAL",IF(CALC_EEM!C74="TotalEsp","CURSO_ESP",IF(CALC_EEM!C74="TotalNoEsp","CURSO_NOESP","CURSO_ASIG")))))</f>
      </c>
      <c r="B81" t="str">
        <f>IF(CALC_EEM!$B74="","",CALC_EEM!A74)</f>
      </c>
      <c r="C81" t="str">
        <f>IF(CALC_EEM!$B74="","",CALC_EEM!B74)</f>
      </c>
      <c r="D81">
        <f>IF(CALC_EEM!$B74="","",CALC_EEM!D74)</f>
      </c>
      <c r="E81" s="14" t="str">
        <f>IF(CALC_EEM!$B74="","",CALC_EEM!E74)</f>
      </c>
      <c r="F81" s="14" t="str">
        <f>IF(CALC_EEM!$B74="","",CALC_EEM!F74)</f>
      </c>
      <c r="G81" t="str">
        <f>IF(CALC_EEM!$B74="","",CALC_EEM!G74)</f>
      </c>
      <c r="H81" s="16" t="str">
        <f>IF(CALC_EEM!$B74="","",CALC_EEM!H74)</f>
      </c>
      <c r="I81" s="16" t="str">
        <f>IF(CALC_EEM!$B74="","",CALC_EEM!I74)</f>
      </c>
      <c r="J81" t="str">
        <f>IF(CALC_EEM!$B74="","",CALC_EEM!J74)</f>
      </c>
      <c r="K81" t="str">
        <f>IF(CALC_EEM!$B74="","",CALC_EEM!K74)</f>
      </c>
      <c r="L81">
        <f>IF(CALC_EEM!$B74="","",CALC_EEM!L74)</f>
      </c>
      <c r="M81">
        <f>IF(CALC_EEM!$B74="","",CALC_EEM!M74)</f>
      </c>
      <c r="N81">
        <f>IF(CALC_EEM!$B74="","",CALC_EEM!N74)</f>
      </c>
      <c r="O81">
        <f>IF(CALC_EEM!$B74="","",CALC_EEM!O74)</f>
      </c>
      <c r="P81">
        <f>IF(CALC_EEM!$B74="","",CALC_EEM!P74)</f>
      </c>
      <c r="Q81">
        <f>IF(CALC_EEM!$B74="","",CALC_EEM!Q74)</f>
      </c>
      <c r="R81">
        <f>IF(CALC_EEM!$B74="","",CALC_EEM!R74)</f>
      </c>
      <c r="S81">
        <f>IF(CALC_EEM!$B74="","",CALC_EEM!S74)</f>
      </c>
      <c r="T81">
        <f>IF(CALC_EEM!$B74="","",CALC_EEM!T74)</f>
      </c>
      <c r="U81">
        <f>IF(CALC_EEM!$B74="","",CALC_EEM!U74)</f>
      </c>
    </row>
    <row r="82" spans="1:24">
      <c r="A82" t="str">
        <f>IF(CALC_EEM!$B75="","",IF(CALC_EEM!A75="GLOBAL","GLOBAL",IF(CALC_EEM!C75="Total","CURSO_TOTAL",IF(CALC_EEM!C75="TotalEsp","CURSO_ESP",IF(CALC_EEM!C75="TotalNoEsp","CURSO_NOESP","CURSO_ASIG")))))</f>
      </c>
      <c r="B82" t="str">
        <f>IF(CALC_EEM!$B75="","",CALC_EEM!A75)</f>
      </c>
      <c r="C82" t="str">
        <f>IF(CALC_EEM!$B75="","",CALC_EEM!B75)</f>
      </c>
      <c r="D82">
        <f>IF(CALC_EEM!$B75="","",CALC_EEM!D75)</f>
      </c>
      <c r="E82" s="14" t="str">
        <f>IF(CALC_EEM!$B75="","",CALC_EEM!E75)</f>
      </c>
      <c r="F82" s="14" t="str">
        <f>IF(CALC_EEM!$B75="","",CALC_EEM!F75)</f>
      </c>
      <c r="G82" t="str">
        <f>IF(CALC_EEM!$B75="","",CALC_EEM!G75)</f>
      </c>
      <c r="H82" s="16" t="str">
        <f>IF(CALC_EEM!$B75="","",CALC_EEM!H75)</f>
      </c>
      <c r="I82" s="16" t="str">
        <f>IF(CALC_EEM!$B75="","",CALC_EEM!I75)</f>
      </c>
      <c r="J82" t="str">
        <f>IF(CALC_EEM!$B75="","",CALC_EEM!J75)</f>
      </c>
      <c r="K82" t="str">
        <f>IF(CALC_EEM!$B75="","",CALC_EEM!K75)</f>
      </c>
      <c r="L82">
        <f>IF(CALC_EEM!$B75="","",CALC_EEM!L75)</f>
      </c>
      <c r="M82">
        <f>IF(CALC_EEM!$B75="","",CALC_EEM!M75)</f>
      </c>
      <c r="N82">
        <f>IF(CALC_EEM!$B75="","",CALC_EEM!N75)</f>
      </c>
      <c r="O82">
        <f>IF(CALC_EEM!$B75="","",CALC_EEM!O75)</f>
      </c>
      <c r="P82">
        <f>IF(CALC_EEM!$B75="","",CALC_EEM!P75)</f>
      </c>
      <c r="Q82">
        <f>IF(CALC_EEM!$B75="","",CALC_EEM!Q75)</f>
      </c>
      <c r="R82">
        <f>IF(CALC_EEM!$B75="","",CALC_EEM!R75)</f>
      </c>
      <c r="S82">
        <f>IF(CALC_EEM!$B75="","",CALC_EEM!S75)</f>
      </c>
      <c r="T82">
        <f>IF(CALC_EEM!$B75="","",CALC_EEM!T75)</f>
      </c>
      <c r="U82">
        <f>IF(CALC_EEM!$B75="","",CALC_EEM!U75)</f>
      </c>
    </row>
    <row r="83" spans="1:24">
      <c r="A83" t="str">
        <f>IF(CALC_EEM!$B76="","",IF(CALC_EEM!A76="GLOBAL","GLOBAL",IF(CALC_EEM!C76="Total","CURSO_TOTAL",IF(CALC_EEM!C76="TotalEsp","CURSO_ESP",IF(CALC_EEM!C76="TotalNoEsp","CURSO_NOESP","CURSO_ASIG")))))</f>
      </c>
      <c r="B83" t="str">
        <f>IF(CALC_EEM!$B76="","",CALC_EEM!A76)</f>
      </c>
      <c r="C83" t="str">
        <f>IF(CALC_EEM!$B76="","",CALC_EEM!B76)</f>
      </c>
      <c r="D83">
        <f>IF(CALC_EEM!$B76="","",CALC_EEM!D76)</f>
      </c>
      <c r="E83" s="14" t="str">
        <f>IF(CALC_EEM!$B76="","",CALC_EEM!E76)</f>
      </c>
      <c r="F83" s="14" t="str">
        <f>IF(CALC_EEM!$B76="","",CALC_EEM!F76)</f>
      </c>
      <c r="G83" t="str">
        <f>IF(CALC_EEM!$B76="","",CALC_EEM!G76)</f>
      </c>
      <c r="H83" s="16" t="str">
        <f>IF(CALC_EEM!$B76="","",CALC_EEM!H76)</f>
      </c>
      <c r="I83" s="16" t="str">
        <f>IF(CALC_EEM!$B76="","",CALC_EEM!I76)</f>
      </c>
      <c r="J83" t="str">
        <f>IF(CALC_EEM!$B76="","",CALC_EEM!J76)</f>
      </c>
      <c r="K83" t="str">
        <f>IF(CALC_EEM!$B76="","",CALC_EEM!K76)</f>
      </c>
      <c r="L83">
        <f>IF(CALC_EEM!$B76="","",CALC_EEM!L76)</f>
      </c>
      <c r="M83">
        <f>IF(CALC_EEM!$B76="","",CALC_EEM!M76)</f>
      </c>
      <c r="N83">
        <f>IF(CALC_EEM!$B76="","",CALC_EEM!N76)</f>
      </c>
      <c r="O83">
        <f>IF(CALC_EEM!$B76="","",CALC_EEM!O76)</f>
      </c>
      <c r="P83">
        <f>IF(CALC_EEM!$B76="","",CALC_EEM!P76)</f>
      </c>
      <c r="Q83">
        <f>IF(CALC_EEM!$B76="","",CALC_EEM!Q76)</f>
      </c>
      <c r="R83">
        <f>IF(CALC_EEM!$B76="","",CALC_EEM!R76)</f>
      </c>
      <c r="S83">
        <f>IF(CALC_EEM!$B76="","",CALC_EEM!S76)</f>
      </c>
      <c r="T83">
        <f>IF(CALC_EEM!$B76="","",CALC_EEM!T76)</f>
      </c>
      <c r="U83">
        <f>IF(CALC_EEM!$B76="","",CALC_EEM!U76)</f>
      </c>
    </row>
    <row r="84" spans="1:24">
      <c r="A84" t="str">
        <f>IF(CALC_EEM!$B77="","",IF(CALC_EEM!A77="GLOBAL","GLOBAL",IF(CALC_EEM!C77="Total","CURSO_TOTAL",IF(CALC_EEM!C77="TotalEsp","CURSO_ESP",IF(CALC_EEM!C77="TotalNoEsp","CURSO_NOESP","CURSO_ASIG")))))</f>
      </c>
      <c r="B84" t="str">
        <f>IF(CALC_EEM!$B77="","",CALC_EEM!A77)</f>
      </c>
      <c r="C84" t="str">
        <f>IF(CALC_EEM!$B77="","",CALC_EEM!B77)</f>
      </c>
      <c r="D84">
        <f>IF(CALC_EEM!$B77="","",CALC_EEM!D77)</f>
      </c>
      <c r="E84" s="14" t="str">
        <f>IF(CALC_EEM!$B77="","",CALC_EEM!E77)</f>
      </c>
      <c r="F84" s="14" t="str">
        <f>IF(CALC_EEM!$B77="","",CALC_EEM!F77)</f>
      </c>
      <c r="G84" t="str">
        <f>IF(CALC_EEM!$B77="","",CALC_EEM!G77)</f>
      </c>
      <c r="H84" s="16" t="str">
        <f>IF(CALC_EEM!$B77="","",CALC_EEM!H77)</f>
      </c>
      <c r="I84" s="16" t="str">
        <f>IF(CALC_EEM!$B77="","",CALC_EEM!I77)</f>
      </c>
      <c r="J84" t="str">
        <f>IF(CALC_EEM!$B77="","",CALC_EEM!J77)</f>
      </c>
      <c r="K84" t="str">
        <f>IF(CALC_EEM!$B77="","",CALC_EEM!K77)</f>
      </c>
      <c r="L84">
        <f>IF(CALC_EEM!$B77="","",CALC_EEM!L77)</f>
      </c>
      <c r="M84">
        <f>IF(CALC_EEM!$B77="","",CALC_EEM!M77)</f>
      </c>
      <c r="N84">
        <f>IF(CALC_EEM!$B77="","",CALC_EEM!N77)</f>
      </c>
      <c r="O84">
        <f>IF(CALC_EEM!$B77="","",CALC_EEM!O77)</f>
      </c>
      <c r="P84">
        <f>IF(CALC_EEM!$B77="","",CALC_EEM!P77)</f>
      </c>
      <c r="Q84">
        <f>IF(CALC_EEM!$B77="","",CALC_EEM!Q77)</f>
      </c>
      <c r="R84">
        <f>IF(CALC_EEM!$B77="","",CALC_EEM!R77)</f>
      </c>
      <c r="S84">
        <f>IF(CALC_EEM!$B77="","",CALC_EEM!S77)</f>
      </c>
      <c r="T84">
        <f>IF(CALC_EEM!$B77="","",CALC_EEM!T77)</f>
      </c>
      <c r="U84">
        <f>IF(CALC_EEM!$B77="","",CALC_EEM!U77)</f>
      </c>
    </row>
    <row r="85" spans="1:24">
      <c r="A85" t="str">
        <f>IF(CALC_EEM!$B78="","",IF(CALC_EEM!A78="GLOBAL","GLOBAL",IF(CALC_EEM!C78="Total","CURSO_TOTAL",IF(CALC_EEM!C78="TotalEsp","CURSO_ESP",IF(CALC_EEM!C78="TotalNoEsp","CURSO_NOESP","CURSO_ASIG")))))</f>
      </c>
      <c r="B85" t="str">
        <f>IF(CALC_EEM!$B78="","",CALC_EEM!A78)</f>
      </c>
      <c r="C85" t="str">
        <f>IF(CALC_EEM!$B78="","",CALC_EEM!B78)</f>
      </c>
      <c r="D85">
        <f>IF(CALC_EEM!$B78="","",CALC_EEM!D78)</f>
      </c>
      <c r="E85" s="14" t="str">
        <f>IF(CALC_EEM!$B78="","",CALC_EEM!E78)</f>
      </c>
      <c r="F85" s="14" t="str">
        <f>IF(CALC_EEM!$B78="","",CALC_EEM!F78)</f>
      </c>
      <c r="G85" t="str">
        <f>IF(CALC_EEM!$B78="","",CALC_EEM!G78)</f>
      </c>
      <c r="H85" s="16" t="str">
        <f>IF(CALC_EEM!$B78="","",CALC_EEM!H78)</f>
      </c>
      <c r="I85" s="16" t="str">
        <f>IF(CALC_EEM!$B78="","",CALC_EEM!I78)</f>
      </c>
      <c r="J85" t="str">
        <f>IF(CALC_EEM!$B78="","",CALC_EEM!J78)</f>
      </c>
      <c r="K85" t="str">
        <f>IF(CALC_EEM!$B78="","",CALC_EEM!K78)</f>
      </c>
      <c r="L85">
        <f>IF(CALC_EEM!$B78="","",CALC_EEM!L78)</f>
      </c>
      <c r="M85">
        <f>IF(CALC_EEM!$B78="","",CALC_EEM!M78)</f>
      </c>
      <c r="N85">
        <f>IF(CALC_EEM!$B78="","",CALC_EEM!N78)</f>
      </c>
      <c r="O85">
        <f>IF(CALC_EEM!$B78="","",CALC_EEM!O78)</f>
      </c>
      <c r="P85">
        <f>IF(CALC_EEM!$B78="","",CALC_EEM!P78)</f>
      </c>
      <c r="Q85">
        <f>IF(CALC_EEM!$B78="","",CALC_EEM!Q78)</f>
      </c>
      <c r="R85">
        <f>IF(CALC_EEM!$B78="","",CALC_EEM!R78)</f>
      </c>
      <c r="S85">
        <f>IF(CALC_EEM!$B78="","",CALC_EEM!S78)</f>
      </c>
      <c r="T85">
        <f>IF(CALC_EEM!$B78="","",CALC_EEM!T78)</f>
      </c>
      <c r="U85">
        <f>IF(CALC_EEM!$B78="","",CALC_EEM!U78)</f>
      </c>
    </row>
    <row r="86" spans="1:24">
      <c r="A86" t="str">
        <f>IF(CALC_EEM!$B79="","",IF(CALC_EEM!A79="GLOBAL","GLOBAL",IF(CALC_EEM!C79="Total","CURSO_TOTAL",IF(CALC_EEM!C79="TotalEsp","CURSO_ESP",IF(CALC_EEM!C79="TotalNoEsp","CURSO_NOESP","CURSO_ASIG")))))</f>
      </c>
      <c r="B86" t="str">
        <f>IF(CALC_EEM!$B79="","",CALC_EEM!A79)</f>
      </c>
      <c r="C86" t="str">
        <f>IF(CALC_EEM!$B79="","",CALC_EEM!B79)</f>
      </c>
      <c r="D86">
        <f>IF(CALC_EEM!$B79="","",CALC_EEM!D79)</f>
      </c>
      <c r="E86" s="14" t="str">
        <f>IF(CALC_EEM!$B79="","",CALC_EEM!E79)</f>
      </c>
      <c r="F86" s="14" t="str">
        <f>IF(CALC_EEM!$B79="","",CALC_EEM!F79)</f>
      </c>
      <c r="G86" t="str">
        <f>IF(CALC_EEM!$B79="","",CALC_EEM!G79)</f>
      </c>
      <c r="H86" s="16" t="str">
        <f>IF(CALC_EEM!$B79="","",CALC_EEM!H79)</f>
      </c>
      <c r="I86" s="16" t="str">
        <f>IF(CALC_EEM!$B79="","",CALC_EEM!I79)</f>
      </c>
      <c r="J86" t="str">
        <f>IF(CALC_EEM!$B79="","",CALC_EEM!J79)</f>
      </c>
      <c r="K86" t="str">
        <f>IF(CALC_EEM!$B79="","",CALC_EEM!K79)</f>
      </c>
      <c r="L86">
        <f>IF(CALC_EEM!$B79="","",CALC_EEM!L79)</f>
      </c>
      <c r="M86">
        <f>IF(CALC_EEM!$B79="","",CALC_EEM!M79)</f>
      </c>
      <c r="N86">
        <f>IF(CALC_EEM!$B79="","",CALC_EEM!N79)</f>
      </c>
      <c r="O86">
        <f>IF(CALC_EEM!$B79="","",CALC_EEM!O79)</f>
      </c>
      <c r="P86">
        <f>IF(CALC_EEM!$B79="","",CALC_EEM!P79)</f>
      </c>
      <c r="Q86">
        <f>IF(CALC_EEM!$B79="","",CALC_EEM!Q79)</f>
      </c>
      <c r="R86">
        <f>IF(CALC_EEM!$B79="","",CALC_EEM!R79)</f>
      </c>
      <c r="S86">
        <f>IF(CALC_EEM!$B79="","",CALC_EEM!S79)</f>
      </c>
      <c r="T86">
        <f>IF(CALC_EEM!$B79="","",CALC_EEM!T79)</f>
      </c>
      <c r="U86">
        <f>IF(CALC_EEM!$B79="","",CALC_EEM!U79)</f>
      </c>
    </row>
    <row r="87" spans="1:24">
      <c r="A87" t="str">
        <f>IF(CALC_EEM!$B80="","",IF(CALC_EEM!A80="GLOBAL","GLOBAL",IF(CALC_EEM!C80="Total","CURSO_TOTAL",IF(CALC_EEM!C80="TotalEsp","CURSO_ESP",IF(CALC_EEM!C80="TotalNoEsp","CURSO_NOESP","CURSO_ASIG")))))</f>
      </c>
      <c r="B87" t="str">
        <f>IF(CALC_EEM!$B80="","",CALC_EEM!A80)</f>
      </c>
      <c r="C87" t="str">
        <f>IF(CALC_EEM!$B80="","",CALC_EEM!B80)</f>
      </c>
      <c r="D87">
        <f>IF(CALC_EEM!$B80="","",CALC_EEM!D80)</f>
      </c>
      <c r="E87" s="14" t="str">
        <f>IF(CALC_EEM!$B80="","",CALC_EEM!E80)</f>
      </c>
      <c r="F87" s="14" t="str">
        <f>IF(CALC_EEM!$B80="","",CALC_EEM!F80)</f>
      </c>
      <c r="G87" t="str">
        <f>IF(CALC_EEM!$B80="","",CALC_EEM!G80)</f>
      </c>
      <c r="H87" s="16" t="str">
        <f>IF(CALC_EEM!$B80="","",CALC_EEM!H80)</f>
      </c>
      <c r="I87" s="16" t="str">
        <f>IF(CALC_EEM!$B80="","",CALC_EEM!I80)</f>
      </c>
      <c r="J87" t="str">
        <f>IF(CALC_EEM!$B80="","",CALC_EEM!J80)</f>
      </c>
      <c r="K87" t="str">
        <f>IF(CALC_EEM!$B80="","",CALC_EEM!K80)</f>
      </c>
      <c r="L87">
        <f>IF(CALC_EEM!$B80="","",CALC_EEM!L80)</f>
      </c>
      <c r="M87">
        <f>IF(CALC_EEM!$B80="","",CALC_EEM!M80)</f>
      </c>
      <c r="N87">
        <f>IF(CALC_EEM!$B80="","",CALC_EEM!N80)</f>
      </c>
      <c r="O87">
        <f>IF(CALC_EEM!$B80="","",CALC_EEM!O80)</f>
      </c>
      <c r="P87">
        <f>IF(CALC_EEM!$B80="","",CALC_EEM!P80)</f>
      </c>
      <c r="Q87">
        <f>IF(CALC_EEM!$B80="","",CALC_EEM!Q80)</f>
      </c>
      <c r="R87">
        <f>IF(CALC_EEM!$B80="","",CALC_EEM!R80)</f>
      </c>
      <c r="S87">
        <f>IF(CALC_EEM!$B80="","",CALC_EEM!S80)</f>
      </c>
      <c r="T87">
        <f>IF(CALC_EEM!$B80="","",CALC_EEM!T80)</f>
      </c>
      <c r="U87">
        <f>IF(CALC_EEM!$B80="","",CALC_EEM!U80)</f>
      </c>
    </row>
    <row r="88" spans="1:24">
      <c r="A88" t="str">
        <f>IF(CALC_EEM!$B81="","",IF(CALC_EEM!A81="GLOBAL","GLOBAL",IF(CALC_EEM!C81="Total","CURSO_TOTAL",IF(CALC_EEM!C81="TotalEsp","CURSO_ESP",IF(CALC_EEM!C81="TotalNoEsp","CURSO_NOESP","CURSO_ASIG")))))</f>
      </c>
      <c r="B88" t="str">
        <f>IF(CALC_EEM!$B81="","",CALC_EEM!A81)</f>
      </c>
      <c r="C88" t="str">
        <f>IF(CALC_EEM!$B81="","",CALC_EEM!B81)</f>
      </c>
      <c r="D88">
        <f>IF(CALC_EEM!$B81="","",CALC_EEM!D81)</f>
      </c>
      <c r="E88" s="14" t="str">
        <f>IF(CALC_EEM!$B81="","",CALC_EEM!E81)</f>
      </c>
      <c r="F88" s="14" t="str">
        <f>IF(CALC_EEM!$B81="","",CALC_EEM!F81)</f>
      </c>
      <c r="G88" t="str">
        <f>IF(CALC_EEM!$B81="","",CALC_EEM!G81)</f>
      </c>
      <c r="H88" s="16" t="str">
        <f>IF(CALC_EEM!$B81="","",CALC_EEM!H81)</f>
      </c>
      <c r="I88" s="16" t="str">
        <f>IF(CALC_EEM!$B81="","",CALC_EEM!I81)</f>
      </c>
      <c r="J88" t="str">
        <f>IF(CALC_EEM!$B81="","",CALC_EEM!J81)</f>
      </c>
      <c r="K88" t="str">
        <f>IF(CALC_EEM!$B81="","",CALC_EEM!K81)</f>
      </c>
      <c r="L88">
        <f>IF(CALC_EEM!$B81="","",CALC_EEM!L81)</f>
      </c>
      <c r="M88">
        <f>IF(CALC_EEM!$B81="","",CALC_EEM!M81)</f>
      </c>
      <c r="N88">
        <f>IF(CALC_EEM!$B81="","",CALC_EEM!N81)</f>
      </c>
      <c r="O88">
        <f>IF(CALC_EEM!$B81="","",CALC_EEM!O81)</f>
      </c>
      <c r="P88">
        <f>IF(CALC_EEM!$B81="","",CALC_EEM!P81)</f>
      </c>
      <c r="Q88">
        <f>IF(CALC_EEM!$B81="","",CALC_EEM!Q81)</f>
      </c>
      <c r="R88">
        <f>IF(CALC_EEM!$B81="","",CALC_EEM!R81)</f>
      </c>
      <c r="S88">
        <f>IF(CALC_EEM!$B81="","",CALC_EEM!S81)</f>
      </c>
      <c r="T88">
        <f>IF(CALC_EEM!$B81="","",CALC_EEM!T81)</f>
      </c>
      <c r="U88">
        <f>IF(CALC_EEM!$B81="","",CALC_EEM!U81)</f>
      </c>
    </row>
    <row r="89" spans="1:24">
      <c r="A89" t="str">
        <f>IF(CALC_EEM!$B82="","",IF(CALC_EEM!A82="GLOBAL","GLOBAL",IF(CALC_EEM!C82="Total","CURSO_TOTAL",IF(CALC_EEM!C82="TotalEsp","CURSO_ESP",IF(CALC_EEM!C82="TotalNoEsp","CURSO_NOESP","CURSO_ASIG")))))</f>
      </c>
      <c r="B89" t="str">
        <f>IF(CALC_EEM!$B82="","",CALC_EEM!A82)</f>
      </c>
      <c r="C89" t="str">
        <f>IF(CALC_EEM!$B82="","",CALC_EEM!B82)</f>
      </c>
      <c r="D89">
        <f>IF(CALC_EEM!$B82="","",CALC_EEM!D82)</f>
      </c>
      <c r="E89" s="14" t="str">
        <f>IF(CALC_EEM!$B82="","",CALC_EEM!E82)</f>
      </c>
      <c r="F89" s="14" t="str">
        <f>IF(CALC_EEM!$B82="","",CALC_EEM!F82)</f>
      </c>
      <c r="G89" t="str">
        <f>IF(CALC_EEM!$B82="","",CALC_EEM!G82)</f>
      </c>
      <c r="H89" s="16" t="str">
        <f>IF(CALC_EEM!$B82="","",CALC_EEM!H82)</f>
      </c>
      <c r="I89" s="16" t="str">
        <f>IF(CALC_EEM!$B82="","",CALC_EEM!I82)</f>
      </c>
      <c r="J89" t="str">
        <f>IF(CALC_EEM!$B82="","",CALC_EEM!J82)</f>
      </c>
      <c r="K89" t="str">
        <f>IF(CALC_EEM!$B82="","",CALC_EEM!K82)</f>
      </c>
      <c r="L89">
        <f>IF(CALC_EEM!$B82="","",CALC_EEM!L82)</f>
      </c>
      <c r="M89">
        <f>IF(CALC_EEM!$B82="","",CALC_EEM!M82)</f>
      </c>
      <c r="N89">
        <f>IF(CALC_EEM!$B82="","",CALC_EEM!N82)</f>
      </c>
      <c r="O89">
        <f>IF(CALC_EEM!$B82="","",CALC_EEM!O82)</f>
      </c>
      <c r="P89">
        <f>IF(CALC_EEM!$B82="","",CALC_EEM!P82)</f>
      </c>
      <c r="Q89">
        <f>IF(CALC_EEM!$B82="","",CALC_EEM!Q82)</f>
      </c>
      <c r="R89">
        <f>IF(CALC_EEM!$B82="","",CALC_EEM!R82)</f>
      </c>
      <c r="S89">
        <f>IF(CALC_EEM!$B82="","",CALC_EEM!S82)</f>
      </c>
      <c r="T89">
        <f>IF(CALC_EEM!$B82="","",CALC_EEM!T82)</f>
      </c>
      <c r="U89">
        <f>IF(CALC_EEM!$B82="","",CALC_EEM!U82)</f>
      </c>
    </row>
    <row r="90" spans="1:24">
      <c r="A90" t="str">
        <f>IF(CALC_EEM!$B83="","",IF(CALC_EEM!A83="GLOBAL","GLOBAL",IF(CALC_EEM!C83="Total","CURSO_TOTAL",IF(CALC_EEM!C83="TotalEsp","CURSO_ESP",IF(CALC_EEM!C83="TotalNoEsp","CURSO_NOESP","CURSO_ASIG")))))</f>
      </c>
      <c r="B90" t="str">
        <f>IF(CALC_EEM!$B83="","",CALC_EEM!A83)</f>
      </c>
      <c r="C90" t="str">
        <f>IF(CALC_EEM!$B83="","",CALC_EEM!B83)</f>
      </c>
      <c r="D90">
        <f>IF(CALC_EEM!$B83="","",CALC_EEM!D83)</f>
      </c>
      <c r="E90" s="14" t="str">
        <f>IF(CALC_EEM!$B83="","",CALC_EEM!E83)</f>
      </c>
      <c r="F90" s="14" t="str">
        <f>IF(CALC_EEM!$B83="","",CALC_EEM!F83)</f>
      </c>
      <c r="G90" t="str">
        <f>IF(CALC_EEM!$B83="","",CALC_EEM!G83)</f>
      </c>
      <c r="H90" s="16" t="str">
        <f>IF(CALC_EEM!$B83="","",CALC_EEM!H83)</f>
      </c>
      <c r="I90" s="16" t="str">
        <f>IF(CALC_EEM!$B83="","",CALC_EEM!I83)</f>
      </c>
      <c r="J90" t="str">
        <f>IF(CALC_EEM!$B83="","",CALC_EEM!J83)</f>
      </c>
      <c r="K90" t="str">
        <f>IF(CALC_EEM!$B83="","",CALC_EEM!K83)</f>
      </c>
      <c r="L90">
        <f>IF(CALC_EEM!$B83="","",CALC_EEM!L83)</f>
      </c>
      <c r="M90">
        <f>IF(CALC_EEM!$B83="","",CALC_EEM!M83)</f>
      </c>
      <c r="N90">
        <f>IF(CALC_EEM!$B83="","",CALC_EEM!N83)</f>
      </c>
      <c r="O90">
        <f>IF(CALC_EEM!$B83="","",CALC_EEM!O83)</f>
      </c>
      <c r="P90">
        <f>IF(CALC_EEM!$B83="","",CALC_EEM!P83)</f>
      </c>
      <c r="Q90">
        <f>IF(CALC_EEM!$B83="","",CALC_EEM!Q83)</f>
      </c>
      <c r="R90">
        <f>IF(CALC_EEM!$B83="","",CALC_EEM!R83)</f>
      </c>
      <c r="S90">
        <f>IF(CALC_EEM!$B83="","",CALC_EEM!S83)</f>
      </c>
      <c r="T90">
        <f>IF(CALC_EEM!$B83="","",CALC_EEM!T83)</f>
      </c>
      <c r="U90">
        <f>IF(CALC_EEM!$B83="","",CALC_EEM!U83)</f>
      </c>
    </row>
    <row r="91" spans="1:24">
      <c r="A91" t="str">
        <f>IF(CALC_EEM!$B84="","",IF(CALC_EEM!A84="GLOBAL","GLOBAL",IF(CALC_EEM!C84="Total","CURSO_TOTAL",IF(CALC_EEM!C84="TotalEsp","CURSO_ESP",IF(CALC_EEM!C84="TotalNoEsp","CURSO_NOESP","CURSO_ASIG")))))</f>
      </c>
      <c r="B91" t="str">
        <f>IF(CALC_EEM!$B84="","",CALC_EEM!A84)</f>
      </c>
      <c r="C91" t="str">
        <f>IF(CALC_EEM!$B84="","",CALC_EEM!B84)</f>
      </c>
      <c r="D91">
        <f>IF(CALC_EEM!$B84="","",CALC_EEM!D84)</f>
      </c>
      <c r="E91" s="14" t="str">
        <f>IF(CALC_EEM!$B84="","",CALC_EEM!E84)</f>
      </c>
      <c r="F91" s="14" t="str">
        <f>IF(CALC_EEM!$B84="","",CALC_EEM!F84)</f>
      </c>
      <c r="G91" t="str">
        <f>IF(CALC_EEM!$B84="","",CALC_EEM!G84)</f>
      </c>
      <c r="H91" s="16" t="str">
        <f>IF(CALC_EEM!$B84="","",CALC_EEM!H84)</f>
      </c>
      <c r="I91" s="16" t="str">
        <f>IF(CALC_EEM!$B84="","",CALC_EEM!I84)</f>
      </c>
      <c r="J91" t="str">
        <f>IF(CALC_EEM!$B84="","",CALC_EEM!J84)</f>
      </c>
      <c r="K91" t="str">
        <f>IF(CALC_EEM!$B84="","",CALC_EEM!K84)</f>
      </c>
      <c r="L91">
        <f>IF(CALC_EEM!$B84="","",CALC_EEM!L84)</f>
      </c>
      <c r="M91">
        <f>IF(CALC_EEM!$B84="","",CALC_EEM!M84)</f>
      </c>
      <c r="N91">
        <f>IF(CALC_EEM!$B84="","",CALC_EEM!N84)</f>
      </c>
      <c r="O91">
        <f>IF(CALC_EEM!$B84="","",CALC_EEM!O84)</f>
      </c>
      <c r="P91">
        <f>IF(CALC_EEM!$B84="","",CALC_EEM!P84)</f>
      </c>
      <c r="Q91">
        <f>IF(CALC_EEM!$B84="","",CALC_EEM!Q84)</f>
      </c>
      <c r="R91">
        <f>IF(CALC_EEM!$B84="","",CALC_EEM!R84)</f>
      </c>
      <c r="S91">
        <f>IF(CALC_EEM!$B84="","",CALC_EEM!S84)</f>
      </c>
      <c r="T91">
        <f>IF(CALC_EEM!$B84="","",CALC_EEM!T84)</f>
      </c>
      <c r="U91">
        <f>IF(CALC_EEM!$B84="","",CALC_EEM!U84)</f>
      </c>
    </row>
    <row r="92" spans="1:24">
      <c r="A92" t="str">
        <f>IF(CALC_EEM!$B85="","",IF(CALC_EEM!A85="GLOBAL","GLOBAL",IF(CALC_EEM!C85="Total","CURSO_TOTAL",IF(CALC_EEM!C85="TotalEsp","CURSO_ESP",IF(CALC_EEM!C85="TotalNoEsp","CURSO_NOESP","CURSO_ASIG")))))</f>
      </c>
      <c r="B92" t="str">
        <f>IF(CALC_EEM!$B85="","",CALC_EEM!A85)</f>
      </c>
      <c r="C92" t="str">
        <f>IF(CALC_EEM!$B85="","",CALC_EEM!B85)</f>
      </c>
      <c r="D92">
        <f>IF(CALC_EEM!$B85="","",CALC_EEM!D85)</f>
      </c>
      <c r="E92" s="14" t="str">
        <f>IF(CALC_EEM!$B85="","",CALC_EEM!E85)</f>
      </c>
      <c r="F92" s="14" t="str">
        <f>IF(CALC_EEM!$B85="","",CALC_EEM!F85)</f>
      </c>
      <c r="G92" t="str">
        <f>IF(CALC_EEM!$B85="","",CALC_EEM!G85)</f>
      </c>
      <c r="H92" s="16" t="str">
        <f>IF(CALC_EEM!$B85="","",CALC_EEM!H85)</f>
      </c>
      <c r="I92" s="16" t="str">
        <f>IF(CALC_EEM!$B85="","",CALC_EEM!I85)</f>
      </c>
      <c r="J92" t="str">
        <f>IF(CALC_EEM!$B85="","",CALC_EEM!J85)</f>
      </c>
      <c r="K92" t="str">
        <f>IF(CALC_EEM!$B85="","",CALC_EEM!K85)</f>
      </c>
      <c r="L92">
        <f>IF(CALC_EEM!$B85="","",CALC_EEM!L85)</f>
      </c>
      <c r="M92">
        <f>IF(CALC_EEM!$B85="","",CALC_EEM!M85)</f>
      </c>
      <c r="N92">
        <f>IF(CALC_EEM!$B85="","",CALC_EEM!N85)</f>
      </c>
      <c r="O92">
        <f>IF(CALC_EEM!$B85="","",CALC_EEM!O85)</f>
      </c>
      <c r="P92">
        <f>IF(CALC_EEM!$B85="","",CALC_EEM!P85)</f>
      </c>
      <c r="Q92">
        <f>IF(CALC_EEM!$B85="","",CALC_EEM!Q85)</f>
      </c>
      <c r="R92">
        <f>IF(CALC_EEM!$B85="","",CALC_EEM!R85)</f>
      </c>
      <c r="S92">
        <f>IF(CALC_EEM!$B85="","",CALC_EEM!S85)</f>
      </c>
      <c r="T92">
        <f>IF(CALC_EEM!$B85="","",CALC_EEM!T85)</f>
      </c>
      <c r="U92">
        <f>IF(CALC_EEM!$B85="","",CALC_EEM!U85)</f>
      </c>
    </row>
    <row r="93" spans="1:24">
      <c r="A93" t="str">
        <f>IF(CALC_EEM!$B86="","",IF(CALC_EEM!A86="GLOBAL","GLOBAL",IF(CALC_EEM!C86="Total","CURSO_TOTAL",IF(CALC_EEM!C86="TotalEsp","CURSO_ESP",IF(CALC_EEM!C86="TotalNoEsp","CURSO_NOESP","CURSO_ASIG")))))</f>
      </c>
      <c r="B93" t="str">
        <f>IF(CALC_EEM!$B86="","",CALC_EEM!A86)</f>
      </c>
      <c r="C93" t="str">
        <f>IF(CALC_EEM!$B86="","",CALC_EEM!B86)</f>
      </c>
      <c r="D93">
        <f>IF(CALC_EEM!$B86="","",CALC_EEM!D86)</f>
      </c>
      <c r="E93" s="14" t="str">
        <f>IF(CALC_EEM!$B86="","",CALC_EEM!E86)</f>
      </c>
      <c r="F93" s="14" t="str">
        <f>IF(CALC_EEM!$B86="","",CALC_EEM!F86)</f>
      </c>
      <c r="G93" t="str">
        <f>IF(CALC_EEM!$B86="","",CALC_EEM!G86)</f>
      </c>
      <c r="H93" s="16" t="str">
        <f>IF(CALC_EEM!$B86="","",CALC_EEM!H86)</f>
      </c>
      <c r="I93" s="16" t="str">
        <f>IF(CALC_EEM!$B86="","",CALC_EEM!I86)</f>
      </c>
      <c r="J93" t="str">
        <f>IF(CALC_EEM!$B86="","",CALC_EEM!J86)</f>
      </c>
      <c r="K93" t="str">
        <f>IF(CALC_EEM!$B86="","",CALC_EEM!K86)</f>
      </c>
      <c r="L93">
        <f>IF(CALC_EEM!$B86="","",CALC_EEM!L86)</f>
      </c>
      <c r="M93">
        <f>IF(CALC_EEM!$B86="","",CALC_EEM!M86)</f>
      </c>
      <c r="N93">
        <f>IF(CALC_EEM!$B86="","",CALC_EEM!N86)</f>
      </c>
      <c r="O93">
        <f>IF(CALC_EEM!$B86="","",CALC_EEM!O86)</f>
      </c>
      <c r="P93">
        <f>IF(CALC_EEM!$B86="","",CALC_EEM!P86)</f>
      </c>
      <c r="Q93">
        <f>IF(CALC_EEM!$B86="","",CALC_EEM!Q86)</f>
      </c>
      <c r="R93">
        <f>IF(CALC_EEM!$B86="","",CALC_EEM!R86)</f>
      </c>
      <c r="S93">
        <f>IF(CALC_EEM!$B86="","",CALC_EEM!S86)</f>
      </c>
      <c r="T93">
        <f>IF(CALC_EEM!$B86="","",CALC_EEM!T86)</f>
      </c>
      <c r="U93">
        <f>IF(CALC_EEM!$B86="","",CALC_EEM!U86)</f>
      </c>
    </row>
    <row r="94" spans="1:24">
      <c r="A94" t="str">
        <f>IF(CALC_EEM!$B87="","",IF(CALC_EEM!A87="GLOBAL","GLOBAL",IF(CALC_EEM!C87="Total","CURSO_TOTAL",IF(CALC_EEM!C87="TotalEsp","CURSO_ESP",IF(CALC_EEM!C87="TotalNoEsp","CURSO_NOESP","CURSO_ASIG")))))</f>
      </c>
      <c r="B94" t="str">
        <f>IF(CALC_EEM!$B87="","",CALC_EEM!A87)</f>
      </c>
      <c r="C94" t="str">
        <f>IF(CALC_EEM!$B87="","",CALC_EEM!B87)</f>
      </c>
      <c r="D94">
        <f>IF(CALC_EEM!$B87="","",CALC_EEM!D87)</f>
      </c>
      <c r="E94" s="14" t="str">
        <f>IF(CALC_EEM!$B87="","",CALC_EEM!E87)</f>
      </c>
      <c r="F94" s="14" t="str">
        <f>IF(CALC_EEM!$B87="","",CALC_EEM!F87)</f>
      </c>
      <c r="G94" t="str">
        <f>IF(CALC_EEM!$B87="","",CALC_EEM!G87)</f>
      </c>
      <c r="H94" s="16" t="str">
        <f>IF(CALC_EEM!$B87="","",CALC_EEM!H87)</f>
      </c>
      <c r="I94" s="16" t="str">
        <f>IF(CALC_EEM!$B87="","",CALC_EEM!I87)</f>
      </c>
      <c r="J94" t="str">
        <f>IF(CALC_EEM!$B87="","",CALC_EEM!J87)</f>
      </c>
      <c r="K94" t="str">
        <f>IF(CALC_EEM!$B87="","",CALC_EEM!K87)</f>
      </c>
      <c r="L94">
        <f>IF(CALC_EEM!$B87="","",CALC_EEM!L87)</f>
      </c>
      <c r="M94">
        <f>IF(CALC_EEM!$B87="","",CALC_EEM!M87)</f>
      </c>
      <c r="N94">
        <f>IF(CALC_EEM!$B87="","",CALC_EEM!N87)</f>
      </c>
      <c r="O94">
        <f>IF(CALC_EEM!$B87="","",CALC_EEM!O87)</f>
      </c>
      <c r="P94">
        <f>IF(CALC_EEM!$B87="","",CALC_EEM!P87)</f>
      </c>
      <c r="Q94">
        <f>IF(CALC_EEM!$B87="","",CALC_EEM!Q87)</f>
      </c>
      <c r="R94">
        <f>IF(CALC_EEM!$B87="","",CALC_EEM!R87)</f>
      </c>
      <c r="S94">
        <f>IF(CALC_EEM!$B87="","",CALC_EEM!S87)</f>
      </c>
      <c r="T94">
        <f>IF(CALC_EEM!$B87="","",CALC_EEM!T87)</f>
      </c>
      <c r="U94">
        <f>IF(CALC_EEM!$B87="","",CALC_EEM!U87)</f>
      </c>
    </row>
    <row r="95" spans="1:24">
      <c r="A95" t="str">
        <f>IF(CALC_EEM!$B88="","",IF(CALC_EEM!A88="GLOBAL","GLOBAL",IF(CALC_EEM!C88="Total","CURSO_TOTAL",IF(CALC_EEM!C88="TotalEsp","CURSO_ESP",IF(CALC_EEM!C88="TotalNoEsp","CURSO_NOESP","CURSO_ASIG")))))</f>
      </c>
      <c r="B95" t="str">
        <f>IF(CALC_EEM!$B88="","",CALC_EEM!A88)</f>
      </c>
      <c r="C95" t="str">
        <f>IF(CALC_EEM!$B88="","",CALC_EEM!B88)</f>
      </c>
      <c r="D95">
        <f>IF(CALC_EEM!$B88="","",CALC_EEM!D88)</f>
      </c>
      <c r="E95" s="14" t="str">
        <f>IF(CALC_EEM!$B88="","",CALC_EEM!E88)</f>
      </c>
      <c r="F95" s="14" t="str">
        <f>IF(CALC_EEM!$B88="","",CALC_EEM!F88)</f>
      </c>
      <c r="G95" t="str">
        <f>IF(CALC_EEM!$B88="","",CALC_EEM!G88)</f>
      </c>
      <c r="H95" s="16" t="str">
        <f>IF(CALC_EEM!$B88="","",CALC_EEM!H88)</f>
      </c>
      <c r="I95" s="16" t="str">
        <f>IF(CALC_EEM!$B88="","",CALC_EEM!I88)</f>
      </c>
      <c r="J95" t="str">
        <f>IF(CALC_EEM!$B88="","",CALC_EEM!J88)</f>
      </c>
      <c r="K95" t="str">
        <f>IF(CALC_EEM!$B88="","",CALC_EEM!K88)</f>
      </c>
      <c r="L95">
        <f>IF(CALC_EEM!$B88="","",CALC_EEM!L88)</f>
      </c>
      <c r="M95">
        <f>IF(CALC_EEM!$B88="","",CALC_EEM!M88)</f>
      </c>
      <c r="N95">
        <f>IF(CALC_EEM!$B88="","",CALC_EEM!N88)</f>
      </c>
      <c r="O95">
        <f>IF(CALC_EEM!$B88="","",CALC_EEM!O88)</f>
      </c>
      <c r="P95">
        <f>IF(CALC_EEM!$B88="","",CALC_EEM!P88)</f>
      </c>
      <c r="Q95">
        <f>IF(CALC_EEM!$B88="","",CALC_EEM!Q88)</f>
      </c>
      <c r="R95">
        <f>IF(CALC_EEM!$B88="","",CALC_EEM!R88)</f>
      </c>
      <c r="S95">
        <f>IF(CALC_EEM!$B88="","",CALC_EEM!S88)</f>
      </c>
      <c r="T95">
        <f>IF(CALC_EEM!$B88="","",CALC_EEM!T88)</f>
      </c>
      <c r="U95">
        <f>IF(CALC_EEM!$B88="","",CALC_EEM!U88)</f>
      </c>
    </row>
    <row r="96" spans="1:24">
      <c r="A96" t="str">
        <f>IF(CALC_EEM!$B89="","",IF(CALC_EEM!A89="GLOBAL","GLOBAL",IF(CALC_EEM!C89="Total","CURSO_TOTAL",IF(CALC_EEM!C89="TotalEsp","CURSO_ESP",IF(CALC_EEM!C89="TotalNoEsp","CURSO_NOESP","CURSO_ASIG")))))</f>
      </c>
      <c r="B96" t="str">
        <f>IF(CALC_EEM!$B89="","",CALC_EEM!A89)</f>
      </c>
      <c r="C96" t="str">
        <f>IF(CALC_EEM!$B89="","",CALC_EEM!B89)</f>
      </c>
      <c r="D96">
        <f>IF(CALC_EEM!$B89="","",CALC_EEM!D89)</f>
      </c>
      <c r="E96" s="14" t="str">
        <f>IF(CALC_EEM!$B89="","",CALC_EEM!E89)</f>
      </c>
      <c r="F96" s="14" t="str">
        <f>IF(CALC_EEM!$B89="","",CALC_EEM!F89)</f>
      </c>
      <c r="G96" t="str">
        <f>IF(CALC_EEM!$B89="","",CALC_EEM!G89)</f>
      </c>
      <c r="H96" s="16" t="str">
        <f>IF(CALC_EEM!$B89="","",CALC_EEM!H89)</f>
      </c>
      <c r="I96" s="16" t="str">
        <f>IF(CALC_EEM!$B89="","",CALC_EEM!I89)</f>
      </c>
      <c r="J96" t="str">
        <f>IF(CALC_EEM!$B89="","",CALC_EEM!J89)</f>
      </c>
      <c r="K96" t="str">
        <f>IF(CALC_EEM!$B89="","",CALC_EEM!K89)</f>
      </c>
      <c r="L96">
        <f>IF(CALC_EEM!$B89="","",CALC_EEM!L89)</f>
      </c>
      <c r="M96">
        <f>IF(CALC_EEM!$B89="","",CALC_EEM!M89)</f>
      </c>
      <c r="N96">
        <f>IF(CALC_EEM!$B89="","",CALC_EEM!N89)</f>
      </c>
      <c r="O96">
        <f>IF(CALC_EEM!$B89="","",CALC_EEM!O89)</f>
      </c>
      <c r="P96">
        <f>IF(CALC_EEM!$B89="","",CALC_EEM!P89)</f>
      </c>
      <c r="Q96">
        <f>IF(CALC_EEM!$B89="","",CALC_EEM!Q89)</f>
      </c>
      <c r="R96">
        <f>IF(CALC_EEM!$B89="","",CALC_EEM!R89)</f>
      </c>
      <c r="S96">
        <f>IF(CALC_EEM!$B89="","",CALC_EEM!S89)</f>
      </c>
      <c r="T96">
        <f>IF(CALC_EEM!$B89="","",CALC_EEM!T89)</f>
      </c>
      <c r="U96">
        <f>IF(CALC_EEM!$B89="","",CALC_EEM!U89)</f>
      </c>
    </row>
    <row r="97" spans="1:24">
      <c r="A97" t="str">
        <f>IF(CALC_EEM!$B90="","",IF(CALC_EEM!A90="GLOBAL","GLOBAL",IF(CALC_EEM!C90="Total","CURSO_TOTAL",IF(CALC_EEM!C90="TotalEsp","CURSO_ESP",IF(CALC_EEM!C90="TotalNoEsp","CURSO_NOESP","CURSO_ASIG")))))</f>
      </c>
      <c r="B97" t="str">
        <f>IF(CALC_EEM!$B90="","",CALC_EEM!A90)</f>
      </c>
      <c r="C97" t="str">
        <f>IF(CALC_EEM!$B90="","",CALC_EEM!B90)</f>
      </c>
      <c r="D97">
        <f>IF(CALC_EEM!$B90="","",CALC_EEM!D90)</f>
      </c>
      <c r="E97" s="14" t="str">
        <f>IF(CALC_EEM!$B90="","",CALC_EEM!E90)</f>
      </c>
      <c r="F97" s="14" t="str">
        <f>IF(CALC_EEM!$B90="","",CALC_EEM!F90)</f>
      </c>
      <c r="G97" t="str">
        <f>IF(CALC_EEM!$B90="","",CALC_EEM!G90)</f>
      </c>
      <c r="H97" s="16" t="str">
        <f>IF(CALC_EEM!$B90="","",CALC_EEM!H90)</f>
      </c>
      <c r="I97" s="16" t="str">
        <f>IF(CALC_EEM!$B90="","",CALC_EEM!I90)</f>
      </c>
      <c r="J97" t="str">
        <f>IF(CALC_EEM!$B90="","",CALC_EEM!J90)</f>
      </c>
      <c r="K97" t="str">
        <f>IF(CALC_EEM!$B90="","",CALC_EEM!K90)</f>
      </c>
      <c r="L97">
        <f>IF(CALC_EEM!$B90="","",CALC_EEM!L90)</f>
      </c>
      <c r="M97">
        <f>IF(CALC_EEM!$B90="","",CALC_EEM!M90)</f>
      </c>
      <c r="N97">
        <f>IF(CALC_EEM!$B90="","",CALC_EEM!N90)</f>
      </c>
      <c r="O97">
        <f>IF(CALC_EEM!$B90="","",CALC_EEM!O90)</f>
      </c>
      <c r="P97">
        <f>IF(CALC_EEM!$B90="","",CALC_EEM!P90)</f>
      </c>
      <c r="Q97">
        <f>IF(CALC_EEM!$B90="","",CALC_EEM!Q90)</f>
      </c>
      <c r="R97">
        <f>IF(CALC_EEM!$B90="","",CALC_EEM!R90)</f>
      </c>
      <c r="S97">
        <f>IF(CALC_EEM!$B90="","",CALC_EEM!S90)</f>
      </c>
      <c r="T97">
        <f>IF(CALC_EEM!$B90="","",CALC_EEM!T90)</f>
      </c>
      <c r="U97">
        <f>IF(CALC_EEM!$B90="","",CALC_EEM!U90)</f>
      </c>
    </row>
    <row r="98" spans="1:24">
      <c r="A98" t="str">
        <f>IF(CALC_EEM!$B91="","",IF(CALC_EEM!A91="GLOBAL","GLOBAL",IF(CALC_EEM!C91="Total","CURSO_TOTAL",IF(CALC_EEM!C91="TotalEsp","CURSO_ESP",IF(CALC_EEM!C91="TotalNoEsp","CURSO_NOESP","CURSO_ASIG")))))</f>
      </c>
      <c r="B98" t="str">
        <f>IF(CALC_EEM!$B91="","",CALC_EEM!A91)</f>
      </c>
      <c r="C98" t="str">
        <f>IF(CALC_EEM!$B91="","",CALC_EEM!B91)</f>
      </c>
      <c r="D98">
        <f>IF(CALC_EEM!$B91="","",CALC_EEM!D91)</f>
      </c>
      <c r="E98" s="14" t="str">
        <f>IF(CALC_EEM!$B91="","",CALC_EEM!E91)</f>
      </c>
      <c r="F98" s="14" t="str">
        <f>IF(CALC_EEM!$B91="","",CALC_EEM!F91)</f>
      </c>
      <c r="G98" t="str">
        <f>IF(CALC_EEM!$B91="","",CALC_EEM!G91)</f>
      </c>
      <c r="H98" s="16" t="str">
        <f>IF(CALC_EEM!$B91="","",CALC_EEM!H91)</f>
      </c>
      <c r="I98" s="16" t="str">
        <f>IF(CALC_EEM!$B91="","",CALC_EEM!I91)</f>
      </c>
      <c r="J98" t="str">
        <f>IF(CALC_EEM!$B91="","",CALC_EEM!J91)</f>
      </c>
      <c r="K98" t="str">
        <f>IF(CALC_EEM!$B91="","",CALC_EEM!K91)</f>
      </c>
      <c r="L98">
        <f>IF(CALC_EEM!$B91="","",CALC_EEM!L91)</f>
      </c>
      <c r="M98">
        <f>IF(CALC_EEM!$B91="","",CALC_EEM!M91)</f>
      </c>
      <c r="N98">
        <f>IF(CALC_EEM!$B91="","",CALC_EEM!N91)</f>
      </c>
      <c r="O98">
        <f>IF(CALC_EEM!$B91="","",CALC_EEM!O91)</f>
      </c>
      <c r="P98">
        <f>IF(CALC_EEM!$B91="","",CALC_EEM!P91)</f>
      </c>
      <c r="Q98">
        <f>IF(CALC_EEM!$B91="","",CALC_EEM!Q91)</f>
      </c>
      <c r="R98">
        <f>IF(CALC_EEM!$B91="","",CALC_EEM!R91)</f>
      </c>
      <c r="S98">
        <f>IF(CALC_EEM!$B91="","",CALC_EEM!S91)</f>
      </c>
      <c r="T98">
        <f>IF(CALC_EEM!$B91="","",CALC_EEM!T91)</f>
      </c>
      <c r="U98">
        <f>IF(CALC_EEM!$B91="","",CALC_EEM!U91)</f>
      </c>
    </row>
    <row r="99" spans="1:24">
      <c r="A99" t="str">
        <f>IF(CALC_EEM!$B92="","",IF(CALC_EEM!A92="GLOBAL","GLOBAL",IF(CALC_EEM!C92="Total","CURSO_TOTAL",IF(CALC_EEM!C92="TotalEsp","CURSO_ESP",IF(CALC_EEM!C92="TotalNoEsp","CURSO_NOESP","CURSO_ASIG")))))</f>
      </c>
      <c r="B99" t="str">
        <f>IF(CALC_EEM!$B92="","",CALC_EEM!A92)</f>
      </c>
      <c r="C99" t="str">
        <f>IF(CALC_EEM!$B92="","",CALC_EEM!B92)</f>
      </c>
      <c r="D99">
        <f>IF(CALC_EEM!$B92="","",CALC_EEM!D92)</f>
      </c>
      <c r="E99" s="14" t="str">
        <f>IF(CALC_EEM!$B92="","",CALC_EEM!E92)</f>
      </c>
      <c r="F99" s="14" t="str">
        <f>IF(CALC_EEM!$B92="","",CALC_EEM!F92)</f>
      </c>
      <c r="G99" t="str">
        <f>IF(CALC_EEM!$B92="","",CALC_EEM!G92)</f>
      </c>
      <c r="H99" s="16" t="str">
        <f>IF(CALC_EEM!$B92="","",CALC_EEM!H92)</f>
      </c>
      <c r="I99" s="16" t="str">
        <f>IF(CALC_EEM!$B92="","",CALC_EEM!I92)</f>
      </c>
      <c r="J99" t="str">
        <f>IF(CALC_EEM!$B92="","",CALC_EEM!J92)</f>
      </c>
      <c r="K99" t="str">
        <f>IF(CALC_EEM!$B92="","",CALC_EEM!K92)</f>
      </c>
      <c r="L99">
        <f>IF(CALC_EEM!$B92="","",CALC_EEM!L92)</f>
      </c>
      <c r="M99">
        <f>IF(CALC_EEM!$B92="","",CALC_EEM!M92)</f>
      </c>
      <c r="N99">
        <f>IF(CALC_EEM!$B92="","",CALC_EEM!N92)</f>
      </c>
      <c r="O99">
        <f>IF(CALC_EEM!$B92="","",CALC_EEM!O92)</f>
      </c>
      <c r="P99">
        <f>IF(CALC_EEM!$B92="","",CALC_EEM!P92)</f>
      </c>
      <c r="Q99">
        <f>IF(CALC_EEM!$B92="","",CALC_EEM!Q92)</f>
      </c>
      <c r="R99">
        <f>IF(CALC_EEM!$B92="","",CALC_EEM!R92)</f>
      </c>
      <c r="S99">
        <f>IF(CALC_EEM!$B92="","",CALC_EEM!S92)</f>
      </c>
      <c r="T99">
        <f>IF(CALC_EEM!$B92="","",CALC_EEM!T92)</f>
      </c>
      <c r="U99">
        <f>IF(CALC_EEM!$B92="","",CALC_EEM!U92)</f>
      </c>
    </row>
    <row r="100" spans="1:24">
      <c r="A100" t="str">
        <f>IF(CALC_EEM!$B93="","",IF(CALC_EEM!A93="GLOBAL","GLOBAL",IF(CALC_EEM!C93="Total","CURSO_TOTAL",IF(CALC_EEM!C93="TotalEsp","CURSO_ESP",IF(CALC_EEM!C93="TotalNoEsp","CURSO_NOESP","CURSO_ASIG")))))</f>
      </c>
      <c r="B100" t="str">
        <f>IF(CALC_EEM!$B93="","",CALC_EEM!A93)</f>
      </c>
      <c r="C100" t="str">
        <f>IF(CALC_EEM!$B93="","",CALC_EEM!B93)</f>
      </c>
      <c r="D100">
        <f>IF(CALC_EEM!$B93="","",CALC_EEM!D93)</f>
      </c>
      <c r="E100" s="14" t="str">
        <f>IF(CALC_EEM!$B93="","",CALC_EEM!E93)</f>
      </c>
      <c r="F100" s="14" t="str">
        <f>IF(CALC_EEM!$B93="","",CALC_EEM!F93)</f>
      </c>
      <c r="G100" t="str">
        <f>IF(CALC_EEM!$B93="","",CALC_EEM!G93)</f>
      </c>
      <c r="H100" s="16" t="str">
        <f>IF(CALC_EEM!$B93="","",CALC_EEM!H93)</f>
      </c>
      <c r="I100" s="16" t="str">
        <f>IF(CALC_EEM!$B93="","",CALC_EEM!I93)</f>
      </c>
      <c r="J100" t="str">
        <f>IF(CALC_EEM!$B93="","",CALC_EEM!J93)</f>
      </c>
      <c r="K100" t="str">
        <f>IF(CALC_EEM!$B93="","",CALC_EEM!K93)</f>
      </c>
      <c r="L100">
        <f>IF(CALC_EEM!$B93="","",CALC_EEM!L93)</f>
      </c>
      <c r="M100">
        <f>IF(CALC_EEM!$B93="","",CALC_EEM!M93)</f>
      </c>
      <c r="N100">
        <f>IF(CALC_EEM!$B93="","",CALC_EEM!N93)</f>
      </c>
      <c r="O100">
        <f>IF(CALC_EEM!$B93="","",CALC_EEM!O93)</f>
      </c>
      <c r="P100">
        <f>IF(CALC_EEM!$B93="","",CALC_EEM!P93)</f>
      </c>
      <c r="Q100">
        <f>IF(CALC_EEM!$B93="","",CALC_EEM!Q93)</f>
      </c>
      <c r="R100">
        <f>IF(CALC_EEM!$B93="","",CALC_EEM!R93)</f>
      </c>
      <c r="S100">
        <f>IF(CALC_EEM!$B93="","",CALC_EEM!S93)</f>
      </c>
      <c r="T100">
        <f>IF(CALC_EEM!$B93="","",CALC_EEM!T93)</f>
      </c>
      <c r="U100">
        <f>IF(CALC_EEM!$B93="","",CALC_EEM!U93)</f>
      </c>
    </row>
    <row r="101" spans="1:24">
      <c r="A101" t="str">
        <f>IF(CALC_EEM!$B94="","",IF(CALC_EEM!A94="GLOBAL","GLOBAL",IF(CALC_EEM!C94="Total","CURSO_TOTAL",IF(CALC_EEM!C94="TotalEsp","CURSO_ESP",IF(CALC_EEM!C94="TotalNoEsp","CURSO_NOESP","CURSO_ASIG")))))</f>
      </c>
      <c r="B101" t="str">
        <f>IF(CALC_EEM!$B94="","",CALC_EEM!A94)</f>
      </c>
      <c r="C101" t="str">
        <f>IF(CALC_EEM!$B94="","",CALC_EEM!B94)</f>
      </c>
      <c r="D101">
        <f>IF(CALC_EEM!$B94="","",CALC_EEM!D94)</f>
      </c>
      <c r="E101" s="14" t="str">
        <f>IF(CALC_EEM!$B94="","",CALC_EEM!E94)</f>
      </c>
      <c r="F101" s="14" t="str">
        <f>IF(CALC_EEM!$B94="","",CALC_EEM!F94)</f>
      </c>
      <c r="G101" t="str">
        <f>IF(CALC_EEM!$B94="","",CALC_EEM!G94)</f>
      </c>
      <c r="H101" s="16" t="str">
        <f>IF(CALC_EEM!$B94="","",CALC_EEM!H94)</f>
      </c>
      <c r="I101" s="16" t="str">
        <f>IF(CALC_EEM!$B94="","",CALC_EEM!I94)</f>
      </c>
      <c r="J101" t="str">
        <f>IF(CALC_EEM!$B94="","",CALC_EEM!J94)</f>
      </c>
      <c r="K101" t="str">
        <f>IF(CALC_EEM!$B94="","",CALC_EEM!K94)</f>
      </c>
      <c r="L101">
        <f>IF(CALC_EEM!$B94="","",CALC_EEM!L94)</f>
      </c>
      <c r="M101">
        <f>IF(CALC_EEM!$B94="","",CALC_EEM!M94)</f>
      </c>
      <c r="N101">
        <f>IF(CALC_EEM!$B94="","",CALC_EEM!N94)</f>
      </c>
      <c r="O101">
        <f>IF(CALC_EEM!$B94="","",CALC_EEM!O94)</f>
      </c>
      <c r="P101">
        <f>IF(CALC_EEM!$B94="","",CALC_EEM!P94)</f>
      </c>
      <c r="Q101">
        <f>IF(CALC_EEM!$B94="","",CALC_EEM!Q94)</f>
      </c>
      <c r="R101">
        <f>IF(CALC_EEM!$B94="","",CALC_EEM!R94)</f>
      </c>
      <c r="S101">
        <f>IF(CALC_EEM!$B94="","",CALC_EEM!S94)</f>
      </c>
      <c r="T101">
        <f>IF(CALC_EEM!$B94="","",CALC_EEM!T94)</f>
      </c>
      <c r="U101">
        <f>IF(CALC_EEM!$B94="","",CALC_EEM!U94)</f>
      </c>
    </row>
    <row r="102" spans="1:24">
      <c r="A102" t="str">
        <f>IF(CALC_EEM!$B95="","",IF(CALC_EEM!A95="GLOBAL","GLOBAL",IF(CALC_EEM!C95="Total","CURSO_TOTAL",IF(CALC_EEM!C95="TotalEsp","CURSO_ESP",IF(CALC_EEM!C95="TotalNoEsp","CURSO_NOESP","CURSO_ASIG")))))</f>
      </c>
      <c r="B102" t="str">
        <f>IF(CALC_EEM!$B95="","",CALC_EEM!A95)</f>
      </c>
      <c r="C102" t="str">
        <f>IF(CALC_EEM!$B95="","",CALC_EEM!B95)</f>
      </c>
      <c r="D102">
        <f>IF(CALC_EEM!$B95="","",CALC_EEM!D95)</f>
      </c>
      <c r="E102" s="14" t="str">
        <f>IF(CALC_EEM!$B95="","",CALC_EEM!E95)</f>
      </c>
      <c r="F102" s="14" t="str">
        <f>IF(CALC_EEM!$B95="","",CALC_EEM!F95)</f>
      </c>
      <c r="G102" t="str">
        <f>IF(CALC_EEM!$B95="","",CALC_EEM!G95)</f>
      </c>
      <c r="H102" s="16" t="str">
        <f>IF(CALC_EEM!$B95="","",CALC_EEM!H95)</f>
      </c>
      <c r="I102" s="16" t="str">
        <f>IF(CALC_EEM!$B95="","",CALC_EEM!I95)</f>
      </c>
      <c r="J102" t="str">
        <f>IF(CALC_EEM!$B95="","",CALC_EEM!J95)</f>
      </c>
      <c r="K102" t="str">
        <f>IF(CALC_EEM!$B95="","",CALC_EEM!K95)</f>
      </c>
      <c r="L102">
        <f>IF(CALC_EEM!$B95="","",CALC_EEM!L95)</f>
      </c>
      <c r="M102">
        <f>IF(CALC_EEM!$B95="","",CALC_EEM!M95)</f>
      </c>
      <c r="N102">
        <f>IF(CALC_EEM!$B95="","",CALC_EEM!N95)</f>
      </c>
      <c r="O102">
        <f>IF(CALC_EEM!$B95="","",CALC_EEM!O95)</f>
      </c>
      <c r="P102">
        <f>IF(CALC_EEM!$B95="","",CALC_EEM!P95)</f>
      </c>
      <c r="Q102">
        <f>IF(CALC_EEM!$B95="","",CALC_EEM!Q95)</f>
      </c>
      <c r="R102">
        <f>IF(CALC_EEM!$B95="","",CALC_EEM!R95)</f>
      </c>
      <c r="S102">
        <f>IF(CALC_EEM!$B95="","",CALC_EEM!S95)</f>
      </c>
      <c r="T102">
        <f>IF(CALC_EEM!$B95="","",CALC_EEM!T95)</f>
      </c>
      <c r="U102">
        <f>IF(CALC_EEM!$B95="","",CALC_EEM!U95)</f>
      </c>
    </row>
    <row r="103" spans="1:24">
      <c r="A103" t="str">
        <f>IF(CALC_EEM!$B96="","",IF(CALC_EEM!A96="GLOBAL","GLOBAL",IF(CALC_EEM!C96="Total","CURSO_TOTAL",IF(CALC_EEM!C96="TotalEsp","CURSO_ESP",IF(CALC_EEM!C96="TotalNoEsp","CURSO_NOESP","CURSO_ASIG")))))</f>
      </c>
      <c r="B103" t="str">
        <f>IF(CALC_EEM!$B96="","",CALC_EEM!A96)</f>
      </c>
      <c r="C103" t="str">
        <f>IF(CALC_EEM!$B96="","",CALC_EEM!B96)</f>
      </c>
      <c r="D103">
        <f>IF(CALC_EEM!$B96="","",CALC_EEM!D96)</f>
      </c>
      <c r="E103" s="14" t="str">
        <f>IF(CALC_EEM!$B96="","",CALC_EEM!E96)</f>
      </c>
      <c r="F103" s="14" t="str">
        <f>IF(CALC_EEM!$B96="","",CALC_EEM!F96)</f>
      </c>
      <c r="G103" t="str">
        <f>IF(CALC_EEM!$B96="","",CALC_EEM!G96)</f>
      </c>
      <c r="H103" s="16" t="str">
        <f>IF(CALC_EEM!$B96="","",CALC_EEM!H96)</f>
      </c>
      <c r="I103" s="16" t="str">
        <f>IF(CALC_EEM!$B96="","",CALC_EEM!I96)</f>
      </c>
      <c r="J103" t="str">
        <f>IF(CALC_EEM!$B96="","",CALC_EEM!J96)</f>
      </c>
      <c r="K103" t="str">
        <f>IF(CALC_EEM!$B96="","",CALC_EEM!K96)</f>
      </c>
      <c r="L103">
        <f>IF(CALC_EEM!$B96="","",CALC_EEM!L96)</f>
      </c>
      <c r="M103">
        <f>IF(CALC_EEM!$B96="","",CALC_EEM!M96)</f>
      </c>
      <c r="N103">
        <f>IF(CALC_EEM!$B96="","",CALC_EEM!N96)</f>
      </c>
      <c r="O103">
        <f>IF(CALC_EEM!$B96="","",CALC_EEM!O96)</f>
      </c>
      <c r="P103">
        <f>IF(CALC_EEM!$B96="","",CALC_EEM!P96)</f>
      </c>
      <c r="Q103">
        <f>IF(CALC_EEM!$B96="","",CALC_EEM!Q96)</f>
      </c>
      <c r="R103">
        <f>IF(CALC_EEM!$B96="","",CALC_EEM!R96)</f>
      </c>
      <c r="S103">
        <f>IF(CALC_EEM!$B96="","",CALC_EEM!S96)</f>
      </c>
      <c r="T103">
        <f>IF(CALC_EEM!$B96="","",CALC_EEM!T96)</f>
      </c>
      <c r="U103">
        <f>IF(CALC_EEM!$B96="","",CALC_EEM!U96)</f>
      </c>
    </row>
    <row r="104" spans="1:24">
      <c r="A104" t="str">
        <f>IF(CALC_EEM!$B97="","",IF(CALC_EEM!A97="GLOBAL","GLOBAL",IF(CALC_EEM!C97="Total","CURSO_TOTAL",IF(CALC_EEM!C97="TotalEsp","CURSO_ESP",IF(CALC_EEM!C97="TotalNoEsp","CURSO_NOESP","CURSO_ASIG")))))</f>
      </c>
      <c r="B104" t="str">
        <f>IF(CALC_EEM!$B97="","",CALC_EEM!A97)</f>
      </c>
      <c r="C104" t="str">
        <f>IF(CALC_EEM!$B97="","",CALC_EEM!B97)</f>
      </c>
      <c r="D104">
        <f>IF(CALC_EEM!$B97="","",CALC_EEM!D97)</f>
      </c>
      <c r="E104" s="14" t="str">
        <f>IF(CALC_EEM!$B97="","",CALC_EEM!E97)</f>
      </c>
      <c r="F104" s="14" t="str">
        <f>IF(CALC_EEM!$B97="","",CALC_EEM!F97)</f>
      </c>
      <c r="G104" t="str">
        <f>IF(CALC_EEM!$B97="","",CALC_EEM!G97)</f>
      </c>
      <c r="H104" s="16" t="str">
        <f>IF(CALC_EEM!$B97="","",CALC_EEM!H97)</f>
      </c>
      <c r="I104" s="16" t="str">
        <f>IF(CALC_EEM!$B97="","",CALC_EEM!I97)</f>
      </c>
      <c r="J104" t="str">
        <f>IF(CALC_EEM!$B97="","",CALC_EEM!J97)</f>
      </c>
      <c r="K104" t="str">
        <f>IF(CALC_EEM!$B97="","",CALC_EEM!K97)</f>
      </c>
      <c r="L104">
        <f>IF(CALC_EEM!$B97="","",CALC_EEM!L97)</f>
      </c>
      <c r="M104">
        <f>IF(CALC_EEM!$B97="","",CALC_EEM!M97)</f>
      </c>
      <c r="N104">
        <f>IF(CALC_EEM!$B97="","",CALC_EEM!N97)</f>
      </c>
      <c r="O104">
        <f>IF(CALC_EEM!$B97="","",CALC_EEM!O97)</f>
      </c>
      <c r="P104">
        <f>IF(CALC_EEM!$B97="","",CALC_EEM!P97)</f>
      </c>
      <c r="Q104">
        <f>IF(CALC_EEM!$B97="","",CALC_EEM!Q97)</f>
      </c>
      <c r="R104">
        <f>IF(CALC_EEM!$B97="","",CALC_EEM!R97)</f>
      </c>
      <c r="S104">
        <f>IF(CALC_EEM!$B97="","",CALC_EEM!S97)</f>
      </c>
      <c r="T104">
        <f>IF(CALC_EEM!$B97="","",CALC_EEM!T97)</f>
      </c>
      <c r="U104">
        <f>IF(CALC_EEM!$B97="","",CALC_EEM!U97)</f>
      </c>
    </row>
    <row r="105" spans="1:24">
      <c r="A105" t="str">
        <f>IF(CALC_EEM!$B98="","",IF(CALC_EEM!A98="GLOBAL","GLOBAL",IF(CALC_EEM!C98="Total","CURSO_TOTAL",IF(CALC_EEM!C98="TotalEsp","CURSO_ESP",IF(CALC_EEM!C98="TotalNoEsp","CURSO_NOESP","CURSO_ASIG")))))</f>
      </c>
      <c r="B105" t="str">
        <f>IF(CALC_EEM!$B98="","",CALC_EEM!A98)</f>
      </c>
      <c r="C105" t="str">
        <f>IF(CALC_EEM!$B98="","",CALC_EEM!B98)</f>
      </c>
      <c r="D105">
        <f>IF(CALC_EEM!$B98="","",CALC_EEM!D98)</f>
      </c>
      <c r="E105" s="14" t="str">
        <f>IF(CALC_EEM!$B98="","",CALC_EEM!E98)</f>
      </c>
      <c r="F105" s="14" t="str">
        <f>IF(CALC_EEM!$B98="","",CALC_EEM!F98)</f>
      </c>
      <c r="G105" t="str">
        <f>IF(CALC_EEM!$B98="","",CALC_EEM!G98)</f>
      </c>
      <c r="H105" s="16" t="str">
        <f>IF(CALC_EEM!$B98="","",CALC_EEM!H98)</f>
      </c>
      <c r="I105" s="16" t="str">
        <f>IF(CALC_EEM!$B98="","",CALC_EEM!I98)</f>
      </c>
      <c r="J105" t="str">
        <f>IF(CALC_EEM!$B98="","",CALC_EEM!J98)</f>
      </c>
      <c r="K105" t="str">
        <f>IF(CALC_EEM!$B98="","",CALC_EEM!K98)</f>
      </c>
      <c r="L105">
        <f>IF(CALC_EEM!$B98="","",CALC_EEM!L98)</f>
      </c>
      <c r="M105">
        <f>IF(CALC_EEM!$B98="","",CALC_EEM!M98)</f>
      </c>
      <c r="N105">
        <f>IF(CALC_EEM!$B98="","",CALC_EEM!N98)</f>
      </c>
      <c r="O105">
        <f>IF(CALC_EEM!$B98="","",CALC_EEM!O98)</f>
      </c>
      <c r="P105">
        <f>IF(CALC_EEM!$B98="","",CALC_EEM!P98)</f>
      </c>
      <c r="Q105">
        <f>IF(CALC_EEM!$B98="","",CALC_EEM!Q98)</f>
      </c>
      <c r="R105">
        <f>IF(CALC_EEM!$B98="","",CALC_EEM!R98)</f>
      </c>
      <c r="S105">
        <f>IF(CALC_EEM!$B98="","",CALC_EEM!S98)</f>
      </c>
      <c r="T105">
        <f>IF(CALC_EEM!$B98="","",CALC_EEM!T98)</f>
      </c>
      <c r="U105">
        <f>IF(CALC_EEM!$B98="","",CALC_EEM!U98)</f>
      </c>
    </row>
    <row r="106" spans="1:24">
      <c r="A106" t="str">
        <f>IF(CALC_EEM!$B99="","",IF(CALC_EEM!A99="GLOBAL","GLOBAL",IF(CALC_EEM!C99="Total","CURSO_TOTAL",IF(CALC_EEM!C99="TotalEsp","CURSO_ESP",IF(CALC_EEM!C99="TotalNoEsp","CURSO_NOESP","CURSO_ASIG")))))</f>
      </c>
      <c r="B106" t="str">
        <f>IF(CALC_EEM!$B99="","",CALC_EEM!A99)</f>
      </c>
      <c r="C106" t="str">
        <f>IF(CALC_EEM!$B99="","",CALC_EEM!B99)</f>
      </c>
      <c r="D106">
        <f>IF(CALC_EEM!$B99="","",CALC_EEM!D99)</f>
      </c>
      <c r="E106" s="14" t="str">
        <f>IF(CALC_EEM!$B99="","",CALC_EEM!E99)</f>
      </c>
      <c r="F106" s="14" t="str">
        <f>IF(CALC_EEM!$B99="","",CALC_EEM!F99)</f>
      </c>
      <c r="G106" t="str">
        <f>IF(CALC_EEM!$B99="","",CALC_EEM!G99)</f>
      </c>
      <c r="H106" s="16" t="str">
        <f>IF(CALC_EEM!$B99="","",CALC_EEM!H99)</f>
      </c>
      <c r="I106" s="16" t="str">
        <f>IF(CALC_EEM!$B99="","",CALC_EEM!I99)</f>
      </c>
      <c r="J106" t="str">
        <f>IF(CALC_EEM!$B99="","",CALC_EEM!J99)</f>
      </c>
      <c r="K106" t="str">
        <f>IF(CALC_EEM!$B99="","",CALC_EEM!K99)</f>
      </c>
      <c r="L106">
        <f>IF(CALC_EEM!$B99="","",CALC_EEM!L99)</f>
      </c>
      <c r="M106">
        <f>IF(CALC_EEM!$B99="","",CALC_EEM!M99)</f>
      </c>
      <c r="N106">
        <f>IF(CALC_EEM!$B99="","",CALC_EEM!N99)</f>
      </c>
      <c r="O106">
        <f>IF(CALC_EEM!$B99="","",CALC_EEM!O99)</f>
      </c>
      <c r="P106">
        <f>IF(CALC_EEM!$B99="","",CALC_EEM!P99)</f>
      </c>
      <c r="Q106">
        <f>IF(CALC_EEM!$B99="","",CALC_EEM!Q99)</f>
      </c>
      <c r="R106">
        <f>IF(CALC_EEM!$B99="","",CALC_EEM!R99)</f>
      </c>
      <c r="S106">
        <f>IF(CALC_EEM!$B99="","",CALC_EEM!S99)</f>
      </c>
      <c r="T106">
        <f>IF(CALC_EEM!$B99="","",CALC_EEM!T99)</f>
      </c>
      <c r="U106">
        <f>IF(CALC_EEM!$B99="","",CALC_EEM!U99)</f>
      </c>
    </row>
    <row r="107" spans="1:24">
      <c r="A107" t="str">
        <f>IF(CALC_EEM!$B100="","",IF(CALC_EEM!A100="GLOBAL","GLOBAL",IF(CALC_EEM!C100="Total","CURSO_TOTAL",IF(CALC_EEM!C100="TotalEsp","CURSO_ESP",IF(CALC_EEM!C100="TotalNoEsp","CURSO_NOESP","CURSO_ASIG")))))</f>
      </c>
      <c r="B107" t="str">
        <f>IF(CALC_EEM!$B100="","",CALC_EEM!A100)</f>
      </c>
      <c r="C107" t="str">
        <f>IF(CALC_EEM!$B100="","",CALC_EEM!B100)</f>
      </c>
      <c r="D107">
        <f>IF(CALC_EEM!$B100="","",CALC_EEM!D100)</f>
      </c>
      <c r="E107" s="14" t="str">
        <f>IF(CALC_EEM!$B100="","",CALC_EEM!E100)</f>
      </c>
      <c r="F107" s="14" t="str">
        <f>IF(CALC_EEM!$B100="","",CALC_EEM!F100)</f>
      </c>
      <c r="G107" t="str">
        <f>IF(CALC_EEM!$B100="","",CALC_EEM!G100)</f>
      </c>
      <c r="H107" s="16" t="str">
        <f>IF(CALC_EEM!$B100="","",CALC_EEM!H100)</f>
      </c>
      <c r="I107" s="16" t="str">
        <f>IF(CALC_EEM!$B100="","",CALC_EEM!I100)</f>
      </c>
      <c r="J107" t="str">
        <f>IF(CALC_EEM!$B100="","",CALC_EEM!J100)</f>
      </c>
      <c r="K107" t="str">
        <f>IF(CALC_EEM!$B100="","",CALC_EEM!K100)</f>
      </c>
      <c r="L107">
        <f>IF(CALC_EEM!$B100="","",CALC_EEM!L100)</f>
      </c>
      <c r="M107">
        <f>IF(CALC_EEM!$B100="","",CALC_EEM!M100)</f>
      </c>
      <c r="N107">
        <f>IF(CALC_EEM!$B100="","",CALC_EEM!N100)</f>
      </c>
      <c r="O107">
        <f>IF(CALC_EEM!$B100="","",CALC_EEM!O100)</f>
      </c>
      <c r="P107">
        <f>IF(CALC_EEM!$B100="","",CALC_EEM!P100)</f>
      </c>
      <c r="Q107">
        <f>IF(CALC_EEM!$B100="","",CALC_EEM!Q100)</f>
      </c>
      <c r="R107">
        <f>IF(CALC_EEM!$B100="","",CALC_EEM!R100)</f>
      </c>
      <c r="S107">
        <f>IF(CALC_EEM!$B100="","",CALC_EEM!S100)</f>
      </c>
      <c r="T107">
        <f>IF(CALC_EEM!$B100="","",CALC_EEM!T100)</f>
      </c>
      <c r="U107">
        <f>IF(CALC_EEM!$B100="","",CALC_EEM!U100)</f>
      </c>
    </row>
    <row r="108" spans="1:24">
      <c r="A108" t="str">
        <f>IF(CALC_EEM!$B101="","",IF(CALC_EEM!A101="GLOBAL","GLOBAL",IF(CALC_EEM!C101="Total","CURSO_TOTAL",IF(CALC_EEM!C101="TotalEsp","CURSO_ESP",IF(CALC_EEM!C101="TotalNoEsp","CURSO_NOESP","CURSO_ASIG")))))</f>
      </c>
      <c r="B108" t="str">
        <f>IF(CALC_EEM!$B101="","",CALC_EEM!A101)</f>
      </c>
      <c r="C108" t="str">
        <f>IF(CALC_EEM!$B101="","",CALC_EEM!B101)</f>
      </c>
      <c r="D108">
        <f>IF(CALC_EEM!$B101="","",CALC_EEM!D101)</f>
      </c>
      <c r="E108" s="14" t="str">
        <f>IF(CALC_EEM!$B101="","",CALC_EEM!E101)</f>
      </c>
      <c r="F108" s="14" t="str">
        <f>IF(CALC_EEM!$B101="","",CALC_EEM!F101)</f>
      </c>
      <c r="G108" t="str">
        <f>IF(CALC_EEM!$B101="","",CALC_EEM!G101)</f>
      </c>
      <c r="H108" s="16" t="str">
        <f>IF(CALC_EEM!$B101="","",CALC_EEM!H101)</f>
      </c>
      <c r="I108" s="16" t="str">
        <f>IF(CALC_EEM!$B101="","",CALC_EEM!I101)</f>
      </c>
      <c r="J108" t="str">
        <f>IF(CALC_EEM!$B101="","",CALC_EEM!J101)</f>
      </c>
      <c r="K108" t="str">
        <f>IF(CALC_EEM!$B101="","",CALC_EEM!K101)</f>
      </c>
      <c r="L108">
        <f>IF(CALC_EEM!$B101="","",CALC_EEM!L101)</f>
      </c>
      <c r="M108">
        <f>IF(CALC_EEM!$B101="","",CALC_EEM!M101)</f>
      </c>
      <c r="N108">
        <f>IF(CALC_EEM!$B101="","",CALC_EEM!N101)</f>
      </c>
      <c r="O108">
        <f>IF(CALC_EEM!$B101="","",CALC_EEM!O101)</f>
      </c>
      <c r="P108">
        <f>IF(CALC_EEM!$B101="","",CALC_EEM!P101)</f>
      </c>
      <c r="Q108">
        <f>IF(CALC_EEM!$B101="","",CALC_EEM!Q101)</f>
      </c>
      <c r="R108">
        <f>IF(CALC_EEM!$B101="","",CALC_EEM!R101)</f>
      </c>
      <c r="S108">
        <f>IF(CALC_EEM!$B101="","",CALC_EEM!S101)</f>
      </c>
      <c r="T108">
        <f>IF(CALC_EEM!$B101="","",CALC_EEM!T101)</f>
      </c>
      <c r="U108">
        <f>IF(CALC_EEM!$B101="","",CALC_EEM!U101)</f>
      </c>
    </row>
    <row r="109" spans="1:24">
      <c r="A109" t="str">
        <f>IF(CALC_EEM!$B102="","",IF(CALC_EEM!A102="GLOBAL","GLOBAL",IF(CALC_EEM!C102="Total","CURSO_TOTAL",IF(CALC_EEM!C102="TotalEsp","CURSO_ESP",IF(CALC_EEM!C102="TotalNoEsp","CURSO_NOESP","CURSO_ASIG")))))</f>
      </c>
      <c r="B109" t="str">
        <f>IF(CALC_EEM!$B102="","",CALC_EEM!A102)</f>
      </c>
      <c r="C109" t="str">
        <f>IF(CALC_EEM!$B102="","",CALC_EEM!B102)</f>
      </c>
      <c r="D109">
        <f>IF(CALC_EEM!$B102="","",CALC_EEM!D102)</f>
      </c>
      <c r="E109" s="14" t="str">
        <f>IF(CALC_EEM!$B102="","",CALC_EEM!E102)</f>
      </c>
      <c r="F109" s="14" t="str">
        <f>IF(CALC_EEM!$B102="","",CALC_EEM!F102)</f>
      </c>
      <c r="G109" t="str">
        <f>IF(CALC_EEM!$B102="","",CALC_EEM!G102)</f>
      </c>
      <c r="H109" s="16" t="str">
        <f>IF(CALC_EEM!$B102="","",CALC_EEM!H102)</f>
      </c>
      <c r="I109" s="16" t="str">
        <f>IF(CALC_EEM!$B102="","",CALC_EEM!I102)</f>
      </c>
      <c r="J109" t="str">
        <f>IF(CALC_EEM!$B102="","",CALC_EEM!J102)</f>
      </c>
      <c r="K109" t="str">
        <f>IF(CALC_EEM!$B102="","",CALC_EEM!K102)</f>
      </c>
      <c r="L109">
        <f>IF(CALC_EEM!$B102="","",CALC_EEM!L102)</f>
      </c>
      <c r="M109">
        <f>IF(CALC_EEM!$B102="","",CALC_EEM!M102)</f>
      </c>
      <c r="N109">
        <f>IF(CALC_EEM!$B102="","",CALC_EEM!N102)</f>
      </c>
      <c r="O109">
        <f>IF(CALC_EEM!$B102="","",CALC_EEM!O102)</f>
      </c>
      <c r="P109">
        <f>IF(CALC_EEM!$B102="","",CALC_EEM!P102)</f>
      </c>
      <c r="Q109">
        <f>IF(CALC_EEM!$B102="","",CALC_EEM!Q102)</f>
      </c>
      <c r="R109">
        <f>IF(CALC_EEM!$B102="","",CALC_EEM!R102)</f>
      </c>
      <c r="S109">
        <f>IF(CALC_EEM!$B102="","",CALC_EEM!S102)</f>
      </c>
      <c r="T109">
        <f>IF(CALC_EEM!$B102="","",CALC_EEM!T102)</f>
      </c>
      <c r="U109">
        <f>IF(CALC_EEM!$B102="","",CALC_EEM!U102)</f>
      </c>
    </row>
    <row r="110" spans="1:24">
      <c r="A110" t="str">
        <f>IF(CALC_EEM!$B103="","",IF(CALC_EEM!A103="GLOBAL","GLOBAL",IF(CALC_EEM!C103="Total","CURSO_TOTAL",IF(CALC_EEM!C103="TotalEsp","CURSO_ESP",IF(CALC_EEM!C103="TotalNoEsp","CURSO_NOESP","CURSO_ASIG")))))</f>
      </c>
      <c r="B110" t="str">
        <f>IF(CALC_EEM!$B103="","",CALC_EEM!A103)</f>
      </c>
      <c r="C110" t="str">
        <f>IF(CALC_EEM!$B103="","",CALC_EEM!B103)</f>
      </c>
      <c r="D110">
        <f>IF(CALC_EEM!$B103="","",CALC_EEM!D103)</f>
      </c>
      <c r="E110" s="14" t="str">
        <f>IF(CALC_EEM!$B103="","",CALC_EEM!E103)</f>
      </c>
      <c r="F110" s="14" t="str">
        <f>IF(CALC_EEM!$B103="","",CALC_EEM!F103)</f>
      </c>
      <c r="G110" t="str">
        <f>IF(CALC_EEM!$B103="","",CALC_EEM!G103)</f>
      </c>
      <c r="H110" s="16" t="str">
        <f>IF(CALC_EEM!$B103="","",CALC_EEM!H103)</f>
      </c>
      <c r="I110" s="16" t="str">
        <f>IF(CALC_EEM!$B103="","",CALC_EEM!I103)</f>
      </c>
      <c r="J110" t="str">
        <f>IF(CALC_EEM!$B103="","",CALC_EEM!J103)</f>
      </c>
      <c r="K110" t="str">
        <f>IF(CALC_EEM!$B103="","",CALC_EEM!K103)</f>
      </c>
      <c r="L110">
        <f>IF(CALC_EEM!$B103="","",CALC_EEM!L103)</f>
      </c>
      <c r="M110">
        <f>IF(CALC_EEM!$B103="","",CALC_EEM!M103)</f>
      </c>
      <c r="N110">
        <f>IF(CALC_EEM!$B103="","",CALC_EEM!N103)</f>
      </c>
      <c r="O110">
        <f>IF(CALC_EEM!$B103="","",CALC_EEM!O103)</f>
      </c>
      <c r="P110">
        <f>IF(CALC_EEM!$B103="","",CALC_EEM!P103)</f>
      </c>
      <c r="Q110">
        <f>IF(CALC_EEM!$B103="","",CALC_EEM!Q103)</f>
      </c>
      <c r="R110">
        <f>IF(CALC_EEM!$B103="","",CALC_EEM!R103)</f>
      </c>
      <c r="S110">
        <f>IF(CALC_EEM!$B103="","",CALC_EEM!S103)</f>
      </c>
      <c r="T110">
        <f>IF(CALC_EEM!$B103="","",CALC_EEM!T103)</f>
      </c>
      <c r="U110">
        <f>IF(CALC_EEM!$B103="","",CALC_EEM!U103)</f>
      </c>
    </row>
    <row r="111" spans="1:24">
      <c r="A111" t="str">
        <f>IF(CALC_EEM!$B104="","",IF(CALC_EEM!A104="GLOBAL","GLOBAL",IF(CALC_EEM!C104="Total","CURSO_TOTAL",IF(CALC_EEM!C104="TotalEsp","CURSO_ESP",IF(CALC_EEM!C104="TotalNoEsp","CURSO_NOESP","CURSO_ASIG")))))</f>
      </c>
      <c r="B111" t="str">
        <f>IF(CALC_EEM!$B104="","",CALC_EEM!A104)</f>
      </c>
      <c r="C111" t="str">
        <f>IF(CALC_EEM!$B104="","",CALC_EEM!B104)</f>
      </c>
      <c r="D111">
        <f>IF(CALC_EEM!$B104="","",CALC_EEM!D104)</f>
      </c>
      <c r="E111" s="14" t="str">
        <f>IF(CALC_EEM!$B104="","",CALC_EEM!E104)</f>
      </c>
      <c r="F111" s="14" t="str">
        <f>IF(CALC_EEM!$B104="","",CALC_EEM!F104)</f>
      </c>
      <c r="G111" t="str">
        <f>IF(CALC_EEM!$B104="","",CALC_EEM!G104)</f>
      </c>
      <c r="H111" s="16" t="str">
        <f>IF(CALC_EEM!$B104="","",CALC_EEM!H104)</f>
      </c>
      <c r="I111" s="16" t="str">
        <f>IF(CALC_EEM!$B104="","",CALC_EEM!I104)</f>
      </c>
      <c r="J111" t="str">
        <f>IF(CALC_EEM!$B104="","",CALC_EEM!J104)</f>
      </c>
      <c r="K111" t="str">
        <f>IF(CALC_EEM!$B104="","",CALC_EEM!K104)</f>
      </c>
      <c r="L111">
        <f>IF(CALC_EEM!$B104="","",CALC_EEM!L104)</f>
      </c>
      <c r="M111">
        <f>IF(CALC_EEM!$B104="","",CALC_EEM!M104)</f>
      </c>
      <c r="N111">
        <f>IF(CALC_EEM!$B104="","",CALC_EEM!N104)</f>
      </c>
      <c r="O111">
        <f>IF(CALC_EEM!$B104="","",CALC_EEM!O104)</f>
      </c>
      <c r="P111">
        <f>IF(CALC_EEM!$B104="","",CALC_EEM!P104)</f>
      </c>
      <c r="Q111">
        <f>IF(CALC_EEM!$B104="","",CALC_EEM!Q104)</f>
      </c>
      <c r="R111">
        <f>IF(CALC_EEM!$B104="","",CALC_EEM!R104)</f>
      </c>
      <c r="S111">
        <f>IF(CALC_EEM!$B104="","",CALC_EEM!S104)</f>
      </c>
      <c r="T111">
        <f>IF(CALC_EEM!$B104="","",CALC_EEM!T104)</f>
      </c>
      <c r="U111">
        <f>IF(CALC_EEM!$B104="","",CALC_EEM!U104)</f>
      </c>
    </row>
    <row r="112" spans="1:24">
      <c r="A112" t="str">
        <f>IF(CALC_EEM!$B105="","",IF(CALC_EEM!A105="GLOBAL","GLOBAL",IF(CALC_EEM!C105="Total","CURSO_TOTAL",IF(CALC_EEM!C105="TotalEsp","CURSO_ESP",IF(CALC_EEM!C105="TotalNoEsp","CURSO_NOESP","CURSO_ASIG")))))</f>
      </c>
      <c r="B112" t="str">
        <f>IF(CALC_EEM!$B105="","",CALC_EEM!A105)</f>
      </c>
      <c r="C112" t="str">
        <f>IF(CALC_EEM!$B105="","",CALC_EEM!B105)</f>
      </c>
      <c r="D112">
        <f>IF(CALC_EEM!$B105="","",CALC_EEM!D105)</f>
      </c>
      <c r="E112" s="14" t="str">
        <f>IF(CALC_EEM!$B105="","",CALC_EEM!E105)</f>
      </c>
      <c r="F112" s="14" t="str">
        <f>IF(CALC_EEM!$B105="","",CALC_EEM!F105)</f>
      </c>
      <c r="G112" t="str">
        <f>IF(CALC_EEM!$B105="","",CALC_EEM!G105)</f>
      </c>
      <c r="H112" s="16" t="str">
        <f>IF(CALC_EEM!$B105="","",CALC_EEM!H105)</f>
      </c>
      <c r="I112" s="16" t="str">
        <f>IF(CALC_EEM!$B105="","",CALC_EEM!I105)</f>
      </c>
      <c r="J112" t="str">
        <f>IF(CALC_EEM!$B105="","",CALC_EEM!J105)</f>
      </c>
      <c r="K112" t="str">
        <f>IF(CALC_EEM!$B105="","",CALC_EEM!K105)</f>
      </c>
      <c r="L112">
        <f>IF(CALC_EEM!$B105="","",CALC_EEM!L105)</f>
      </c>
      <c r="M112">
        <f>IF(CALC_EEM!$B105="","",CALC_EEM!M105)</f>
      </c>
      <c r="N112">
        <f>IF(CALC_EEM!$B105="","",CALC_EEM!N105)</f>
      </c>
      <c r="O112">
        <f>IF(CALC_EEM!$B105="","",CALC_EEM!O105)</f>
      </c>
      <c r="P112">
        <f>IF(CALC_EEM!$B105="","",CALC_EEM!P105)</f>
      </c>
      <c r="Q112">
        <f>IF(CALC_EEM!$B105="","",CALC_EEM!Q105)</f>
      </c>
      <c r="R112">
        <f>IF(CALC_EEM!$B105="","",CALC_EEM!R105)</f>
      </c>
      <c r="S112">
        <f>IF(CALC_EEM!$B105="","",CALC_EEM!S105)</f>
      </c>
      <c r="T112">
        <f>IF(CALC_EEM!$B105="","",CALC_EEM!T105)</f>
      </c>
      <c r="U112">
        <f>IF(CALC_EEM!$B105="","",CALC_EEM!U105)</f>
      </c>
    </row>
    <row r="113" spans="1:24">
      <c r="A113" t="str">
        <f>IF(CALC_EEM!$B106="","",IF(CALC_EEM!A106="GLOBAL","GLOBAL",IF(CALC_EEM!C106="Total","CURSO_TOTAL",IF(CALC_EEM!C106="TotalEsp","CURSO_ESP",IF(CALC_EEM!C106="TotalNoEsp","CURSO_NOESP","CURSO_ASIG")))))</f>
      </c>
      <c r="B113" t="str">
        <f>IF(CALC_EEM!$B106="","",CALC_EEM!A106)</f>
      </c>
      <c r="C113" t="str">
        <f>IF(CALC_EEM!$B106="","",CALC_EEM!B106)</f>
      </c>
      <c r="D113">
        <f>IF(CALC_EEM!$B106="","",CALC_EEM!D106)</f>
      </c>
      <c r="E113" s="14" t="str">
        <f>IF(CALC_EEM!$B106="","",CALC_EEM!E106)</f>
      </c>
      <c r="F113" s="14" t="str">
        <f>IF(CALC_EEM!$B106="","",CALC_EEM!F106)</f>
      </c>
      <c r="G113" t="str">
        <f>IF(CALC_EEM!$B106="","",CALC_EEM!G106)</f>
      </c>
      <c r="H113" s="16" t="str">
        <f>IF(CALC_EEM!$B106="","",CALC_EEM!H106)</f>
      </c>
      <c r="I113" s="16" t="str">
        <f>IF(CALC_EEM!$B106="","",CALC_EEM!I106)</f>
      </c>
      <c r="J113" t="str">
        <f>IF(CALC_EEM!$B106="","",CALC_EEM!J106)</f>
      </c>
      <c r="K113" t="str">
        <f>IF(CALC_EEM!$B106="","",CALC_EEM!K106)</f>
      </c>
      <c r="L113">
        <f>IF(CALC_EEM!$B106="","",CALC_EEM!L106)</f>
      </c>
      <c r="M113">
        <f>IF(CALC_EEM!$B106="","",CALC_EEM!M106)</f>
      </c>
      <c r="N113">
        <f>IF(CALC_EEM!$B106="","",CALC_EEM!N106)</f>
      </c>
      <c r="O113">
        <f>IF(CALC_EEM!$B106="","",CALC_EEM!O106)</f>
      </c>
      <c r="P113">
        <f>IF(CALC_EEM!$B106="","",CALC_EEM!P106)</f>
      </c>
      <c r="Q113">
        <f>IF(CALC_EEM!$B106="","",CALC_EEM!Q106)</f>
      </c>
      <c r="R113">
        <f>IF(CALC_EEM!$B106="","",CALC_EEM!R106)</f>
      </c>
      <c r="S113">
        <f>IF(CALC_EEM!$B106="","",CALC_EEM!S106)</f>
      </c>
      <c r="T113">
        <f>IF(CALC_EEM!$B106="","",CALC_EEM!T106)</f>
      </c>
      <c r="U113">
        <f>IF(CALC_EEM!$B106="","",CALC_EEM!U106)</f>
      </c>
    </row>
    <row r="114" spans="1:24">
      <c r="A114" t="str">
        <f>IF(CALC_EEM!$B107="","",IF(CALC_EEM!A107="GLOBAL","GLOBAL",IF(CALC_EEM!C107="Total","CURSO_TOTAL",IF(CALC_EEM!C107="TotalEsp","CURSO_ESP",IF(CALC_EEM!C107="TotalNoEsp","CURSO_NOESP","CURSO_ASIG")))))</f>
      </c>
      <c r="B114" t="str">
        <f>IF(CALC_EEM!$B107="","",CALC_EEM!A107)</f>
      </c>
      <c r="C114" t="str">
        <f>IF(CALC_EEM!$B107="","",CALC_EEM!B107)</f>
      </c>
      <c r="D114">
        <f>IF(CALC_EEM!$B107="","",CALC_EEM!D107)</f>
      </c>
      <c r="E114" s="14" t="str">
        <f>IF(CALC_EEM!$B107="","",CALC_EEM!E107)</f>
      </c>
      <c r="F114" s="14" t="str">
        <f>IF(CALC_EEM!$B107="","",CALC_EEM!F107)</f>
      </c>
      <c r="G114" t="str">
        <f>IF(CALC_EEM!$B107="","",CALC_EEM!G107)</f>
      </c>
      <c r="H114" s="16" t="str">
        <f>IF(CALC_EEM!$B107="","",CALC_EEM!H107)</f>
      </c>
      <c r="I114" s="16" t="str">
        <f>IF(CALC_EEM!$B107="","",CALC_EEM!I107)</f>
      </c>
      <c r="J114" t="str">
        <f>IF(CALC_EEM!$B107="","",CALC_EEM!J107)</f>
      </c>
      <c r="K114" t="str">
        <f>IF(CALC_EEM!$B107="","",CALC_EEM!K107)</f>
      </c>
      <c r="L114">
        <f>IF(CALC_EEM!$B107="","",CALC_EEM!L107)</f>
      </c>
      <c r="M114">
        <f>IF(CALC_EEM!$B107="","",CALC_EEM!M107)</f>
      </c>
      <c r="N114">
        <f>IF(CALC_EEM!$B107="","",CALC_EEM!N107)</f>
      </c>
      <c r="O114">
        <f>IF(CALC_EEM!$B107="","",CALC_EEM!O107)</f>
      </c>
      <c r="P114">
        <f>IF(CALC_EEM!$B107="","",CALC_EEM!P107)</f>
      </c>
      <c r="Q114">
        <f>IF(CALC_EEM!$B107="","",CALC_EEM!Q107)</f>
      </c>
      <c r="R114">
        <f>IF(CALC_EEM!$B107="","",CALC_EEM!R107)</f>
      </c>
      <c r="S114">
        <f>IF(CALC_EEM!$B107="","",CALC_EEM!S107)</f>
      </c>
      <c r="T114">
        <f>IF(CALC_EEM!$B107="","",CALC_EEM!T107)</f>
      </c>
      <c r="U114">
        <f>IF(CALC_EEM!$B107="","",CALC_EEM!U107)</f>
      </c>
    </row>
    <row r="115" spans="1:24">
      <c r="A115" t="str">
        <f>IF(CALC_EEM!$B108="","",IF(CALC_EEM!A108="GLOBAL","GLOBAL",IF(CALC_EEM!C108="Total","CURSO_TOTAL",IF(CALC_EEM!C108="TotalEsp","CURSO_ESP",IF(CALC_EEM!C108="TotalNoEsp","CURSO_NOESP","CURSO_ASIG")))))</f>
      </c>
      <c r="B115" t="str">
        <f>IF(CALC_EEM!$B108="","",CALC_EEM!A108)</f>
      </c>
      <c r="C115" t="str">
        <f>IF(CALC_EEM!$B108="","",CALC_EEM!B108)</f>
      </c>
      <c r="D115">
        <f>IF(CALC_EEM!$B108="","",CALC_EEM!D108)</f>
      </c>
      <c r="E115" s="14" t="str">
        <f>IF(CALC_EEM!$B108="","",CALC_EEM!E108)</f>
      </c>
      <c r="F115" s="14" t="str">
        <f>IF(CALC_EEM!$B108="","",CALC_EEM!F108)</f>
      </c>
      <c r="G115" t="str">
        <f>IF(CALC_EEM!$B108="","",CALC_EEM!G108)</f>
      </c>
      <c r="H115" s="16" t="str">
        <f>IF(CALC_EEM!$B108="","",CALC_EEM!H108)</f>
      </c>
      <c r="I115" s="16" t="str">
        <f>IF(CALC_EEM!$B108="","",CALC_EEM!I108)</f>
      </c>
      <c r="J115" t="str">
        <f>IF(CALC_EEM!$B108="","",CALC_EEM!J108)</f>
      </c>
      <c r="K115" t="str">
        <f>IF(CALC_EEM!$B108="","",CALC_EEM!K108)</f>
      </c>
      <c r="L115">
        <f>IF(CALC_EEM!$B108="","",CALC_EEM!L108)</f>
      </c>
      <c r="M115">
        <f>IF(CALC_EEM!$B108="","",CALC_EEM!M108)</f>
      </c>
      <c r="N115">
        <f>IF(CALC_EEM!$B108="","",CALC_EEM!N108)</f>
      </c>
      <c r="O115">
        <f>IF(CALC_EEM!$B108="","",CALC_EEM!O108)</f>
      </c>
      <c r="P115">
        <f>IF(CALC_EEM!$B108="","",CALC_EEM!P108)</f>
      </c>
      <c r="Q115">
        <f>IF(CALC_EEM!$B108="","",CALC_EEM!Q108)</f>
      </c>
      <c r="R115">
        <f>IF(CALC_EEM!$B108="","",CALC_EEM!R108)</f>
      </c>
      <c r="S115">
        <f>IF(CALC_EEM!$B108="","",CALC_EEM!S108)</f>
      </c>
      <c r="T115">
        <f>IF(CALC_EEM!$B108="","",CALC_EEM!T108)</f>
      </c>
      <c r="U115">
        <f>IF(CALC_EEM!$B108="","",CALC_EEM!U108)</f>
      </c>
    </row>
    <row r="116" spans="1:24">
      <c r="A116" t="str">
        <f>IF(CALC_EEM!$B109="","",IF(CALC_EEM!A109="GLOBAL","GLOBAL",IF(CALC_EEM!C109="Total","CURSO_TOTAL",IF(CALC_EEM!C109="TotalEsp","CURSO_ESP",IF(CALC_EEM!C109="TotalNoEsp","CURSO_NOESP","CURSO_ASIG")))))</f>
      </c>
      <c r="B116" t="str">
        <f>IF(CALC_EEM!$B109="","",CALC_EEM!A109)</f>
      </c>
      <c r="C116" t="str">
        <f>IF(CALC_EEM!$B109="","",CALC_EEM!B109)</f>
      </c>
      <c r="D116">
        <f>IF(CALC_EEM!$B109="","",CALC_EEM!D109)</f>
      </c>
      <c r="E116" s="14" t="str">
        <f>IF(CALC_EEM!$B109="","",CALC_EEM!E109)</f>
      </c>
      <c r="F116" s="14" t="str">
        <f>IF(CALC_EEM!$B109="","",CALC_EEM!F109)</f>
      </c>
      <c r="G116" t="str">
        <f>IF(CALC_EEM!$B109="","",CALC_EEM!G109)</f>
      </c>
      <c r="H116" s="16" t="str">
        <f>IF(CALC_EEM!$B109="","",CALC_EEM!H109)</f>
      </c>
      <c r="I116" s="16" t="str">
        <f>IF(CALC_EEM!$B109="","",CALC_EEM!I109)</f>
      </c>
      <c r="J116" t="str">
        <f>IF(CALC_EEM!$B109="","",CALC_EEM!J109)</f>
      </c>
      <c r="K116" t="str">
        <f>IF(CALC_EEM!$B109="","",CALC_EEM!K109)</f>
      </c>
      <c r="L116">
        <f>IF(CALC_EEM!$B109="","",CALC_EEM!L109)</f>
      </c>
      <c r="M116">
        <f>IF(CALC_EEM!$B109="","",CALC_EEM!M109)</f>
      </c>
      <c r="N116">
        <f>IF(CALC_EEM!$B109="","",CALC_EEM!N109)</f>
      </c>
      <c r="O116">
        <f>IF(CALC_EEM!$B109="","",CALC_EEM!O109)</f>
      </c>
      <c r="P116">
        <f>IF(CALC_EEM!$B109="","",CALC_EEM!P109)</f>
      </c>
      <c r="Q116">
        <f>IF(CALC_EEM!$B109="","",CALC_EEM!Q109)</f>
      </c>
      <c r="R116">
        <f>IF(CALC_EEM!$B109="","",CALC_EEM!R109)</f>
      </c>
      <c r="S116">
        <f>IF(CALC_EEM!$B109="","",CALC_EEM!S109)</f>
      </c>
      <c r="T116">
        <f>IF(CALC_EEM!$B109="","",CALC_EEM!T109)</f>
      </c>
      <c r="U116">
        <f>IF(CALC_EEM!$B109="","",CALC_EEM!U109)</f>
      </c>
    </row>
    <row r="117" spans="1:24">
      <c r="A117" t="str">
        <f>IF(CALC_EEM!$B110="","",IF(CALC_EEM!A110="GLOBAL","GLOBAL",IF(CALC_EEM!C110="Total","CURSO_TOTAL",IF(CALC_EEM!C110="TotalEsp","CURSO_ESP",IF(CALC_EEM!C110="TotalNoEsp","CURSO_NOESP","CURSO_ASIG")))))</f>
      </c>
      <c r="B117" t="str">
        <f>IF(CALC_EEM!$B110="","",CALC_EEM!A110)</f>
      </c>
      <c r="C117" t="str">
        <f>IF(CALC_EEM!$B110="","",CALC_EEM!B110)</f>
      </c>
      <c r="D117">
        <f>IF(CALC_EEM!$B110="","",CALC_EEM!D110)</f>
      </c>
      <c r="E117" s="14" t="str">
        <f>IF(CALC_EEM!$B110="","",CALC_EEM!E110)</f>
      </c>
      <c r="F117" s="14" t="str">
        <f>IF(CALC_EEM!$B110="","",CALC_EEM!F110)</f>
      </c>
      <c r="G117" t="str">
        <f>IF(CALC_EEM!$B110="","",CALC_EEM!G110)</f>
      </c>
      <c r="H117" s="16" t="str">
        <f>IF(CALC_EEM!$B110="","",CALC_EEM!H110)</f>
      </c>
      <c r="I117" s="16" t="str">
        <f>IF(CALC_EEM!$B110="","",CALC_EEM!I110)</f>
      </c>
      <c r="J117" t="str">
        <f>IF(CALC_EEM!$B110="","",CALC_EEM!J110)</f>
      </c>
      <c r="K117" t="str">
        <f>IF(CALC_EEM!$B110="","",CALC_EEM!K110)</f>
      </c>
      <c r="L117">
        <f>IF(CALC_EEM!$B110="","",CALC_EEM!L110)</f>
      </c>
      <c r="M117">
        <f>IF(CALC_EEM!$B110="","",CALC_EEM!M110)</f>
      </c>
      <c r="N117">
        <f>IF(CALC_EEM!$B110="","",CALC_EEM!N110)</f>
      </c>
      <c r="O117">
        <f>IF(CALC_EEM!$B110="","",CALC_EEM!O110)</f>
      </c>
      <c r="P117">
        <f>IF(CALC_EEM!$B110="","",CALC_EEM!P110)</f>
      </c>
      <c r="Q117">
        <f>IF(CALC_EEM!$B110="","",CALC_EEM!Q110)</f>
      </c>
      <c r="R117">
        <f>IF(CALC_EEM!$B110="","",CALC_EEM!R110)</f>
      </c>
      <c r="S117">
        <f>IF(CALC_EEM!$B110="","",CALC_EEM!S110)</f>
      </c>
      <c r="T117">
        <f>IF(CALC_EEM!$B110="","",CALC_EEM!T110)</f>
      </c>
      <c r="U117">
        <f>IF(CALC_EEM!$B110="","",CALC_EEM!U110)</f>
      </c>
    </row>
    <row r="118" spans="1:24">
      <c r="A118" t="str">
        <f>IF(CALC_EEM!$B111="","",IF(CALC_EEM!A111="GLOBAL","GLOBAL",IF(CALC_EEM!C111="Total","CURSO_TOTAL",IF(CALC_EEM!C111="TotalEsp","CURSO_ESP",IF(CALC_EEM!C111="TotalNoEsp","CURSO_NOESP","CURSO_ASIG")))))</f>
      </c>
      <c r="B118" t="str">
        <f>IF(CALC_EEM!$B111="","",CALC_EEM!A111)</f>
      </c>
      <c r="C118" t="str">
        <f>IF(CALC_EEM!$B111="","",CALC_EEM!B111)</f>
      </c>
      <c r="D118">
        <f>IF(CALC_EEM!$B111="","",CALC_EEM!D111)</f>
      </c>
      <c r="E118" s="14" t="str">
        <f>IF(CALC_EEM!$B111="","",CALC_EEM!E111)</f>
      </c>
      <c r="F118" s="14" t="str">
        <f>IF(CALC_EEM!$B111="","",CALC_EEM!F111)</f>
      </c>
      <c r="G118" t="str">
        <f>IF(CALC_EEM!$B111="","",CALC_EEM!G111)</f>
      </c>
      <c r="H118" s="16" t="str">
        <f>IF(CALC_EEM!$B111="","",CALC_EEM!H111)</f>
      </c>
      <c r="I118" s="16" t="str">
        <f>IF(CALC_EEM!$B111="","",CALC_EEM!I111)</f>
      </c>
      <c r="J118" t="str">
        <f>IF(CALC_EEM!$B111="","",CALC_EEM!J111)</f>
      </c>
      <c r="K118" t="str">
        <f>IF(CALC_EEM!$B111="","",CALC_EEM!K111)</f>
      </c>
      <c r="L118">
        <f>IF(CALC_EEM!$B111="","",CALC_EEM!L111)</f>
      </c>
      <c r="M118">
        <f>IF(CALC_EEM!$B111="","",CALC_EEM!M111)</f>
      </c>
      <c r="N118">
        <f>IF(CALC_EEM!$B111="","",CALC_EEM!N111)</f>
      </c>
      <c r="O118">
        <f>IF(CALC_EEM!$B111="","",CALC_EEM!O111)</f>
      </c>
      <c r="P118">
        <f>IF(CALC_EEM!$B111="","",CALC_EEM!P111)</f>
      </c>
      <c r="Q118">
        <f>IF(CALC_EEM!$B111="","",CALC_EEM!Q111)</f>
      </c>
      <c r="R118">
        <f>IF(CALC_EEM!$B111="","",CALC_EEM!R111)</f>
      </c>
      <c r="S118">
        <f>IF(CALC_EEM!$B111="","",CALC_EEM!S111)</f>
      </c>
      <c r="T118">
        <f>IF(CALC_EEM!$B111="","",CALC_EEM!T111)</f>
      </c>
      <c r="U118">
        <f>IF(CALC_EEM!$B111="","",CALC_EEM!U111)</f>
      </c>
    </row>
    <row r="119" spans="1:24">
      <c r="A119" t="str">
        <f>IF(CALC_EEM!$B112="","",IF(CALC_EEM!A112="GLOBAL","GLOBAL",IF(CALC_EEM!C112="Total","CURSO_TOTAL",IF(CALC_EEM!C112="TotalEsp","CURSO_ESP",IF(CALC_EEM!C112="TotalNoEsp","CURSO_NOESP","CURSO_ASIG")))))</f>
      </c>
      <c r="B119" t="str">
        <f>IF(CALC_EEM!$B112="","",CALC_EEM!A112)</f>
      </c>
      <c r="C119" t="str">
        <f>IF(CALC_EEM!$B112="","",CALC_EEM!B112)</f>
      </c>
      <c r="D119">
        <f>IF(CALC_EEM!$B112="","",CALC_EEM!D112)</f>
      </c>
      <c r="E119" s="14" t="str">
        <f>IF(CALC_EEM!$B112="","",CALC_EEM!E112)</f>
      </c>
      <c r="F119" s="14" t="str">
        <f>IF(CALC_EEM!$B112="","",CALC_EEM!F112)</f>
      </c>
      <c r="G119" t="str">
        <f>IF(CALC_EEM!$B112="","",CALC_EEM!G112)</f>
      </c>
      <c r="H119" s="16" t="str">
        <f>IF(CALC_EEM!$B112="","",CALC_EEM!H112)</f>
      </c>
      <c r="I119" s="16" t="str">
        <f>IF(CALC_EEM!$B112="","",CALC_EEM!I112)</f>
      </c>
      <c r="J119" t="str">
        <f>IF(CALC_EEM!$B112="","",CALC_EEM!J112)</f>
      </c>
      <c r="K119" t="str">
        <f>IF(CALC_EEM!$B112="","",CALC_EEM!K112)</f>
      </c>
      <c r="L119">
        <f>IF(CALC_EEM!$B112="","",CALC_EEM!L112)</f>
      </c>
      <c r="M119">
        <f>IF(CALC_EEM!$B112="","",CALC_EEM!M112)</f>
      </c>
      <c r="N119">
        <f>IF(CALC_EEM!$B112="","",CALC_EEM!N112)</f>
      </c>
      <c r="O119">
        <f>IF(CALC_EEM!$B112="","",CALC_EEM!O112)</f>
      </c>
      <c r="P119">
        <f>IF(CALC_EEM!$B112="","",CALC_EEM!P112)</f>
      </c>
      <c r="Q119">
        <f>IF(CALC_EEM!$B112="","",CALC_EEM!Q112)</f>
      </c>
      <c r="R119">
        <f>IF(CALC_EEM!$B112="","",CALC_EEM!R112)</f>
      </c>
      <c r="S119">
        <f>IF(CALC_EEM!$B112="","",CALC_EEM!S112)</f>
      </c>
      <c r="T119">
        <f>IF(CALC_EEM!$B112="","",CALC_EEM!T112)</f>
      </c>
      <c r="U119">
        <f>IF(CALC_EEM!$B112="","",CALC_EEM!U112)</f>
      </c>
    </row>
    <row r="120" spans="1:24">
      <c r="A120" t="str">
        <f>IF(CALC_EEM!$B113="","",IF(CALC_EEM!A113="GLOBAL","GLOBAL",IF(CALC_EEM!C113="Total","CURSO_TOTAL",IF(CALC_EEM!C113="TotalEsp","CURSO_ESP",IF(CALC_EEM!C113="TotalNoEsp","CURSO_NOESP","CURSO_ASIG")))))</f>
      </c>
      <c r="B120" t="str">
        <f>IF(CALC_EEM!$B113="","",CALC_EEM!A113)</f>
      </c>
      <c r="C120" t="str">
        <f>IF(CALC_EEM!$B113="","",CALC_EEM!B113)</f>
      </c>
      <c r="D120">
        <f>IF(CALC_EEM!$B113="","",CALC_EEM!D113)</f>
      </c>
      <c r="E120" s="14" t="str">
        <f>IF(CALC_EEM!$B113="","",CALC_EEM!E113)</f>
      </c>
      <c r="F120" s="14" t="str">
        <f>IF(CALC_EEM!$B113="","",CALC_EEM!F113)</f>
      </c>
      <c r="G120" t="str">
        <f>IF(CALC_EEM!$B113="","",CALC_EEM!G113)</f>
      </c>
      <c r="H120" s="16" t="str">
        <f>IF(CALC_EEM!$B113="","",CALC_EEM!H113)</f>
      </c>
      <c r="I120" s="16" t="str">
        <f>IF(CALC_EEM!$B113="","",CALC_EEM!I113)</f>
      </c>
      <c r="J120" t="str">
        <f>IF(CALC_EEM!$B113="","",CALC_EEM!J113)</f>
      </c>
      <c r="K120" t="str">
        <f>IF(CALC_EEM!$B113="","",CALC_EEM!K113)</f>
      </c>
      <c r="L120">
        <f>IF(CALC_EEM!$B113="","",CALC_EEM!L113)</f>
      </c>
      <c r="M120">
        <f>IF(CALC_EEM!$B113="","",CALC_EEM!M113)</f>
      </c>
      <c r="N120">
        <f>IF(CALC_EEM!$B113="","",CALC_EEM!N113)</f>
      </c>
      <c r="O120">
        <f>IF(CALC_EEM!$B113="","",CALC_EEM!O113)</f>
      </c>
      <c r="P120">
        <f>IF(CALC_EEM!$B113="","",CALC_EEM!P113)</f>
      </c>
      <c r="Q120">
        <f>IF(CALC_EEM!$B113="","",CALC_EEM!Q113)</f>
      </c>
      <c r="R120">
        <f>IF(CALC_EEM!$B113="","",CALC_EEM!R113)</f>
      </c>
      <c r="S120">
        <f>IF(CALC_EEM!$B113="","",CALC_EEM!S113)</f>
      </c>
      <c r="T120">
        <f>IF(CALC_EEM!$B113="","",CALC_EEM!T113)</f>
      </c>
      <c r="U120">
        <f>IF(CALC_EEM!$B113="","",CALC_EEM!U113)</f>
      </c>
    </row>
    <row r="121" spans="1:24">
      <c r="A121" t="str">
        <f>IF(CALC_EEM!$B114="","",IF(CALC_EEM!A114="GLOBAL","GLOBAL",IF(CALC_EEM!C114="Total","CURSO_TOTAL",IF(CALC_EEM!C114="TotalEsp","CURSO_ESP",IF(CALC_EEM!C114="TotalNoEsp","CURSO_NOESP","CURSO_ASIG")))))</f>
      </c>
      <c r="B121" t="str">
        <f>IF(CALC_EEM!$B114="","",CALC_EEM!A114)</f>
      </c>
      <c r="C121" t="str">
        <f>IF(CALC_EEM!$B114="","",CALC_EEM!B114)</f>
      </c>
      <c r="D121">
        <f>IF(CALC_EEM!$B114="","",CALC_EEM!D114)</f>
      </c>
      <c r="E121" s="14" t="str">
        <f>IF(CALC_EEM!$B114="","",CALC_EEM!E114)</f>
      </c>
      <c r="F121" s="14" t="str">
        <f>IF(CALC_EEM!$B114="","",CALC_EEM!F114)</f>
      </c>
      <c r="G121" t="str">
        <f>IF(CALC_EEM!$B114="","",CALC_EEM!G114)</f>
      </c>
      <c r="H121" s="16" t="str">
        <f>IF(CALC_EEM!$B114="","",CALC_EEM!H114)</f>
      </c>
      <c r="I121" s="16" t="str">
        <f>IF(CALC_EEM!$B114="","",CALC_EEM!I114)</f>
      </c>
      <c r="J121" t="str">
        <f>IF(CALC_EEM!$B114="","",CALC_EEM!J114)</f>
      </c>
      <c r="K121" t="str">
        <f>IF(CALC_EEM!$B114="","",CALC_EEM!K114)</f>
      </c>
      <c r="L121">
        <f>IF(CALC_EEM!$B114="","",CALC_EEM!L114)</f>
      </c>
      <c r="M121">
        <f>IF(CALC_EEM!$B114="","",CALC_EEM!M114)</f>
      </c>
      <c r="N121">
        <f>IF(CALC_EEM!$B114="","",CALC_EEM!N114)</f>
      </c>
      <c r="O121">
        <f>IF(CALC_EEM!$B114="","",CALC_EEM!O114)</f>
      </c>
      <c r="P121">
        <f>IF(CALC_EEM!$B114="","",CALC_EEM!P114)</f>
      </c>
      <c r="Q121">
        <f>IF(CALC_EEM!$B114="","",CALC_EEM!Q114)</f>
      </c>
      <c r="R121">
        <f>IF(CALC_EEM!$B114="","",CALC_EEM!R114)</f>
      </c>
      <c r="S121">
        <f>IF(CALC_EEM!$B114="","",CALC_EEM!S114)</f>
      </c>
      <c r="T121">
        <f>IF(CALC_EEM!$B114="","",CALC_EEM!T114)</f>
      </c>
      <c r="U121">
        <f>IF(CALC_EEM!$B114="","",CALC_EEM!U114)</f>
      </c>
    </row>
    <row r="122" spans="1:24">
      <c r="A122" t="str">
        <f>IF(CALC_EEM!$B115="","",IF(CALC_EEM!A115="GLOBAL","GLOBAL",IF(CALC_EEM!C115="Total","CURSO_TOTAL",IF(CALC_EEM!C115="TotalEsp","CURSO_ESP",IF(CALC_EEM!C115="TotalNoEsp","CURSO_NOESP","CURSO_ASIG")))))</f>
      </c>
      <c r="B122" t="str">
        <f>IF(CALC_EEM!$B115="","",CALC_EEM!A115)</f>
      </c>
      <c r="C122" t="str">
        <f>IF(CALC_EEM!$B115="","",CALC_EEM!B115)</f>
      </c>
      <c r="D122">
        <f>IF(CALC_EEM!$B115="","",CALC_EEM!D115)</f>
      </c>
      <c r="E122" s="14" t="str">
        <f>IF(CALC_EEM!$B115="","",CALC_EEM!E115)</f>
      </c>
      <c r="F122" s="14" t="str">
        <f>IF(CALC_EEM!$B115="","",CALC_EEM!F115)</f>
      </c>
      <c r="G122" t="str">
        <f>IF(CALC_EEM!$B115="","",CALC_EEM!G115)</f>
      </c>
      <c r="H122" s="16" t="str">
        <f>IF(CALC_EEM!$B115="","",CALC_EEM!H115)</f>
      </c>
      <c r="I122" s="16" t="str">
        <f>IF(CALC_EEM!$B115="","",CALC_EEM!I115)</f>
      </c>
      <c r="J122" t="str">
        <f>IF(CALC_EEM!$B115="","",CALC_EEM!J115)</f>
      </c>
      <c r="K122" t="str">
        <f>IF(CALC_EEM!$B115="","",CALC_EEM!K115)</f>
      </c>
      <c r="L122">
        <f>IF(CALC_EEM!$B115="","",CALC_EEM!L115)</f>
      </c>
      <c r="M122">
        <f>IF(CALC_EEM!$B115="","",CALC_EEM!M115)</f>
      </c>
      <c r="N122">
        <f>IF(CALC_EEM!$B115="","",CALC_EEM!N115)</f>
      </c>
      <c r="O122">
        <f>IF(CALC_EEM!$B115="","",CALC_EEM!O115)</f>
      </c>
      <c r="P122">
        <f>IF(CALC_EEM!$B115="","",CALC_EEM!P115)</f>
      </c>
      <c r="Q122">
        <f>IF(CALC_EEM!$B115="","",CALC_EEM!Q115)</f>
      </c>
      <c r="R122">
        <f>IF(CALC_EEM!$B115="","",CALC_EEM!R115)</f>
      </c>
      <c r="S122">
        <f>IF(CALC_EEM!$B115="","",CALC_EEM!S115)</f>
      </c>
      <c r="T122">
        <f>IF(CALC_EEM!$B115="","",CALC_EEM!T115)</f>
      </c>
      <c r="U122">
        <f>IF(CALC_EEM!$B115="","",CALC_EEM!U115)</f>
      </c>
    </row>
    <row r="123" spans="1:24">
      <c r="A123" t="str">
        <f>IF(CALC_EEM!$B116="","",IF(CALC_EEM!A116="GLOBAL","GLOBAL",IF(CALC_EEM!C116="Total","CURSO_TOTAL",IF(CALC_EEM!C116="TotalEsp","CURSO_ESP",IF(CALC_EEM!C116="TotalNoEsp","CURSO_NOESP","CURSO_ASIG")))))</f>
      </c>
      <c r="B123" t="str">
        <f>IF(CALC_EEM!$B116="","",CALC_EEM!A116)</f>
      </c>
      <c r="C123" t="str">
        <f>IF(CALC_EEM!$B116="","",CALC_EEM!B116)</f>
      </c>
      <c r="D123">
        <f>IF(CALC_EEM!$B116="","",CALC_EEM!D116)</f>
      </c>
      <c r="E123" s="14" t="str">
        <f>IF(CALC_EEM!$B116="","",CALC_EEM!E116)</f>
      </c>
      <c r="F123" s="14" t="str">
        <f>IF(CALC_EEM!$B116="","",CALC_EEM!F116)</f>
      </c>
      <c r="G123" t="str">
        <f>IF(CALC_EEM!$B116="","",CALC_EEM!G116)</f>
      </c>
      <c r="H123" s="16" t="str">
        <f>IF(CALC_EEM!$B116="","",CALC_EEM!H116)</f>
      </c>
      <c r="I123" s="16" t="str">
        <f>IF(CALC_EEM!$B116="","",CALC_EEM!I116)</f>
      </c>
      <c r="J123" t="str">
        <f>IF(CALC_EEM!$B116="","",CALC_EEM!J116)</f>
      </c>
      <c r="K123" t="str">
        <f>IF(CALC_EEM!$B116="","",CALC_EEM!K116)</f>
      </c>
      <c r="L123">
        <f>IF(CALC_EEM!$B116="","",CALC_EEM!L116)</f>
      </c>
      <c r="M123">
        <f>IF(CALC_EEM!$B116="","",CALC_EEM!M116)</f>
      </c>
      <c r="N123">
        <f>IF(CALC_EEM!$B116="","",CALC_EEM!N116)</f>
      </c>
      <c r="O123">
        <f>IF(CALC_EEM!$B116="","",CALC_EEM!O116)</f>
      </c>
      <c r="P123">
        <f>IF(CALC_EEM!$B116="","",CALC_EEM!P116)</f>
      </c>
      <c r="Q123">
        <f>IF(CALC_EEM!$B116="","",CALC_EEM!Q116)</f>
      </c>
      <c r="R123">
        <f>IF(CALC_EEM!$B116="","",CALC_EEM!R116)</f>
      </c>
      <c r="S123">
        <f>IF(CALC_EEM!$B116="","",CALC_EEM!S116)</f>
      </c>
      <c r="T123">
        <f>IF(CALC_EEM!$B116="","",CALC_EEM!T116)</f>
      </c>
      <c r="U123">
        <f>IF(CALC_EEM!$B116="","",CALC_EEM!U116)</f>
      </c>
    </row>
    <row r="124" spans="1:24">
      <c r="A124" t="str">
        <f>IF(CALC_EEM!$B117="","",IF(CALC_EEM!A117="GLOBAL","GLOBAL",IF(CALC_EEM!C117="Total","CURSO_TOTAL",IF(CALC_EEM!C117="TotalEsp","CURSO_ESP",IF(CALC_EEM!C117="TotalNoEsp","CURSO_NOESP","CURSO_ASIG")))))</f>
      </c>
      <c r="B124" t="str">
        <f>IF(CALC_EEM!$B117="","",CALC_EEM!A117)</f>
      </c>
      <c r="C124" t="str">
        <f>IF(CALC_EEM!$B117="","",CALC_EEM!B117)</f>
      </c>
      <c r="D124">
        <f>IF(CALC_EEM!$B117="","",CALC_EEM!D117)</f>
      </c>
      <c r="E124" s="14" t="str">
        <f>IF(CALC_EEM!$B117="","",CALC_EEM!E117)</f>
      </c>
      <c r="F124" s="14" t="str">
        <f>IF(CALC_EEM!$B117="","",CALC_EEM!F117)</f>
      </c>
      <c r="G124" t="str">
        <f>IF(CALC_EEM!$B117="","",CALC_EEM!G117)</f>
      </c>
      <c r="H124" s="16" t="str">
        <f>IF(CALC_EEM!$B117="","",CALC_EEM!H117)</f>
      </c>
      <c r="I124" s="16" t="str">
        <f>IF(CALC_EEM!$B117="","",CALC_EEM!I117)</f>
      </c>
      <c r="J124" t="str">
        <f>IF(CALC_EEM!$B117="","",CALC_EEM!J117)</f>
      </c>
      <c r="K124" t="str">
        <f>IF(CALC_EEM!$B117="","",CALC_EEM!K117)</f>
      </c>
      <c r="L124">
        <f>IF(CALC_EEM!$B117="","",CALC_EEM!L117)</f>
      </c>
      <c r="M124">
        <f>IF(CALC_EEM!$B117="","",CALC_EEM!M117)</f>
      </c>
      <c r="N124">
        <f>IF(CALC_EEM!$B117="","",CALC_EEM!N117)</f>
      </c>
      <c r="O124">
        <f>IF(CALC_EEM!$B117="","",CALC_EEM!O117)</f>
      </c>
      <c r="P124">
        <f>IF(CALC_EEM!$B117="","",CALC_EEM!P117)</f>
      </c>
      <c r="Q124">
        <f>IF(CALC_EEM!$B117="","",CALC_EEM!Q117)</f>
      </c>
      <c r="R124">
        <f>IF(CALC_EEM!$B117="","",CALC_EEM!R117)</f>
      </c>
      <c r="S124">
        <f>IF(CALC_EEM!$B117="","",CALC_EEM!S117)</f>
      </c>
      <c r="T124">
        <f>IF(CALC_EEM!$B117="","",CALC_EEM!T117)</f>
      </c>
      <c r="U124">
        <f>IF(CALC_EEM!$B117="","",CALC_EEM!U117)</f>
      </c>
    </row>
    <row r="125" spans="1:24">
      <c r="A125" t="str">
        <f>IF(CALC_EEM!$B118="","",IF(CALC_EEM!A118="GLOBAL","GLOBAL",IF(CALC_EEM!C118="Total","CURSO_TOTAL",IF(CALC_EEM!C118="TotalEsp","CURSO_ESP",IF(CALC_EEM!C118="TotalNoEsp","CURSO_NOESP","CURSO_ASIG")))))</f>
      </c>
      <c r="B125" t="str">
        <f>IF(CALC_EEM!$B118="","",CALC_EEM!A118)</f>
      </c>
      <c r="C125" t="str">
        <f>IF(CALC_EEM!$B118="","",CALC_EEM!B118)</f>
      </c>
      <c r="D125">
        <f>IF(CALC_EEM!$B118="","",CALC_EEM!D118)</f>
      </c>
      <c r="E125" s="14" t="str">
        <f>IF(CALC_EEM!$B118="","",CALC_EEM!E118)</f>
      </c>
      <c r="F125" s="14" t="str">
        <f>IF(CALC_EEM!$B118="","",CALC_EEM!F118)</f>
      </c>
      <c r="G125" t="str">
        <f>IF(CALC_EEM!$B118="","",CALC_EEM!G118)</f>
      </c>
      <c r="H125" s="16" t="str">
        <f>IF(CALC_EEM!$B118="","",CALC_EEM!H118)</f>
      </c>
      <c r="I125" s="16" t="str">
        <f>IF(CALC_EEM!$B118="","",CALC_EEM!I118)</f>
      </c>
      <c r="J125" t="str">
        <f>IF(CALC_EEM!$B118="","",CALC_EEM!J118)</f>
      </c>
      <c r="K125" t="str">
        <f>IF(CALC_EEM!$B118="","",CALC_EEM!K118)</f>
      </c>
      <c r="L125">
        <f>IF(CALC_EEM!$B118="","",CALC_EEM!L118)</f>
      </c>
      <c r="M125">
        <f>IF(CALC_EEM!$B118="","",CALC_EEM!M118)</f>
      </c>
      <c r="N125">
        <f>IF(CALC_EEM!$B118="","",CALC_EEM!N118)</f>
      </c>
      <c r="O125">
        <f>IF(CALC_EEM!$B118="","",CALC_EEM!O118)</f>
      </c>
      <c r="P125">
        <f>IF(CALC_EEM!$B118="","",CALC_EEM!P118)</f>
      </c>
      <c r="Q125">
        <f>IF(CALC_EEM!$B118="","",CALC_EEM!Q118)</f>
      </c>
      <c r="R125">
        <f>IF(CALC_EEM!$B118="","",CALC_EEM!R118)</f>
      </c>
      <c r="S125">
        <f>IF(CALC_EEM!$B118="","",CALC_EEM!S118)</f>
      </c>
      <c r="T125">
        <f>IF(CALC_EEM!$B118="","",CALC_EEM!T118)</f>
      </c>
      <c r="U125">
        <f>IF(CALC_EEM!$B118="","",CALC_EEM!U118)</f>
      </c>
    </row>
    <row r="126" spans="1:24">
      <c r="A126" t="str">
        <f>IF(CALC_EEM!$B119="","",IF(CALC_EEM!A119="GLOBAL","GLOBAL",IF(CALC_EEM!C119="Total","CURSO_TOTAL",IF(CALC_EEM!C119="TotalEsp","CURSO_ESP",IF(CALC_EEM!C119="TotalNoEsp","CURSO_NOESP","CURSO_ASIG")))))</f>
      </c>
      <c r="B126" t="str">
        <f>IF(CALC_EEM!$B119="","",CALC_EEM!A119)</f>
      </c>
      <c r="C126" t="str">
        <f>IF(CALC_EEM!$B119="","",CALC_EEM!B119)</f>
      </c>
      <c r="D126">
        <f>IF(CALC_EEM!$B119="","",CALC_EEM!D119)</f>
      </c>
      <c r="E126" s="14" t="str">
        <f>IF(CALC_EEM!$B119="","",CALC_EEM!E119)</f>
      </c>
      <c r="F126" s="14" t="str">
        <f>IF(CALC_EEM!$B119="","",CALC_EEM!F119)</f>
      </c>
      <c r="G126" t="str">
        <f>IF(CALC_EEM!$B119="","",CALC_EEM!G119)</f>
      </c>
      <c r="H126" s="16" t="str">
        <f>IF(CALC_EEM!$B119="","",CALC_EEM!H119)</f>
      </c>
      <c r="I126" s="16" t="str">
        <f>IF(CALC_EEM!$B119="","",CALC_EEM!I119)</f>
      </c>
      <c r="J126" t="str">
        <f>IF(CALC_EEM!$B119="","",CALC_EEM!J119)</f>
      </c>
      <c r="K126" t="str">
        <f>IF(CALC_EEM!$B119="","",CALC_EEM!K119)</f>
      </c>
      <c r="L126">
        <f>IF(CALC_EEM!$B119="","",CALC_EEM!L119)</f>
      </c>
      <c r="M126">
        <f>IF(CALC_EEM!$B119="","",CALC_EEM!M119)</f>
      </c>
      <c r="N126">
        <f>IF(CALC_EEM!$B119="","",CALC_EEM!N119)</f>
      </c>
      <c r="O126">
        <f>IF(CALC_EEM!$B119="","",CALC_EEM!O119)</f>
      </c>
      <c r="P126">
        <f>IF(CALC_EEM!$B119="","",CALC_EEM!P119)</f>
      </c>
      <c r="Q126">
        <f>IF(CALC_EEM!$B119="","",CALC_EEM!Q119)</f>
      </c>
      <c r="R126">
        <f>IF(CALC_EEM!$B119="","",CALC_EEM!R119)</f>
      </c>
      <c r="S126">
        <f>IF(CALC_EEM!$B119="","",CALC_EEM!S119)</f>
      </c>
      <c r="T126">
        <f>IF(CALC_EEM!$B119="","",CALC_EEM!T119)</f>
      </c>
      <c r="U126">
        <f>IF(CALC_EEM!$B119="","",CALC_EEM!U119)</f>
      </c>
    </row>
    <row r="127" spans="1:24">
      <c r="A127" t="str">
        <f>IF(CALC_EEM!$B120="","",IF(CALC_EEM!A120="GLOBAL","GLOBAL",IF(CALC_EEM!C120="Total","CURSO_TOTAL",IF(CALC_EEM!C120="TotalEsp","CURSO_ESP",IF(CALC_EEM!C120="TotalNoEsp","CURSO_NOESP","CURSO_ASIG")))))</f>
      </c>
      <c r="B127" t="str">
        <f>IF(CALC_EEM!$B120="","",CALC_EEM!A120)</f>
      </c>
      <c r="C127" t="str">
        <f>IF(CALC_EEM!$B120="","",CALC_EEM!B120)</f>
      </c>
      <c r="D127">
        <f>IF(CALC_EEM!$B120="","",CALC_EEM!D120)</f>
      </c>
      <c r="E127" s="14" t="str">
        <f>IF(CALC_EEM!$B120="","",CALC_EEM!E120)</f>
      </c>
      <c r="F127" s="14" t="str">
        <f>IF(CALC_EEM!$B120="","",CALC_EEM!F120)</f>
      </c>
      <c r="G127" t="str">
        <f>IF(CALC_EEM!$B120="","",CALC_EEM!G120)</f>
      </c>
      <c r="H127" s="16" t="str">
        <f>IF(CALC_EEM!$B120="","",CALC_EEM!H120)</f>
      </c>
      <c r="I127" s="16" t="str">
        <f>IF(CALC_EEM!$B120="","",CALC_EEM!I120)</f>
      </c>
      <c r="J127" t="str">
        <f>IF(CALC_EEM!$B120="","",CALC_EEM!J120)</f>
      </c>
      <c r="K127" t="str">
        <f>IF(CALC_EEM!$B120="","",CALC_EEM!K120)</f>
      </c>
      <c r="L127">
        <f>IF(CALC_EEM!$B120="","",CALC_EEM!L120)</f>
      </c>
      <c r="M127">
        <f>IF(CALC_EEM!$B120="","",CALC_EEM!M120)</f>
      </c>
      <c r="N127">
        <f>IF(CALC_EEM!$B120="","",CALC_EEM!N120)</f>
      </c>
      <c r="O127">
        <f>IF(CALC_EEM!$B120="","",CALC_EEM!O120)</f>
      </c>
      <c r="P127">
        <f>IF(CALC_EEM!$B120="","",CALC_EEM!P120)</f>
      </c>
      <c r="Q127">
        <f>IF(CALC_EEM!$B120="","",CALC_EEM!Q120)</f>
      </c>
      <c r="R127">
        <f>IF(CALC_EEM!$B120="","",CALC_EEM!R120)</f>
      </c>
      <c r="S127">
        <f>IF(CALC_EEM!$B120="","",CALC_EEM!S120)</f>
      </c>
      <c r="T127">
        <f>IF(CALC_EEM!$B120="","",CALC_EEM!T120)</f>
      </c>
      <c r="U127">
        <f>IF(CALC_EEM!$B120="","",CALC_EEM!U120)</f>
      </c>
    </row>
    <row r="128" spans="1:24">
      <c r="A128" t="str">
        <f>IF(CALC_EEM!$B121="","",IF(CALC_EEM!A121="GLOBAL","GLOBAL",IF(CALC_EEM!C121="Total","CURSO_TOTAL",IF(CALC_EEM!C121="TotalEsp","CURSO_ESP",IF(CALC_EEM!C121="TotalNoEsp","CURSO_NOESP","CURSO_ASIG")))))</f>
      </c>
      <c r="B128" t="str">
        <f>IF(CALC_EEM!$B121="","",CALC_EEM!A121)</f>
      </c>
      <c r="C128" t="str">
        <f>IF(CALC_EEM!$B121="","",CALC_EEM!B121)</f>
      </c>
      <c r="D128">
        <f>IF(CALC_EEM!$B121="","",CALC_EEM!D121)</f>
      </c>
      <c r="E128" s="14" t="str">
        <f>IF(CALC_EEM!$B121="","",CALC_EEM!E121)</f>
      </c>
      <c r="F128" s="14" t="str">
        <f>IF(CALC_EEM!$B121="","",CALC_EEM!F121)</f>
      </c>
      <c r="G128" t="str">
        <f>IF(CALC_EEM!$B121="","",CALC_EEM!G121)</f>
      </c>
      <c r="H128" s="16" t="str">
        <f>IF(CALC_EEM!$B121="","",CALC_EEM!H121)</f>
      </c>
      <c r="I128" s="16" t="str">
        <f>IF(CALC_EEM!$B121="","",CALC_EEM!I121)</f>
      </c>
      <c r="J128" t="str">
        <f>IF(CALC_EEM!$B121="","",CALC_EEM!J121)</f>
      </c>
      <c r="K128" t="str">
        <f>IF(CALC_EEM!$B121="","",CALC_EEM!K121)</f>
      </c>
      <c r="L128">
        <f>IF(CALC_EEM!$B121="","",CALC_EEM!L121)</f>
      </c>
      <c r="M128">
        <f>IF(CALC_EEM!$B121="","",CALC_EEM!M121)</f>
      </c>
      <c r="N128">
        <f>IF(CALC_EEM!$B121="","",CALC_EEM!N121)</f>
      </c>
      <c r="O128">
        <f>IF(CALC_EEM!$B121="","",CALC_EEM!O121)</f>
      </c>
      <c r="P128">
        <f>IF(CALC_EEM!$B121="","",CALC_EEM!P121)</f>
      </c>
      <c r="Q128">
        <f>IF(CALC_EEM!$B121="","",CALC_EEM!Q121)</f>
      </c>
      <c r="R128">
        <f>IF(CALC_EEM!$B121="","",CALC_EEM!R121)</f>
      </c>
      <c r="S128">
        <f>IF(CALC_EEM!$B121="","",CALC_EEM!S121)</f>
      </c>
      <c r="T128">
        <f>IF(CALC_EEM!$B121="","",CALC_EEM!T121)</f>
      </c>
      <c r="U128">
        <f>IF(CALC_EEM!$B121="","",CALC_EEM!U121)</f>
      </c>
    </row>
    <row r="129" spans="1:24">
      <c r="A129" t="str">
        <f>IF(CALC_EEM!$B122="","",IF(CALC_EEM!A122="GLOBAL","GLOBAL",IF(CALC_EEM!C122="Total","CURSO_TOTAL",IF(CALC_EEM!C122="TotalEsp","CURSO_ESP",IF(CALC_EEM!C122="TotalNoEsp","CURSO_NOESP","CURSO_ASIG")))))</f>
      </c>
      <c r="B129" t="str">
        <f>IF(CALC_EEM!$B122="","",CALC_EEM!A122)</f>
      </c>
      <c r="C129" t="str">
        <f>IF(CALC_EEM!$B122="","",CALC_EEM!B122)</f>
      </c>
      <c r="D129">
        <f>IF(CALC_EEM!$B122="","",CALC_EEM!D122)</f>
      </c>
      <c r="E129" s="14" t="str">
        <f>IF(CALC_EEM!$B122="","",CALC_EEM!E122)</f>
      </c>
      <c r="F129" s="14" t="str">
        <f>IF(CALC_EEM!$B122="","",CALC_EEM!F122)</f>
      </c>
      <c r="G129" t="str">
        <f>IF(CALC_EEM!$B122="","",CALC_EEM!G122)</f>
      </c>
      <c r="H129" s="16" t="str">
        <f>IF(CALC_EEM!$B122="","",CALC_EEM!H122)</f>
      </c>
      <c r="I129" s="16" t="str">
        <f>IF(CALC_EEM!$B122="","",CALC_EEM!I122)</f>
      </c>
      <c r="J129" t="str">
        <f>IF(CALC_EEM!$B122="","",CALC_EEM!J122)</f>
      </c>
      <c r="K129" t="str">
        <f>IF(CALC_EEM!$B122="","",CALC_EEM!K122)</f>
      </c>
      <c r="L129">
        <f>IF(CALC_EEM!$B122="","",CALC_EEM!L122)</f>
      </c>
      <c r="M129">
        <f>IF(CALC_EEM!$B122="","",CALC_EEM!M122)</f>
      </c>
      <c r="N129">
        <f>IF(CALC_EEM!$B122="","",CALC_EEM!N122)</f>
      </c>
      <c r="O129">
        <f>IF(CALC_EEM!$B122="","",CALC_EEM!O122)</f>
      </c>
      <c r="P129">
        <f>IF(CALC_EEM!$B122="","",CALC_EEM!P122)</f>
      </c>
      <c r="Q129">
        <f>IF(CALC_EEM!$B122="","",CALC_EEM!Q122)</f>
      </c>
      <c r="R129">
        <f>IF(CALC_EEM!$B122="","",CALC_EEM!R122)</f>
      </c>
      <c r="S129">
        <f>IF(CALC_EEM!$B122="","",CALC_EEM!S122)</f>
      </c>
      <c r="T129">
        <f>IF(CALC_EEM!$B122="","",CALC_EEM!T122)</f>
      </c>
      <c r="U129">
        <f>IF(CALC_EEM!$B122="","",CALC_EEM!U122)</f>
      </c>
    </row>
    <row r="130" spans="1:24">
      <c r="A130" t="str">
        <f>IF(CALC_EEM!$B123="","",IF(CALC_EEM!A123="GLOBAL","GLOBAL",IF(CALC_EEM!C123="Total","CURSO_TOTAL",IF(CALC_EEM!C123="TotalEsp","CURSO_ESP",IF(CALC_EEM!C123="TotalNoEsp","CURSO_NOESP","CURSO_ASIG")))))</f>
      </c>
      <c r="B130" t="str">
        <f>IF(CALC_EEM!$B123="","",CALC_EEM!A123)</f>
      </c>
      <c r="C130" t="str">
        <f>IF(CALC_EEM!$B123="","",CALC_EEM!B123)</f>
      </c>
      <c r="D130">
        <f>IF(CALC_EEM!$B123="","",CALC_EEM!D123)</f>
      </c>
      <c r="E130" s="14" t="str">
        <f>IF(CALC_EEM!$B123="","",CALC_EEM!E123)</f>
      </c>
      <c r="F130" s="14" t="str">
        <f>IF(CALC_EEM!$B123="","",CALC_EEM!F123)</f>
      </c>
      <c r="G130" t="str">
        <f>IF(CALC_EEM!$B123="","",CALC_EEM!G123)</f>
      </c>
      <c r="H130" s="16" t="str">
        <f>IF(CALC_EEM!$B123="","",CALC_EEM!H123)</f>
      </c>
      <c r="I130" s="16" t="str">
        <f>IF(CALC_EEM!$B123="","",CALC_EEM!I123)</f>
      </c>
      <c r="J130" t="str">
        <f>IF(CALC_EEM!$B123="","",CALC_EEM!J123)</f>
      </c>
      <c r="K130" t="str">
        <f>IF(CALC_EEM!$B123="","",CALC_EEM!K123)</f>
      </c>
      <c r="L130">
        <f>IF(CALC_EEM!$B123="","",CALC_EEM!L123)</f>
      </c>
      <c r="M130">
        <f>IF(CALC_EEM!$B123="","",CALC_EEM!M123)</f>
      </c>
      <c r="N130">
        <f>IF(CALC_EEM!$B123="","",CALC_EEM!N123)</f>
      </c>
      <c r="O130">
        <f>IF(CALC_EEM!$B123="","",CALC_EEM!O123)</f>
      </c>
      <c r="P130">
        <f>IF(CALC_EEM!$B123="","",CALC_EEM!P123)</f>
      </c>
      <c r="Q130">
        <f>IF(CALC_EEM!$B123="","",CALC_EEM!Q123)</f>
      </c>
      <c r="R130">
        <f>IF(CALC_EEM!$B123="","",CALC_EEM!R123)</f>
      </c>
      <c r="S130">
        <f>IF(CALC_EEM!$B123="","",CALC_EEM!S123)</f>
      </c>
      <c r="T130">
        <f>IF(CALC_EEM!$B123="","",CALC_EEM!T123)</f>
      </c>
      <c r="U130">
        <f>IF(CALC_EEM!$B123="","",CALC_EEM!U123)</f>
      </c>
    </row>
    <row r="131" spans="1:24">
      <c r="A131" t="str">
        <f>IF(CALC_EEM!$B124="","",IF(CALC_EEM!A124="GLOBAL","GLOBAL",IF(CALC_EEM!C124="Total","CURSO_TOTAL",IF(CALC_EEM!C124="TotalEsp","CURSO_ESP",IF(CALC_EEM!C124="TotalNoEsp","CURSO_NOESP","CURSO_ASIG")))))</f>
      </c>
      <c r="B131" t="str">
        <f>IF(CALC_EEM!$B124="","",CALC_EEM!A124)</f>
      </c>
      <c r="C131" t="str">
        <f>IF(CALC_EEM!$B124="","",CALC_EEM!B124)</f>
      </c>
      <c r="D131">
        <f>IF(CALC_EEM!$B124="","",CALC_EEM!D124)</f>
      </c>
      <c r="E131" s="14" t="str">
        <f>IF(CALC_EEM!$B124="","",CALC_EEM!E124)</f>
      </c>
      <c r="F131" s="14" t="str">
        <f>IF(CALC_EEM!$B124="","",CALC_EEM!F124)</f>
      </c>
      <c r="G131" t="str">
        <f>IF(CALC_EEM!$B124="","",CALC_EEM!G124)</f>
      </c>
      <c r="H131" s="16" t="str">
        <f>IF(CALC_EEM!$B124="","",CALC_EEM!H124)</f>
      </c>
      <c r="I131" s="16" t="str">
        <f>IF(CALC_EEM!$B124="","",CALC_EEM!I124)</f>
      </c>
      <c r="J131" t="str">
        <f>IF(CALC_EEM!$B124="","",CALC_EEM!J124)</f>
      </c>
      <c r="K131" t="str">
        <f>IF(CALC_EEM!$B124="","",CALC_EEM!K124)</f>
      </c>
      <c r="L131">
        <f>IF(CALC_EEM!$B124="","",CALC_EEM!L124)</f>
      </c>
      <c r="M131">
        <f>IF(CALC_EEM!$B124="","",CALC_EEM!M124)</f>
      </c>
      <c r="N131">
        <f>IF(CALC_EEM!$B124="","",CALC_EEM!N124)</f>
      </c>
      <c r="O131">
        <f>IF(CALC_EEM!$B124="","",CALC_EEM!O124)</f>
      </c>
      <c r="P131">
        <f>IF(CALC_EEM!$B124="","",CALC_EEM!P124)</f>
      </c>
      <c r="Q131">
        <f>IF(CALC_EEM!$B124="","",CALC_EEM!Q124)</f>
      </c>
      <c r="R131">
        <f>IF(CALC_EEM!$B124="","",CALC_EEM!R124)</f>
      </c>
      <c r="S131">
        <f>IF(CALC_EEM!$B124="","",CALC_EEM!S124)</f>
      </c>
      <c r="T131">
        <f>IF(CALC_EEM!$B124="","",CALC_EEM!T124)</f>
      </c>
      <c r="U131">
        <f>IF(CALC_EEM!$B124="","",CALC_EEM!U124)</f>
      </c>
    </row>
    <row r="132" spans="1:24">
      <c r="A132" t="str">
        <f>IF(CALC_EEM!$B125="","",IF(CALC_EEM!A125="GLOBAL","GLOBAL",IF(CALC_EEM!C125="Total","CURSO_TOTAL",IF(CALC_EEM!C125="TotalEsp","CURSO_ESP",IF(CALC_EEM!C125="TotalNoEsp","CURSO_NOESP","CURSO_ASIG")))))</f>
      </c>
      <c r="B132" t="str">
        <f>IF(CALC_EEM!$B125="","",CALC_EEM!A125)</f>
      </c>
      <c r="C132" t="str">
        <f>IF(CALC_EEM!$B125="","",CALC_EEM!B125)</f>
      </c>
      <c r="D132">
        <f>IF(CALC_EEM!$B125="","",CALC_EEM!D125)</f>
      </c>
      <c r="E132" s="14" t="str">
        <f>IF(CALC_EEM!$B125="","",CALC_EEM!E125)</f>
      </c>
      <c r="F132" s="14" t="str">
        <f>IF(CALC_EEM!$B125="","",CALC_EEM!F125)</f>
      </c>
      <c r="G132" t="str">
        <f>IF(CALC_EEM!$B125="","",CALC_EEM!G125)</f>
      </c>
      <c r="H132" s="16" t="str">
        <f>IF(CALC_EEM!$B125="","",CALC_EEM!H125)</f>
      </c>
      <c r="I132" s="16" t="str">
        <f>IF(CALC_EEM!$B125="","",CALC_EEM!I125)</f>
      </c>
      <c r="J132" t="str">
        <f>IF(CALC_EEM!$B125="","",CALC_EEM!J125)</f>
      </c>
      <c r="K132" t="str">
        <f>IF(CALC_EEM!$B125="","",CALC_EEM!K125)</f>
      </c>
      <c r="L132">
        <f>IF(CALC_EEM!$B125="","",CALC_EEM!L125)</f>
      </c>
      <c r="M132">
        <f>IF(CALC_EEM!$B125="","",CALC_EEM!M125)</f>
      </c>
      <c r="N132">
        <f>IF(CALC_EEM!$B125="","",CALC_EEM!N125)</f>
      </c>
      <c r="O132">
        <f>IF(CALC_EEM!$B125="","",CALC_EEM!O125)</f>
      </c>
      <c r="P132">
        <f>IF(CALC_EEM!$B125="","",CALC_EEM!P125)</f>
      </c>
      <c r="Q132">
        <f>IF(CALC_EEM!$B125="","",CALC_EEM!Q125)</f>
      </c>
      <c r="R132">
        <f>IF(CALC_EEM!$B125="","",CALC_EEM!R125)</f>
      </c>
      <c r="S132">
        <f>IF(CALC_EEM!$B125="","",CALC_EEM!S125)</f>
      </c>
      <c r="T132">
        <f>IF(CALC_EEM!$B125="","",CALC_EEM!T125)</f>
      </c>
      <c r="U132">
        <f>IF(CALC_EEM!$B125="","",CALC_EEM!U125)</f>
      </c>
    </row>
    <row r="133" spans="1:24">
      <c r="A133" t="str">
        <f>IF(CALC_EEM!$B126="","",IF(CALC_EEM!A126="GLOBAL","GLOBAL",IF(CALC_EEM!C126="Total","CURSO_TOTAL",IF(CALC_EEM!C126="TotalEsp","CURSO_ESP",IF(CALC_EEM!C126="TotalNoEsp","CURSO_NOESP","CURSO_ASIG")))))</f>
      </c>
      <c r="B133" t="str">
        <f>IF(CALC_EEM!$B126="","",CALC_EEM!A126)</f>
      </c>
      <c r="C133" t="str">
        <f>IF(CALC_EEM!$B126="","",CALC_EEM!B126)</f>
      </c>
      <c r="D133">
        <f>IF(CALC_EEM!$B126="","",CALC_EEM!D126)</f>
      </c>
      <c r="E133" s="14" t="str">
        <f>IF(CALC_EEM!$B126="","",CALC_EEM!E126)</f>
      </c>
      <c r="F133" s="14" t="str">
        <f>IF(CALC_EEM!$B126="","",CALC_EEM!F126)</f>
      </c>
      <c r="G133" t="str">
        <f>IF(CALC_EEM!$B126="","",CALC_EEM!G126)</f>
      </c>
      <c r="H133" s="16" t="str">
        <f>IF(CALC_EEM!$B126="","",CALC_EEM!H126)</f>
      </c>
      <c r="I133" s="16" t="str">
        <f>IF(CALC_EEM!$B126="","",CALC_EEM!I126)</f>
      </c>
      <c r="J133" t="str">
        <f>IF(CALC_EEM!$B126="","",CALC_EEM!J126)</f>
      </c>
      <c r="K133" t="str">
        <f>IF(CALC_EEM!$B126="","",CALC_EEM!K126)</f>
      </c>
      <c r="L133">
        <f>IF(CALC_EEM!$B126="","",CALC_EEM!L126)</f>
      </c>
      <c r="M133">
        <f>IF(CALC_EEM!$B126="","",CALC_EEM!M126)</f>
      </c>
      <c r="N133">
        <f>IF(CALC_EEM!$B126="","",CALC_EEM!N126)</f>
      </c>
      <c r="O133">
        <f>IF(CALC_EEM!$B126="","",CALC_EEM!O126)</f>
      </c>
      <c r="P133">
        <f>IF(CALC_EEM!$B126="","",CALC_EEM!P126)</f>
      </c>
      <c r="Q133">
        <f>IF(CALC_EEM!$B126="","",CALC_EEM!Q126)</f>
      </c>
      <c r="R133">
        <f>IF(CALC_EEM!$B126="","",CALC_EEM!R126)</f>
      </c>
      <c r="S133">
        <f>IF(CALC_EEM!$B126="","",CALC_EEM!S126)</f>
      </c>
      <c r="T133">
        <f>IF(CALC_EEM!$B126="","",CALC_EEM!T126)</f>
      </c>
      <c r="U133">
        <f>IF(CALC_EEM!$B126="","",CALC_EEM!U126)</f>
      </c>
    </row>
    <row r="134" spans="1:24">
      <c r="A134" t="str">
        <f>IF(CALC_EEM!$B127="","",IF(CALC_EEM!A127="GLOBAL","GLOBAL",IF(CALC_EEM!C127="Total","CURSO_TOTAL",IF(CALC_EEM!C127="TotalEsp","CURSO_ESP",IF(CALC_EEM!C127="TotalNoEsp","CURSO_NOESP","CURSO_ASIG")))))</f>
      </c>
      <c r="B134" t="str">
        <f>IF(CALC_EEM!$B127="","",CALC_EEM!A127)</f>
      </c>
      <c r="C134" t="str">
        <f>IF(CALC_EEM!$B127="","",CALC_EEM!B127)</f>
      </c>
      <c r="D134">
        <f>IF(CALC_EEM!$B127="","",CALC_EEM!D127)</f>
      </c>
      <c r="E134" s="14" t="str">
        <f>IF(CALC_EEM!$B127="","",CALC_EEM!E127)</f>
      </c>
      <c r="F134" s="14" t="str">
        <f>IF(CALC_EEM!$B127="","",CALC_EEM!F127)</f>
      </c>
      <c r="G134" t="str">
        <f>IF(CALC_EEM!$B127="","",CALC_EEM!G127)</f>
      </c>
      <c r="H134" s="16" t="str">
        <f>IF(CALC_EEM!$B127="","",CALC_EEM!H127)</f>
      </c>
      <c r="I134" s="16" t="str">
        <f>IF(CALC_EEM!$B127="","",CALC_EEM!I127)</f>
      </c>
      <c r="J134" t="str">
        <f>IF(CALC_EEM!$B127="","",CALC_EEM!J127)</f>
      </c>
      <c r="K134" t="str">
        <f>IF(CALC_EEM!$B127="","",CALC_EEM!K127)</f>
      </c>
      <c r="L134">
        <f>IF(CALC_EEM!$B127="","",CALC_EEM!L127)</f>
      </c>
      <c r="M134">
        <f>IF(CALC_EEM!$B127="","",CALC_EEM!M127)</f>
      </c>
      <c r="N134">
        <f>IF(CALC_EEM!$B127="","",CALC_EEM!N127)</f>
      </c>
      <c r="O134">
        <f>IF(CALC_EEM!$B127="","",CALC_EEM!O127)</f>
      </c>
      <c r="P134">
        <f>IF(CALC_EEM!$B127="","",CALC_EEM!P127)</f>
      </c>
      <c r="Q134">
        <f>IF(CALC_EEM!$B127="","",CALC_EEM!Q127)</f>
      </c>
      <c r="R134">
        <f>IF(CALC_EEM!$B127="","",CALC_EEM!R127)</f>
      </c>
      <c r="S134">
        <f>IF(CALC_EEM!$B127="","",CALC_EEM!S127)</f>
      </c>
      <c r="T134">
        <f>IF(CALC_EEM!$B127="","",CALC_EEM!T127)</f>
      </c>
      <c r="U134">
        <f>IF(CALC_EEM!$B127="","",CALC_EEM!U127)</f>
      </c>
    </row>
    <row r="135" spans="1:24">
      <c r="A135" t="str">
        <f>IF(CALC_EEM!$B128="","",IF(CALC_EEM!A128="GLOBAL","GLOBAL",IF(CALC_EEM!C128="Total","CURSO_TOTAL",IF(CALC_EEM!C128="TotalEsp","CURSO_ESP",IF(CALC_EEM!C128="TotalNoEsp","CURSO_NOESP","CURSO_ASIG")))))</f>
      </c>
      <c r="B135" t="str">
        <f>IF(CALC_EEM!$B128="","",CALC_EEM!A128)</f>
      </c>
      <c r="C135" t="str">
        <f>IF(CALC_EEM!$B128="","",CALC_EEM!B128)</f>
      </c>
      <c r="D135">
        <f>IF(CALC_EEM!$B128="","",CALC_EEM!D128)</f>
      </c>
      <c r="E135" s="14" t="str">
        <f>IF(CALC_EEM!$B128="","",CALC_EEM!E128)</f>
      </c>
      <c r="F135" s="14" t="str">
        <f>IF(CALC_EEM!$B128="","",CALC_EEM!F128)</f>
      </c>
      <c r="G135" t="str">
        <f>IF(CALC_EEM!$B128="","",CALC_EEM!G128)</f>
      </c>
      <c r="H135" s="16" t="str">
        <f>IF(CALC_EEM!$B128="","",CALC_EEM!H128)</f>
      </c>
      <c r="I135" s="16" t="str">
        <f>IF(CALC_EEM!$B128="","",CALC_EEM!I128)</f>
      </c>
      <c r="J135" t="str">
        <f>IF(CALC_EEM!$B128="","",CALC_EEM!J128)</f>
      </c>
      <c r="K135" t="str">
        <f>IF(CALC_EEM!$B128="","",CALC_EEM!K128)</f>
      </c>
      <c r="L135">
        <f>IF(CALC_EEM!$B128="","",CALC_EEM!L128)</f>
      </c>
      <c r="M135">
        <f>IF(CALC_EEM!$B128="","",CALC_EEM!M128)</f>
      </c>
      <c r="N135">
        <f>IF(CALC_EEM!$B128="","",CALC_EEM!N128)</f>
      </c>
      <c r="O135">
        <f>IF(CALC_EEM!$B128="","",CALC_EEM!O128)</f>
      </c>
      <c r="P135">
        <f>IF(CALC_EEM!$B128="","",CALC_EEM!P128)</f>
      </c>
      <c r="Q135">
        <f>IF(CALC_EEM!$B128="","",CALC_EEM!Q128)</f>
      </c>
      <c r="R135">
        <f>IF(CALC_EEM!$B128="","",CALC_EEM!R128)</f>
      </c>
      <c r="S135">
        <f>IF(CALC_EEM!$B128="","",CALC_EEM!S128)</f>
      </c>
      <c r="T135">
        <f>IF(CALC_EEM!$B128="","",CALC_EEM!T128)</f>
      </c>
      <c r="U135">
        <f>IF(CALC_EEM!$B128="","",CALC_EEM!U128)</f>
      </c>
    </row>
    <row r="136" spans="1:24">
      <c r="A136" t="str">
        <f>IF(CALC_EEM!$B129="","",IF(CALC_EEM!A129="GLOBAL","GLOBAL",IF(CALC_EEM!C129="Total","CURSO_TOTAL",IF(CALC_EEM!C129="TotalEsp","CURSO_ESP",IF(CALC_EEM!C129="TotalNoEsp","CURSO_NOESP","CURSO_ASIG")))))</f>
      </c>
      <c r="B136" t="str">
        <f>IF(CALC_EEM!$B129="","",CALC_EEM!A129)</f>
      </c>
      <c r="C136" t="str">
        <f>IF(CALC_EEM!$B129="","",CALC_EEM!B129)</f>
      </c>
      <c r="D136">
        <f>IF(CALC_EEM!$B129="","",CALC_EEM!D129)</f>
      </c>
      <c r="E136" s="14" t="str">
        <f>IF(CALC_EEM!$B129="","",CALC_EEM!E129)</f>
      </c>
      <c r="F136" s="14" t="str">
        <f>IF(CALC_EEM!$B129="","",CALC_EEM!F129)</f>
      </c>
      <c r="G136" t="str">
        <f>IF(CALC_EEM!$B129="","",CALC_EEM!G129)</f>
      </c>
      <c r="H136" s="16" t="str">
        <f>IF(CALC_EEM!$B129="","",CALC_EEM!H129)</f>
      </c>
      <c r="I136" s="16" t="str">
        <f>IF(CALC_EEM!$B129="","",CALC_EEM!I129)</f>
      </c>
      <c r="J136" t="str">
        <f>IF(CALC_EEM!$B129="","",CALC_EEM!J129)</f>
      </c>
      <c r="K136" t="str">
        <f>IF(CALC_EEM!$B129="","",CALC_EEM!K129)</f>
      </c>
      <c r="L136">
        <f>IF(CALC_EEM!$B129="","",CALC_EEM!L129)</f>
      </c>
      <c r="M136">
        <f>IF(CALC_EEM!$B129="","",CALC_EEM!M129)</f>
      </c>
      <c r="N136">
        <f>IF(CALC_EEM!$B129="","",CALC_EEM!N129)</f>
      </c>
      <c r="O136">
        <f>IF(CALC_EEM!$B129="","",CALC_EEM!O129)</f>
      </c>
      <c r="P136">
        <f>IF(CALC_EEM!$B129="","",CALC_EEM!P129)</f>
      </c>
      <c r="Q136">
        <f>IF(CALC_EEM!$B129="","",CALC_EEM!Q129)</f>
      </c>
      <c r="R136">
        <f>IF(CALC_EEM!$B129="","",CALC_EEM!R129)</f>
      </c>
      <c r="S136">
        <f>IF(CALC_EEM!$B129="","",CALC_EEM!S129)</f>
      </c>
      <c r="T136">
        <f>IF(CALC_EEM!$B129="","",CALC_EEM!T129)</f>
      </c>
      <c r="U136">
        <f>IF(CALC_EEM!$B129="","",CALC_EEM!U129)</f>
      </c>
    </row>
    <row r="137" spans="1:24">
      <c r="A137" t="str">
        <f>IF(CALC_EEM!$B130="","",IF(CALC_EEM!A130="GLOBAL","GLOBAL",IF(CALC_EEM!C130="Total","CURSO_TOTAL",IF(CALC_EEM!C130="TotalEsp","CURSO_ESP",IF(CALC_EEM!C130="TotalNoEsp","CURSO_NOESP","CURSO_ASIG")))))</f>
      </c>
      <c r="B137" t="str">
        <f>IF(CALC_EEM!$B130="","",CALC_EEM!A130)</f>
      </c>
      <c r="C137" t="str">
        <f>IF(CALC_EEM!$B130="","",CALC_EEM!B130)</f>
      </c>
      <c r="D137">
        <f>IF(CALC_EEM!$B130="","",CALC_EEM!D130)</f>
      </c>
      <c r="E137" s="14" t="str">
        <f>IF(CALC_EEM!$B130="","",CALC_EEM!E130)</f>
      </c>
      <c r="F137" s="14" t="str">
        <f>IF(CALC_EEM!$B130="","",CALC_EEM!F130)</f>
      </c>
      <c r="G137" t="str">
        <f>IF(CALC_EEM!$B130="","",CALC_EEM!G130)</f>
      </c>
      <c r="H137" s="16" t="str">
        <f>IF(CALC_EEM!$B130="","",CALC_EEM!H130)</f>
      </c>
      <c r="I137" s="16" t="str">
        <f>IF(CALC_EEM!$B130="","",CALC_EEM!I130)</f>
      </c>
      <c r="J137" t="str">
        <f>IF(CALC_EEM!$B130="","",CALC_EEM!J130)</f>
      </c>
      <c r="K137" t="str">
        <f>IF(CALC_EEM!$B130="","",CALC_EEM!K130)</f>
      </c>
      <c r="L137">
        <f>IF(CALC_EEM!$B130="","",CALC_EEM!L130)</f>
      </c>
      <c r="M137">
        <f>IF(CALC_EEM!$B130="","",CALC_EEM!M130)</f>
      </c>
      <c r="N137">
        <f>IF(CALC_EEM!$B130="","",CALC_EEM!N130)</f>
      </c>
      <c r="O137">
        <f>IF(CALC_EEM!$B130="","",CALC_EEM!O130)</f>
      </c>
      <c r="P137">
        <f>IF(CALC_EEM!$B130="","",CALC_EEM!P130)</f>
      </c>
      <c r="Q137">
        <f>IF(CALC_EEM!$B130="","",CALC_EEM!Q130)</f>
      </c>
      <c r="R137">
        <f>IF(CALC_EEM!$B130="","",CALC_EEM!R130)</f>
      </c>
      <c r="S137">
        <f>IF(CALC_EEM!$B130="","",CALC_EEM!S130)</f>
      </c>
      <c r="T137">
        <f>IF(CALC_EEM!$B130="","",CALC_EEM!T130)</f>
      </c>
      <c r="U137">
        <f>IF(CALC_EEM!$B130="","",CALC_EEM!U130)</f>
      </c>
    </row>
    <row r="138" spans="1:24">
      <c r="A138" t="str">
        <f>IF(CALC_EEM!$B131="","",IF(CALC_EEM!A131="GLOBAL","GLOBAL",IF(CALC_EEM!C131="Total","CURSO_TOTAL",IF(CALC_EEM!C131="TotalEsp","CURSO_ESP",IF(CALC_EEM!C131="TotalNoEsp","CURSO_NOESP","CURSO_ASIG")))))</f>
      </c>
      <c r="B138" t="str">
        <f>IF(CALC_EEM!$B131="","",CALC_EEM!A131)</f>
      </c>
      <c r="C138" t="str">
        <f>IF(CALC_EEM!$B131="","",CALC_EEM!B131)</f>
      </c>
      <c r="D138">
        <f>IF(CALC_EEM!$B131="","",CALC_EEM!D131)</f>
      </c>
      <c r="E138" s="14" t="str">
        <f>IF(CALC_EEM!$B131="","",CALC_EEM!E131)</f>
      </c>
      <c r="F138" s="14" t="str">
        <f>IF(CALC_EEM!$B131="","",CALC_EEM!F131)</f>
      </c>
      <c r="G138" t="str">
        <f>IF(CALC_EEM!$B131="","",CALC_EEM!G131)</f>
      </c>
      <c r="H138" s="16" t="str">
        <f>IF(CALC_EEM!$B131="","",CALC_EEM!H131)</f>
      </c>
      <c r="I138" s="16" t="str">
        <f>IF(CALC_EEM!$B131="","",CALC_EEM!I131)</f>
      </c>
      <c r="J138" t="str">
        <f>IF(CALC_EEM!$B131="","",CALC_EEM!J131)</f>
      </c>
      <c r="K138" t="str">
        <f>IF(CALC_EEM!$B131="","",CALC_EEM!K131)</f>
      </c>
      <c r="L138">
        <f>IF(CALC_EEM!$B131="","",CALC_EEM!L131)</f>
      </c>
      <c r="M138">
        <f>IF(CALC_EEM!$B131="","",CALC_EEM!M131)</f>
      </c>
      <c r="N138">
        <f>IF(CALC_EEM!$B131="","",CALC_EEM!N131)</f>
      </c>
      <c r="O138">
        <f>IF(CALC_EEM!$B131="","",CALC_EEM!O131)</f>
      </c>
      <c r="P138">
        <f>IF(CALC_EEM!$B131="","",CALC_EEM!P131)</f>
      </c>
      <c r="Q138">
        <f>IF(CALC_EEM!$B131="","",CALC_EEM!Q131)</f>
      </c>
      <c r="R138">
        <f>IF(CALC_EEM!$B131="","",CALC_EEM!R131)</f>
      </c>
      <c r="S138">
        <f>IF(CALC_EEM!$B131="","",CALC_EEM!S131)</f>
      </c>
      <c r="T138">
        <f>IF(CALC_EEM!$B131="","",CALC_EEM!T131)</f>
      </c>
      <c r="U138">
        <f>IF(CALC_EEM!$B131="","",CALC_EEM!U131)</f>
      </c>
    </row>
    <row r="139" spans="1:24">
      <c r="A139" t="str">
        <f>IF(CALC_EEM!$B132="","",IF(CALC_EEM!A132="GLOBAL","GLOBAL",IF(CALC_EEM!C132="Total","CURSO_TOTAL",IF(CALC_EEM!C132="TotalEsp","CURSO_ESP",IF(CALC_EEM!C132="TotalNoEsp","CURSO_NOESP","CURSO_ASIG")))))</f>
      </c>
      <c r="B139" t="str">
        <f>IF(CALC_EEM!$B132="","",CALC_EEM!A132)</f>
      </c>
      <c r="C139" t="str">
        <f>IF(CALC_EEM!$B132="","",CALC_EEM!B132)</f>
      </c>
      <c r="D139">
        <f>IF(CALC_EEM!$B132="","",CALC_EEM!D132)</f>
      </c>
      <c r="E139" s="14" t="str">
        <f>IF(CALC_EEM!$B132="","",CALC_EEM!E132)</f>
      </c>
      <c r="F139" s="14" t="str">
        <f>IF(CALC_EEM!$B132="","",CALC_EEM!F132)</f>
      </c>
      <c r="G139" t="str">
        <f>IF(CALC_EEM!$B132="","",CALC_EEM!G132)</f>
      </c>
      <c r="H139" s="16" t="str">
        <f>IF(CALC_EEM!$B132="","",CALC_EEM!H132)</f>
      </c>
      <c r="I139" s="16" t="str">
        <f>IF(CALC_EEM!$B132="","",CALC_EEM!I132)</f>
      </c>
      <c r="J139" t="str">
        <f>IF(CALC_EEM!$B132="","",CALC_EEM!J132)</f>
      </c>
      <c r="K139" t="str">
        <f>IF(CALC_EEM!$B132="","",CALC_EEM!K132)</f>
      </c>
      <c r="L139">
        <f>IF(CALC_EEM!$B132="","",CALC_EEM!L132)</f>
      </c>
      <c r="M139">
        <f>IF(CALC_EEM!$B132="","",CALC_EEM!M132)</f>
      </c>
      <c r="N139">
        <f>IF(CALC_EEM!$B132="","",CALC_EEM!N132)</f>
      </c>
      <c r="O139">
        <f>IF(CALC_EEM!$B132="","",CALC_EEM!O132)</f>
      </c>
      <c r="P139">
        <f>IF(CALC_EEM!$B132="","",CALC_EEM!P132)</f>
      </c>
      <c r="Q139">
        <f>IF(CALC_EEM!$B132="","",CALC_EEM!Q132)</f>
      </c>
      <c r="R139">
        <f>IF(CALC_EEM!$B132="","",CALC_EEM!R132)</f>
      </c>
      <c r="S139">
        <f>IF(CALC_EEM!$B132="","",CALC_EEM!S132)</f>
      </c>
      <c r="T139">
        <f>IF(CALC_EEM!$B132="","",CALC_EEM!T132)</f>
      </c>
      <c r="U139">
        <f>IF(CALC_EEM!$B132="","",CALC_EEM!U132)</f>
      </c>
    </row>
    <row r="140" spans="1:24">
      <c r="A140" t="str">
        <f>IF(CALC_EEM!$B133="","",IF(CALC_EEM!A133="GLOBAL","GLOBAL",IF(CALC_EEM!C133="Total","CURSO_TOTAL",IF(CALC_EEM!C133="TotalEsp","CURSO_ESP",IF(CALC_EEM!C133="TotalNoEsp","CURSO_NOESP","CURSO_ASIG")))))</f>
      </c>
      <c r="B140" t="str">
        <f>IF(CALC_EEM!$B133="","",CALC_EEM!A133)</f>
      </c>
      <c r="C140" t="str">
        <f>IF(CALC_EEM!$B133="","",CALC_EEM!B133)</f>
      </c>
      <c r="D140">
        <f>IF(CALC_EEM!$B133="","",CALC_EEM!D133)</f>
      </c>
      <c r="E140" s="14" t="str">
        <f>IF(CALC_EEM!$B133="","",CALC_EEM!E133)</f>
      </c>
      <c r="F140" s="14" t="str">
        <f>IF(CALC_EEM!$B133="","",CALC_EEM!F133)</f>
      </c>
      <c r="G140" t="str">
        <f>IF(CALC_EEM!$B133="","",CALC_EEM!G133)</f>
      </c>
      <c r="H140" s="16" t="str">
        <f>IF(CALC_EEM!$B133="","",CALC_EEM!H133)</f>
      </c>
      <c r="I140" s="16" t="str">
        <f>IF(CALC_EEM!$B133="","",CALC_EEM!I133)</f>
      </c>
      <c r="J140" t="str">
        <f>IF(CALC_EEM!$B133="","",CALC_EEM!J133)</f>
      </c>
      <c r="K140" t="str">
        <f>IF(CALC_EEM!$B133="","",CALC_EEM!K133)</f>
      </c>
      <c r="L140">
        <f>IF(CALC_EEM!$B133="","",CALC_EEM!L133)</f>
      </c>
      <c r="M140">
        <f>IF(CALC_EEM!$B133="","",CALC_EEM!M133)</f>
      </c>
      <c r="N140">
        <f>IF(CALC_EEM!$B133="","",CALC_EEM!N133)</f>
      </c>
      <c r="O140">
        <f>IF(CALC_EEM!$B133="","",CALC_EEM!O133)</f>
      </c>
      <c r="P140">
        <f>IF(CALC_EEM!$B133="","",CALC_EEM!P133)</f>
      </c>
      <c r="Q140">
        <f>IF(CALC_EEM!$B133="","",CALC_EEM!Q133)</f>
      </c>
      <c r="R140">
        <f>IF(CALC_EEM!$B133="","",CALC_EEM!R133)</f>
      </c>
      <c r="S140">
        <f>IF(CALC_EEM!$B133="","",CALC_EEM!S133)</f>
      </c>
      <c r="T140">
        <f>IF(CALC_EEM!$B133="","",CALC_EEM!T133)</f>
      </c>
      <c r="U140">
        <f>IF(CALC_EEM!$B133="","",CALC_EEM!U133)</f>
      </c>
    </row>
    <row r="141" spans="1:24">
      <c r="A141" t="str">
        <f>IF(CALC_EEM!$B134="","",IF(CALC_EEM!A134="GLOBAL","GLOBAL",IF(CALC_EEM!C134="Total","CURSO_TOTAL",IF(CALC_EEM!C134="TotalEsp","CURSO_ESP",IF(CALC_EEM!C134="TotalNoEsp","CURSO_NOESP","CURSO_ASIG")))))</f>
      </c>
      <c r="B141" t="str">
        <f>IF(CALC_EEM!$B134="","",CALC_EEM!A134)</f>
      </c>
      <c r="C141" t="str">
        <f>IF(CALC_EEM!$B134="","",CALC_EEM!B134)</f>
      </c>
      <c r="D141">
        <f>IF(CALC_EEM!$B134="","",CALC_EEM!D134)</f>
      </c>
      <c r="E141" s="14" t="str">
        <f>IF(CALC_EEM!$B134="","",CALC_EEM!E134)</f>
      </c>
      <c r="F141" s="14" t="str">
        <f>IF(CALC_EEM!$B134="","",CALC_EEM!F134)</f>
      </c>
      <c r="G141" t="str">
        <f>IF(CALC_EEM!$B134="","",CALC_EEM!G134)</f>
      </c>
      <c r="H141" s="16" t="str">
        <f>IF(CALC_EEM!$B134="","",CALC_EEM!H134)</f>
      </c>
      <c r="I141" s="16" t="str">
        <f>IF(CALC_EEM!$B134="","",CALC_EEM!I134)</f>
      </c>
      <c r="J141" t="str">
        <f>IF(CALC_EEM!$B134="","",CALC_EEM!J134)</f>
      </c>
      <c r="K141" t="str">
        <f>IF(CALC_EEM!$B134="","",CALC_EEM!K134)</f>
      </c>
      <c r="L141">
        <f>IF(CALC_EEM!$B134="","",CALC_EEM!L134)</f>
      </c>
      <c r="M141">
        <f>IF(CALC_EEM!$B134="","",CALC_EEM!M134)</f>
      </c>
      <c r="N141">
        <f>IF(CALC_EEM!$B134="","",CALC_EEM!N134)</f>
      </c>
      <c r="O141">
        <f>IF(CALC_EEM!$B134="","",CALC_EEM!O134)</f>
      </c>
      <c r="P141">
        <f>IF(CALC_EEM!$B134="","",CALC_EEM!P134)</f>
      </c>
      <c r="Q141">
        <f>IF(CALC_EEM!$B134="","",CALC_EEM!Q134)</f>
      </c>
      <c r="R141">
        <f>IF(CALC_EEM!$B134="","",CALC_EEM!R134)</f>
      </c>
      <c r="S141">
        <f>IF(CALC_EEM!$B134="","",CALC_EEM!S134)</f>
      </c>
      <c r="T141">
        <f>IF(CALC_EEM!$B134="","",CALC_EEM!T134)</f>
      </c>
      <c r="U141">
        <f>IF(CALC_EEM!$B134="","",CALC_EEM!U134)</f>
      </c>
    </row>
    <row r="142" spans="1:24">
      <c r="A142" t="str">
        <f>IF(CALC_EEM!$B135="","",IF(CALC_EEM!A135="GLOBAL","GLOBAL",IF(CALC_EEM!C135="Total","CURSO_TOTAL",IF(CALC_EEM!C135="TotalEsp","CURSO_ESP",IF(CALC_EEM!C135="TotalNoEsp","CURSO_NOESP","CURSO_ASIG")))))</f>
      </c>
      <c r="B142" t="str">
        <f>IF(CALC_EEM!$B135="","",CALC_EEM!A135)</f>
      </c>
      <c r="C142" t="str">
        <f>IF(CALC_EEM!$B135="","",CALC_EEM!B135)</f>
      </c>
      <c r="D142">
        <f>IF(CALC_EEM!$B135="","",CALC_EEM!D135)</f>
      </c>
      <c r="E142" s="14" t="str">
        <f>IF(CALC_EEM!$B135="","",CALC_EEM!E135)</f>
      </c>
      <c r="F142" s="14" t="str">
        <f>IF(CALC_EEM!$B135="","",CALC_EEM!F135)</f>
      </c>
      <c r="G142" t="str">
        <f>IF(CALC_EEM!$B135="","",CALC_EEM!G135)</f>
      </c>
      <c r="H142" s="16" t="str">
        <f>IF(CALC_EEM!$B135="","",CALC_EEM!H135)</f>
      </c>
      <c r="I142" s="16" t="str">
        <f>IF(CALC_EEM!$B135="","",CALC_EEM!I135)</f>
      </c>
      <c r="J142" t="str">
        <f>IF(CALC_EEM!$B135="","",CALC_EEM!J135)</f>
      </c>
      <c r="K142" t="str">
        <f>IF(CALC_EEM!$B135="","",CALC_EEM!K135)</f>
      </c>
      <c r="L142">
        <f>IF(CALC_EEM!$B135="","",CALC_EEM!L135)</f>
      </c>
      <c r="M142">
        <f>IF(CALC_EEM!$B135="","",CALC_EEM!M135)</f>
      </c>
      <c r="N142">
        <f>IF(CALC_EEM!$B135="","",CALC_EEM!N135)</f>
      </c>
      <c r="O142">
        <f>IF(CALC_EEM!$B135="","",CALC_EEM!O135)</f>
      </c>
      <c r="P142">
        <f>IF(CALC_EEM!$B135="","",CALC_EEM!P135)</f>
      </c>
      <c r="Q142">
        <f>IF(CALC_EEM!$B135="","",CALC_EEM!Q135)</f>
      </c>
      <c r="R142">
        <f>IF(CALC_EEM!$B135="","",CALC_EEM!R135)</f>
      </c>
      <c r="S142">
        <f>IF(CALC_EEM!$B135="","",CALC_EEM!S135)</f>
      </c>
      <c r="T142">
        <f>IF(CALC_EEM!$B135="","",CALC_EEM!T135)</f>
      </c>
      <c r="U142">
        <f>IF(CALC_EEM!$B135="","",CALC_EEM!U135)</f>
      </c>
    </row>
    <row r="143" spans="1:24">
      <c r="A143" t="str">
        <f>IF(CALC_EEM!$B136="","",IF(CALC_EEM!A136="GLOBAL","GLOBAL",IF(CALC_EEM!C136="Total","CURSO_TOTAL",IF(CALC_EEM!C136="TotalEsp","CURSO_ESP",IF(CALC_EEM!C136="TotalNoEsp","CURSO_NOESP","CURSO_ASIG")))))</f>
      </c>
      <c r="B143" t="str">
        <f>IF(CALC_EEM!$B136="","",CALC_EEM!A136)</f>
      </c>
      <c r="C143" t="str">
        <f>IF(CALC_EEM!$B136="","",CALC_EEM!B136)</f>
      </c>
      <c r="D143">
        <f>IF(CALC_EEM!$B136="","",CALC_EEM!D136)</f>
      </c>
      <c r="E143" s="14" t="str">
        <f>IF(CALC_EEM!$B136="","",CALC_EEM!E136)</f>
      </c>
      <c r="F143" s="14" t="str">
        <f>IF(CALC_EEM!$B136="","",CALC_EEM!F136)</f>
      </c>
      <c r="G143" t="str">
        <f>IF(CALC_EEM!$B136="","",CALC_EEM!G136)</f>
      </c>
      <c r="H143" s="16" t="str">
        <f>IF(CALC_EEM!$B136="","",CALC_EEM!H136)</f>
      </c>
      <c r="I143" s="16" t="str">
        <f>IF(CALC_EEM!$B136="","",CALC_EEM!I136)</f>
      </c>
      <c r="J143" t="str">
        <f>IF(CALC_EEM!$B136="","",CALC_EEM!J136)</f>
      </c>
      <c r="K143" t="str">
        <f>IF(CALC_EEM!$B136="","",CALC_EEM!K136)</f>
      </c>
      <c r="L143">
        <f>IF(CALC_EEM!$B136="","",CALC_EEM!L136)</f>
      </c>
      <c r="M143">
        <f>IF(CALC_EEM!$B136="","",CALC_EEM!M136)</f>
      </c>
      <c r="N143">
        <f>IF(CALC_EEM!$B136="","",CALC_EEM!N136)</f>
      </c>
      <c r="O143">
        <f>IF(CALC_EEM!$B136="","",CALC_EEM!O136)</f>
      </c>
      <c r="P143">
        <f>IF(CALC_EEM!$B136="","",CALC_EEM!P136)</f>
      </c>
      <c r="Q143">
        <f>IF(CALC_EEM!$B136="","",CALC_EEM!Q136)</f>
      </c>
      <c r="R143">
        <f>IF(CALC_EEM!$B136="","",CALC_EEM!R136)</f>
      </c>
      <c r="S143">
        <f>IF(CALC_EEM!$B136="","",CALC_EEM!S136)</f>
      </c>
      <c r="T143">
        <f>IF(CALC_EEM!$B136="","",CALC_EEM!T136)</f>
      </c>
      <c r="U143">
        <f>IF(CALC_EEM!$B136="","",CALC_EEM!U136)</f>
      </c>
    </row>
    <row r="144" spans="1:24">
      <c r="A144" t="str">
        <f>IF(CALC_EEM!$B137="","",IF(CALC_EEM!A137="GLOBAL","GLOBAL",IF(CALC_EEM!C137="Total","CURSO_TOTAL",IF(CALC_EEM!C137="TotalEsp","CURSO_ESP",IF(CALC_EEM!C137="TotalNoEsp","CURSO_NOESP","CURSO_ASIG")))))</f>
      </c>
      <c r="B144" t="str">
        <f>IF(CALC_EEM!$B137="","",CALC_EEM!A137)</f>
      </c>
      <c r="C144" t="str">
        <f>IF(CALC_EEM!$B137="","",CALC_EEM!B137)</f>
      </c>
      <c r="D144">
        <f>IF(CALC_EEM!$B137="","",CALC_EEM!D137)</f>
      </c>
      <c r="E144" s="14" t="str">
        <f>IF(CALC_EEM!$B137="","",CALC_EEM!E137)</f>
      </c>
      <c r="F144" s="14" t="str">
        <f>IF(CALC_EEM!$B137="","",CALC_EEM!F137)</f>
      </c>
      <c r="G144" t="str">
        <f>IF(CALC_EEM!$B137="","",CALC_EEM!G137)</f>
      </c>
      <c r="H144" s="16" t="str">
        <f>IF(CALC_EEM!$B137="","",CALC_EEM!H137)</f>
      </c>
      <c r="I144" s="16" t="str">
        <f>IF(CALC_EEM!$B137="","",CALC_EEM!I137)</f>
      </c>
      <c r="J144" t="str">
        <f>IF(CALC_EEM!$B137="","",CALC_EEM!J137)</f>
      </c>
      <c r="K144" t="str">
        <f>IF(CALC_EEM!$B137="","",CALC_EEM!K137)</f>
      </c>
      <c r="L144">
        <f>IF(CALC_EEM!$B137="","",CALC_EEM!L137)</f>
      </c>
      <c r="M144">
        <f>IF(CALC_EEM!$B137="","",CALC_EEM!M137)</f>
      </c>
      <c r="N144">
        <f>IF(CALC_EEM!$B137="","",CALC_EEM!N137)</f>
      </c>
      <c r="O144">
        <f>IF(CALC_EEM!$B137="","",CALC_EEM!O137)</f>
      </c>
      <c r="P144">
        <f>IF(CALC_EEM!$B137="","",CALC_EEM!P137)</f>
      </c>
      <c r="Q144">
        <f>IF(CALC_EEM!$B137="","",CALC_EEM!Q137)</f>
      </c>
      <c r="R144">
        <f>IF(CALC_EEM!$B137="","",CALC_EEM!R137)</f>
      </c>
      <c r="S144">
        <f>IF(CALC_EEM!$B137="","",CALC_EEM!S137)</f>
      </c>
      <c r="T144">
        <f>IF(CALC_EEM!$B137="","",CALC_EEM!T137)</f>
      </c>
      <c r="U144">
        <f>IF(CALC_EEM!$B137="","",CALC_EEM!U137)</f>
      </c>
    </row>
    <row r="145" spans="1:24">
      <c r="A145" t="str">
        <f>IF(CALC_EEM!$B138="","",IF(CALC_EEM!A138="GLOBAL","GLOBAL",IF(CALC_EEM!C138="Total","CURSO_TOTAL",IF(CALC_EEM!C138="TotalEsp","CURSO_ESP",IF(CALC_EEM!C138="TotalNoEsp","CURSO_NOESP","CURSO_ASIG")))))</f>
      </c>
      <c r="B145" t="str">
        <f>IF(CALC_EEM!$B138="","",CALC_EEM!A138)</f>
      </c>
      <c r="C145" t="str">
        <f>IF(CALC_EEM!$B138="","",CALC_EEM!B138)</f>
      </c>
      <c r="D145">
        <f>IF(CALC_EEM!$B138="","",CALC_EEM!D138)</f>
      </c>
      <c r="E145" s="14" t="str">
        <f>IF(CALC_EEM!$B138="","",CALC_EEM!E138)</f>
      </c>
      <c r="F145" s="14" t="str">
        <f>IF(CALC_EEM!$B138="","",CALC_EEM!F138)</f>
      </c>
      <c r="G145" t="str">
        <f>IF(CALC_EEM!$B138="","",CALC_EEM!G138)</f>
      </c>
      <c r="H145" s="16" t="str">
        <f>IF(CALC_EEM!$B138="","",CALC_EEM!H138)</f>
      </c>
      <c r="I145" s="16" t="str">
        <f>IF(CALC_EEM!$B138="","",CALC_EEM!I138)</f>
      </c>
      <c r="J145" t="str">
        <f>IF(CALC_EEM!$B138="","",CALC_EEM!J138)</f>
      </c>
      <c r="K145" t="str">
        <f>IF(CALC_EEM!$B138="","",CALC_EEM!K138)</f>
      </c>
      <c r="L145">
        <f>IF(CALC_EEM!$B138="","",CALC_EEM!L138)</f>
      </c>
      <c r="M145">
        <f>IF(CALC_EEM!$B138="","",CALC_EEM!M138)</f>
      </c>
      <c r="N145">
        <f>IF(CALC_EEM!$B138="","",CALC_EEM!N138)</f>
      </c>
      <c r="O145">
        <f>IF(CALC_EEM!$B138="","",CALC_EEM!O138)</f>
      </c>
      <c r="P145">
        <f>IF(CALC_EEM!$B138="","",CALC_EEM!P138)</f>
      </c>
      <c r="Q145">
        <f>IF(CALC_EEM!$B138="","",CALC_EEM!Q138)</f>
      </c>
      <c r="R145">
        <f>IF(CALC_EEM!$B138="","",CALC_EEM!R138)</f>
      </c>
      <c r="S145">
        <f>IF(CALC_EEM!$B138="","",CALC_EEM!S138)</f>
      </c>
      <c r="T145">
        <f>IF(CALC_EEM!$B138="","",CALC_EEM!T138)</f>
      </c>
      <c r="U145">
        <f>IF(CALC_EEM!$B138="","",CALC_EEM!U138)</f>
      </c>
    </row>
    <row r="146" spans="1:24">
      <c r="A146" t="str">
        <f>IF(CALC_EEM!$B139="","",IF(CALC_EEM!A139="GLOBAL","GLOBAL",IF(CALC_EEM!C139="Total","CURSO_TOTAL",IF(CALC_EEM!C139="TotalEsp","CURSO_ESP",IF(CALC_EEM!C139="TotalNoEsp","CURSO_NOESP","CURSO_ASIG")))))</f>
      </c>
      <c r="B146" t="str">
        <f>IF(CALC_EEM!$B139="","",CALC_EEM!A139)</f>
      </c>
      <c r="C146" t="str">
        <f>IF(CALC_EEM!$B139="","",CALC_EEM!B139)</f>
      </c>
      <c r="D146">
        <f>IF(CALC_EEM!$B139="","",CALC_EEM!D139)</f>
      </c>
      <c r="E146" s="14" t="str">
        <f>IF(CALC_EEM!$B139="","",CALC_EEM!E139)</f>
      </c>
      <c r="F146" s="14" t="str">
        <f>IF(CALC_EEM!$B139="","",CALC_EEM!F139)</f>
      </c>
      <c r="G146" t="str">
        <f>IF(CALC_EEM!$B139="","",CALC_EEM!G139)</f>
      </c>
      <c r="H146" s="16" t="str">
        <f>IF(CALC_EEM!$B139="","",CALC_EEM!H139)</f>
      </c>
      <c r="I146" s="16" t="str">
        <f>IF(CALC_EEM!$B139="","",CALC_EEM!I139)</f>
      </c>
      <c r="J146" t="str">
        <f>IF(CALC_EEM!$B139="","",CALC_EEM!J139)</f>
      </c>
      <c r="K146" t="str">
        <f>IF(CALC_EEM!$B139="","",CALC_EEM!K139)</f>
      </c>
      <c r="L146">
        <f>IF(CALC_EEM!$B139="","",CALC_EEM!L139)</f>
      </c>
      <c r="M146">
        <f>IF(CALC_EEM!$B139="","",CALC_EEM!M139)</f>
      </c>
      <c r="N146">
        <f>IF(CALC_EEM!$B139="","",CALC_EEM!N139)</f>
      </c>
      <c r="O146">
        <f>IF(CALC_EEM!$B139="","",CALC_EEM!O139)</f>
      </c>
      <c r="P146">
        <f>IF(CALC_EEM!$B139="","",CALC_EEM!P139)</f>
      </c>
      <c r="Q146">
        <f>IF(CALC_EEM!$B139="","",CALC_EEM!Q139)</f>
      </c>
      <c r="R146">
        <f>IF(CALC_EEM!$B139="","",CALC_EEM!R139)</f>
      </c>
      <c r="S146">
        <f>IF(CALC_EEM!$B139="","",CALC_EEM!S139)</f>
      </c>
      <c r="T146">
        <f>IF(CALC_EEM!$B139="","",CALC_EEM!T139)</f>
      </c>
      <c r="U146">
        <f>IF(CALC_EEM!$B139="","",CALC_EEM!U139)</f>
      </c>
    </row>
    <row r="147" spans="1:24">
      <c r="A147" t="str">
        <f>IF(CALC_EEM!$B140="","",IF(CALC_EEM!A140="GLOBAL","GLOBAL",IF(CALC_EEM!C140="Total","CURSO_TOTAL",IF(CALC_EEM!C140="TotalEsp","CURSO_ESP",IF(CALC_EEM!C140="TotalNoEsp","CURSO_NOESP","CURSO_ASIG")))))</f>
      </c>
      <c r="B147" t="str">
        <f>IF(CALC_EEM!$B140="","",CALC_EEM!A140)</f>
      </c>
      <c r="C147" t="str">
        <f>IF(CALC_EEM!$B140="","",CALC_EEM!B140)</f>
      </c>
      <c r="D147">
        <f>IF(CALC_EEM!$B140="","",CALC_EEM!D140)</f>
      </c>
      <c r="E147" s="14" t="str">
        <f>IF(CALC_EEM!$B140="","",CALC_EEM!E140)</f>
      </c>
      <c r="F147" s="14" t="str">
        <f>IF(CALC_EEM!$B140="","",CALC_EEM!F140)</f>
      </c>
      <c r="G147" t="str">
        <f>IF(CALC_EEM!$B140="","",CALC_EEM!G140)</f>
      </c>
      <c r="H147" s="16" t="str">
        <f>IF(CALC_EEM!$B140="","",CALC_EEM!H140)</f>
      </c>
      <c r="I147" s="16" t="str">
        <f>IF(CALC_EEM!$B140="","",CALC_EEM!I140)</f>
      </c>
      <c r="J147" t="str">
        <f>IF(CALC_EEM!$B140="","",CALC_EEM!J140)</f>
      </c>
      <c r="K147" t="str">
        <f>IF(CALC_EEM!$B140="","",CALC_EEM!K140)</f>
      </c>
      <c r="L147">
        <f>IF(CALC_EEM!$B140="","",CALC_EEM!L140)</f>
      </c>
      <c r="M147">
        <f>IF(CALC_EEM!$B140="","",CALC_EEM!M140)</f>
      </c>
      <c r="N147">
        <f>IF(CALC_EEM!$B140="","",CALC_EEM!N140)</f>
      </c>
      <c r="O147">
        <f>IF(CALC_EEM!$B140="","",CALC_EEM!O140)</f>
      </c>
      <c r="P147">
        <f>IF(CALC_EEM!$B140="","",CALC_EEM!P140)</f>
      </c>
      <c r="Q147">
        <f>IF(CALC_EEM!$B140="","",CALC_EEM!Q140)</f>
      </c>
      <c r="R147">
        <f>IF(CALC_EEM!$B140="","",CALC_EEM!R140)</f>
      </c>
      <c r="S147">
        <f>IF(CALC_EEM!$B140="","",CALC_EEM!S140)</f>
      </c>
      <c r="T147">
        <f>IF(CALC_EEM!$B140="","",CALC_EEM!T140)</f>
      </c>
      <c r="U147">
        <f>IF(CALC_EEM!$B140="","",CALC_EEM!U140)</f>
      </c>
    </row>
    <row r="148" spans="1:24">
      <c r="A148" t="str">
        <f>IF(CALC_EEM!$B141="","",IF(CALC_EEM!A141="GLOBAL","GLOBAL",IF(CALC_EEM!C141="Total","CURSO_TOTAL",IF(CALC_EEM!C141="TotalEsp","CURSO_ESP",IF(CALC_EEM!C141="TotalNoEsp","CURSO_NOESP","CURSO_ASIG")))))</f>
      </c>
      <c r="B148" t="str">
        <f>IF(CALC_EEM!$B141="","",CALC_EEM!A141)</f>
      </c>
      <c r="C148" t="str">
        <f>IF(CALC_EEM!$B141="","",CALC_EEM!B141)</f>
      </c>
      <c r="D148">
        <f>IF(CALC_EEM!$B141="","",CALC_EEM!D141)</f>
      </c>
      <c r="E148" s="14" t="str">
        <f>IF(CALC_EEM!$B141="","",CALC_EEM!E141)</f>
      </c>
      <c r="F148" s="14" t="str">
        <f>IF(CALC_EEM!$B141="","",CALC_EEM!F141)</f>
      </c>
      <c r="G148" t="str">
        <f>IF(CALC_EEM!$B141="","",CALC_EEM!G141)</f>
      </c>
      <c r="H148" s="16" t="str">
        <f>IF(CALC_EEM!$B141="","",CALC_EEM!H141)</f>
      </c>
      <c r="I148" s="16" t="str">
        <f>IF(CALC_EEM!$B141="","",CALC_EEM!I141)</f>
      </c>
      <c r="J148" t="str">
        <f>IF(CALC_EEM!$B141="","",CALC_EEM!J141)</f>
      </c>
      <c r="K148" t="str">
        <f>IF(CALC_EEM!$B141="","",CALC_EEM!K141)</f>
      </c>
      <c r="L148">
        <f>IF(CALC_EEM!$B141="","",CALC_EEM!L141)</f>
      </c>
      <c r="M148">
        <f>IF(CALC_EEM!$B141="","",CALC_EEM!M141)</f>
      </c>
      <c r="N148">
        <f>IF(CALC_EEM!$B141="","",CALC_EEM!N141)</f>
      </c>
      <c r="O148">
        <f>IF(CALC_EEM!$B141="","",CALC_EEM!O141)</f>
      </c>
      <c r="P148">
        <f>IF(CALC_EEM!$B141="","",CALC_EEM!P141)</f>
      </c>
      <c r="Q148">
        <f>IF(CALC_EEM!$B141="","",CALC_EEM!Q141)</f>
      </c>
      <c r="R148">
        <f>IF(CALC_EEM!$B141="","",CALC_EEM!R141)</f>
      </c>
      <c r="S148">
        <f>IF(CALC_EEM!$B141="","",CALC_EEM!S141)</f>
      </c>
      <c r="T148">
        <f>IF(CALC_EEM!$B141="","",CALC_EEM!T141)</f>
      </c>
      <c r="U148">
        <f>IF(CALC_EEM!$B141="","",CALC_EEM!U141)</f>
      </c>
    </row>
    <row r="149" spans="1:24">
      <c r="A149" t="str">
        <f>IF(CALC_EEM!$B142="","",IF(CALC_EEM!A142="GLOBAL","GLOBAL",IF(CALC_EEM!C142="Total","CURSO_TOTAL",IF(CALC_EEM!C142="TotalEsp","CURSO_ESP",IF(CALC_EEM!C142="TotalNoEsp","CURSO_NOESP","CURSO_ASIG")))))</f>
      </c>
      <c r="B149" t="str">
        <f>IF(CALC_EEM!$B142="","",CALC_EEM!A142)</f>
      </c>
      <c r="C149" t="str">
        <f>IF(CALC_EEM!$B142="","",CALC_EEM!B142)</f>
      </c>
      <c r="D149">
        <f>IF(CALC_EEM!$B142="","",CALC_EEM!D142)</f>
      </c>
      <c r="E149" s="14" t="str">
        <f>IF(CALC_EEM!$B142="","",CALC_EEM!E142)</f>
      </c>
      <c r="F149" s="14" t="str">
        <f>IF(CALC_EEM!$B142="","",CALC_EEM!F142)</f>
      </c>
      <c r="G149" t="str">
        <f>IF(CALC_EEM!$B142="","",CALC_EEM!G142)</f>
      </c>
      <c r="H149" s="16" t="str">
        <f>IF(CALC_EEM!$B142="","",CALC_EEM!H142)</f>
      </c>
      <c r="I149" s="16" t="str">
        <f>IF(CALC_EEM!$B142="","",CALC_EEM!I142)</f>
      </c>
      <c r="J149" t="str">
        <f>IF(CALC_EEM!$B142="","",CALC_EEM!J142)</f>
      </c>
      <c r="K149" t="str">
        <f>IF(CALC_EEM!$B142="","",CALC_EEM!K142)</f>
      </c>
      <c r="L149">
        <f>IF(CALC_EEM!$B142="","",CALC_EEM!L142)</f>
      </c>
      <c r="M149">
        <f>IF(CALC_EEM!$B142="","",CALC_EEM!M142)</f>
      </c>
      <c r="N149">
        <f>IF(CALC_EEM!$B142="","",CALC_EEM!N142)</f>
      </c>
      <c r="O149">
        <f>IF(CALC_EEM!$B142="","",CALC_EEM!O142)</f>
      </c>
      <c r="P149">
        <f>IF(CALC_EEM!$B142="","",CALC_EEM!P142)</f>
      </c>
      <c r="Q149">
        <f>IF(CALC_EEM!$B142="","",CALC_EEM!Q142)</f>
      </c>
      <c r="R149">
        <f>IF(CALC_EEM!$B142="","",CALC_EEM!R142)</f>
      </c>
      <c r="S149">
        <f>IF(CALC_EEM!$B142="","",CALC_EEM!S142)</f>
      </c>
      <c r="T149">
        <f>IF(CALC_EEM!$B142="","",CALC_EEM!T142)</f>
      </c>
      <c r="U149">
        <f>IF(CALC_EEM!$B142="","",CALC_EEM!U142)</f>
      </c>
    </row>
    <row r="150" spans="1:24">
      <c r="A150" t="str">
        <f>IF(CALC_EEM!$B143="","",IF(CALC_EEM!A143="GLOBAL","GLOBAL",IF(CALC_EEM!C143="Total","CURSO_TOTAL",IF(CALC_EEM!C143="TotalEsp","CURSO_ESP",IF(CALC_EEM!C143="TotalNoEsp","CURSO_NOESP","CURSO_ASIG")))))</f>
      </c>
      <c r="B150" t="str">
        <f>IF(CALC_EEM!$B143="","",CALC_EEM!A143)</f>
      </c>
      <c r="C150" t="str">
        <f>IF(CALC_EEM!$B143="","",CALC_EEM!B143)</f>
      </c>
      <c r="D150">
        <f>IF(CALC_EEM!$B143="","",CALC_EEM!D143)</f>
      </c>
      <c r="E150" s="14" t="str">
        <f>IF(CALC_EEM!$B143="","",CALC_EEM!E143)</f>
      </c>
      <c r="F150" s="14" t="str">
        <f>IF(CALC_EEM!$B143="","",CALC_EEM!F143)</f>
      </c>
      <c r="G150" t="str">
        <f>IF(CALC_EEM!$B143="","",CALC_EEM!G143)</f>
      </c>
      <c r="H150" s="16" t="str">
        <f>IF(CALC_EEM!$B143="","",CALC_EEM!H143)</f>
      </c>
      <c r="I150" s="16" t="str">
        <f>IF(CALC_EEM!$B143="","",CALC_EEM!I143)</f>
      </c>
      <c r="J150" t="str">
        <f>IF(CALC_EEM!$B143="","",CALC_EEM!J143)</f>
      </c>
      <c r="K150" t="str">
        <f>IF(CALC_EEM!$B143="","",CALC_EEM!K143)</f>
      </c>
      <c r="L150">
        <f>IF(CALC_EEM!$B143="","",CALC_EEM!L143)</f>
      </c>
      <c r="M150">
        <f>IF(CALC_EEM!$B143="","",CALC_EEM!M143)</f>
      </c>
      <c r="N150">
        <f>IF(CALC_EEM!$B143="","",CALC_EEM!N143)</f>
      </c>
      <c r="O150">
        <f>IF(CALC_EEM!$B143="","",CALC_EEM!O143)</f>
      </c>
      <c r="P150">
        <f>IF(CALC_EEM!$B143="","",CALC_EEM!P143)</f>
      </c>
      <c r="Q150">
        <f>IF(CALC_EEM!$B143="","",CALC_EEM!Q143)</f>
      </c>
      <c r="R150">
        <f>IF(CALC_EEM!$B143="","",CALC_EEM!R143)</f>
      </c>
      <c r="S150">
        <f>IF(CALC_EEM!$B143="","",CALC_EEM!S143)</f>
      </c>
      <c r="T150">
        <f>IF(CALC_EEM!$B143="","",CALC_EEM!T143)</f>
      </c>
      <c r="U150">
        <f>IF(CALC_EEM!$B143="","",CALC_EEM!U143)</f>
      </c>
    </row>
    <row r="151" spans="1:24">
      <c r="A151" t="str">
        <f>IF(CALC_EEM!$B144="","",IF(CALC_EEM!A144="GLOBAL","GLOBAL",IF(CALC_EEM!C144="Total","CURSO_TOTAL",IF(CALC_EEM!C144="TotalEsp","CURSO_ESP",IF(CALC_EEM!C144="TotalNoEsp","CURSO_NOESP","CURSO_ASIG")))))</f>
      </c>
      <c r="B151" t="str">
        <f>IF(CALC_EEM!$B144="","",CALC_EEM!A144)</f>
      </c>
      <c r="C151" t="str">
        <f>IF(CALC_EEM!$B144="","",CALC_EEM!B144)</f>
      </c>
      <c r="D151">
        <f>IF(CALC_EEM!$B144="","",CALC_EEM!D144)</f>
      </c>
      <c r="E151" s="14" t="str">
        <f>IF(CALC_EEM!$B144="","",CALC_EEM!E144)</f>
      </c>
      <c r="F151" s="14" t="str">
        <f>IF(CALC_EEM!$B144="","",CALC_EEM!F144)</f>
      </c>
      <c r="G151" t="str">
        <f>IF(CALC_EEM!$B144="","",CALC_EEM!G144)</f>
      </c>
      <c r="H151" s="16" t="str">
        <f>IF(CALC_EEM!$B144="","",CALC_EEM!H144)</f>
      </c>
      <c r="I151" s="16" t="str">
        <f>IF(CALC_EEM!$B144="","",CALC_EEM!I144)</f>
      </c>
      <c r="J151" t="str">
        <f>IF(CALC_EEM!$B144="","",CALC_EEM!J144)</f>
      </c>
      <c r="K151" t="str">
        <f>IF(CALC_EEM!$B144="","",CALC_EEM!K144)</f>
      </c>
      <c r="L151">
        <f>IF(CALC_EEM!$B144="","",CALC_EEM!L144)</f>
      </c>
      <c r="M151">
        <f>IF(CALC_EEM!$B144="","",CALC_EEM!M144)</f>
      </c>
      <c r="N151">
        <f>IF(CALC_EEM!$B144="","",CALC_EEM!N144)</f>
      </c>
      <c r="O151">
        <f>IF(CALC_EEM!$B144="","",CALC_EEM!O144)</f>
      </c>
      <c r="P151">
        <f>IF(CALC_EEM!$B144="","",CALC_EEM!P144)</f>
      </c>
      <c r="Q151">
        <f>IF(CALC_EEM!$B144="","",CALC_EEM!Q144)</f>
      </c>
      <c r="R151">
        <f>IF(CALC_EEM!$B144="","",CALC_EEM!R144)</f>
      </c>
      <c r="S151">
        <f>IF(CALC_EEM!$B144="","",CALC_EEM!S144)</f>
      </c>
      <c r="T151">
        <f>IF(CALC_EEM!$B144="","",CALC_EEM!T144)</f>
      </c>
      <c r="U151">
        <f>IF(CALC_EEM!$B144="","",CALC_EEM!U144)</f>
      </c>
    </row>
    <row r="152" spans="1:24">
      <c r="A152" t="str">
        <f>IF(CALC_EEM!$B145="","",IF(CALC_EEM!A145="GLOBAL","GLOBAL",IF(CALC_EEM!C145="Total","CURSO_TOTAL",IF(CALC_EEM!C145="TotalEsp","CURSO_ESP",IF(CALC_EEM!C145="TotalNoEsp","CURSO_NOESP","CURSO_ASIG")))))</f>
      </c>
      <c r="B152" t="str">
        <f>IF(CALC_EEM!$B145="","",CALC_EEM!A145)</f>
      </c>
      <c r="C152" t="str">
        <f>IF(CALC_EEM!$B145="","",CALC_EEM!B145)</f>
      </c>
      <c r="D152">
        <f>IF(CALC_EEM!$B145="","",CALC_EEM!D145)</f>
      </c>
      <c r="E152" s="14" t="str">
        <f>IF(CALC_EEM!$B145="","",CALC_EEM!E145)</f>
      </c>
      <c r="F152" s="14" t="str">
        <f>IF(CALC_EEM!$B145="","",CALC_EEM!F145)</f>
      </c>
      <c r="G152" t="str">
        <f>IF(CALC_EEM!$B145="","",CALC_EEM!G145)</f>
      </c>
      <c r="H152" s="16" t="str">
        <f>IF(CALC_EEM!$B145="","",CALC_EEM!H145)</f>
      </c>
      <c r="I152" s="16" t="str">
        <f>IF(CALC_EEM!$B145="","",CALC_EEM!I145)</f>
      </c>
      <c r="J152" t="str">
        <f>IF(CALC_EEM!$B145="","",CALC_EEM!J145)</f>
      </c>
      <c r="K152" t="str">
        <f>IF(CALC_EEM!$B145="","",CALC_EEM!K145)</f>
      </c>
      <c r="L152">
        <f>IF(CALC_EEM!$B145="","",CALC_EEM!L145)</f>
      </c>
      <c r="M152">
        <f>IF(CALC_EEM!$B145="","",CALC_EEM!M145)</f>
      </c>
      <c r="N152">
        <f>IF(CALC_EEM!$B145="","",CALC_EEM!N145)</f>
      </c>
      <c r="O152">
        <f>IF(CALC_EEM!$B145="","",CALC_EEM!O145)</f>
      </c>
      <c r="P152">
        <f>IF(CALC_EEM!$B145="","",CALC_EEM!P145)</f>
      </c>
      <c r="Q152">
        <f>IF(CALC_EEM!$B145="","",CALC_EEM!Q145)</f>
      </c>
      <c r="R152">
        <f>IF(CALC_EEM!$B145="","",CALC_EEM!R145)</f>
      </c>
      <c r="S152">
        <f>IF(CALC_EEM!$B145="","",CALC_EEM!S145)</f>
      </c>
      <c r="T152">
        <f>IF(CALC_EEM!$B145="","",CALC_EEM!T145)</f>
      </c>
      <c r="U152">
        <f>IF(CALC_EEM!$B145="","",CALC_EEM!U145)</f>
      </c>
    </row>
    <row r="153" spans="1:24">
      <c r="A153" t="str">
        <f>IF(CALC_EEM!$B146="","",IF(CALC_EEM!A146="GLOBAL","GLOBAL",IF(CALC_EEM!C146="Total","CURSO_TOTAL",IF(CALC_EEM!C146="TotalEsp","CURSO_ESP",IF(CALC_EEM!C146="TotalNoEsp","CURSO_NOESP","CURSO_ASIG")))))</f>
      </c>
      <c r="B153" t="str">
        <f>IF(CALC_EEM!$B146="","",CALC_EEM!A146)</f>
      </c>
      <c r="C153" t="str">
        <f>IF(CALC_EEM!$B146="","",CALC_EEM!B146)</f>
      </c>
      <c r="D153">
        <f>IF(CALC_EEM!$B146="","",CALC_EEM!D146)</f>
      </c>
      <c r="E153" s="14" t="str">
        <f>IF(CALC_EEM!$B146="","",CALC_EEM!E146)</f>
      </c>
      <c r="F153" s="14" t="str">
        <f>IF(CALC_EEM!$B146="","",CALC_EEM!F146)</f>
      </c>
      <c r="G153" t="str">
        <f>IF(CALC_EEM!$B146="","",CALC_EEM!G146)</f>
      </c>
      <c r="H153" s="16" t="str">
        <f>IF(CALC_EEM!$B146="","",CALC_EEM!H146)</f>
      </c>
      <c r="I153" s="16" t="str">
        <f>IF(CALC_EEM!$B146="","",CALC_EEM!I146)</f>
      </c>
      <c r="J153" t="str">
        <f>IF(CALC_EEM!$B146="","",CALC_EEM!J146)</f>
      </c>
      <c r="K153" t="str">
        <f>IF(CALC_EEM!$B146="","",CALC_EEM!K146)</f>
      </c>
      <c r="L153">
        <f>IF(CALC_EEM!$B146="","",CALC_EEM!L146)</f>
      </c>
      <c r="M153">
        <f>IF(CALC_EEM!$B146="","",CALC_EEM!M146)</f>
      </c>
      <c r="N153">
        <f>IF(CALC_EEM!$B146="","",CALC_EEM!N146)</f>
      </c>
      <c r="O153">
        <f>IF(CALC_EEM!$B146="","",CALC_EEM!O146)</f>
      </c>
      <c r="P153">
        <f>IF(CALC_EEM!$B146="","",CALC_EEM!P146)</f>
      </c>
      <c r="Q153">
        <f>IF(CALC_EEM!$B146="","",CALC_EEM!Q146)</f>
      </c>
      <c r="R153">
        <f>IF(CALC_EEM!$B146="","",CALC_EEM!R146)</f>
      </c>
      <c r="S153">
        <f>IF(CALC_EEM!$B146="","",CALC_EEM!S146)</f>
      </c>
      <c r="T153">
        <f>IF(CALC_EEM!$B146="","",CALC_EEM!T146)</f>
      </c>
      <c r="U153">
        <f>IF(CALC_EEM!$B146="","",CALC_EEM!U146)</f>
      </c>
    </row>
    <row r="154" spans="1:24">
      <c r="A154" t="str">
        <f>IF(CALC_EEM!$B147="","",IF(CALC_EEM!A147="GLOBAL","GLOBAL",IF(CALC_EEM!C147="Total","CURSO_TOTAL",IF(CALC_EEM!C147="TotalEsp","CURSO_ESP",IF(CALC_EEM!C147="TotalNoEsp","CURSO_NOESP","CURSO_ASIG")))))</f>
      </c>
      <c r="B154" t="str">
        <f>IF(CALC_EEM!$B147="","",CALC_EEM!A147)</f>
      </c>
      <c r="C154" t="str">
        <f>IF(CALC_EEM!$B147="","",CALC_EEM!B147)</f>
      </c>
      <c r="D154">
        <f>IF(CALC_EEM!$B147="","",CALC_EEM!D147)</f>
      </c>
      <c r="E154" s="14" t="str">
        <f>IF(CALC_EEM!$B147="","",CALC_EEM!E147)</f>
      </c>
      <c r="F154" s="14" t="str">
        <f>IF(CALC_EEM!$B147="","",CALC_EEM!F147)</f>
      </c>
      <c r="G154" t="str">
        <f>IF(CALC_EEM!$B147="","",CALC_EEM!G147)</f>
      </c>
      <c r="H154" s="16" t="str">
        <f>IF(CALC_EEM!$B147="","",CALC_EEM!H147)</f>
      </c>
      <c r="I154" s="16" t="str">
        <f>IF(CALC_EEM!$B147="","",CALC_EEM!I147)</f>
      </c>
      <c r="J154" t="str">
        <f>IF(CALC_EEM!$B147="","",CALC_EEM!J147)</f>
      </c>
      <c r="K154" t="str">
        <f>IF(CALC_EEM!$B147="","",CALC_EEM!K147)</f>
      </c>
      <c r="L154">
        <f>IF(CALC_EEM!$B147="","",CALC_EEM!L147)</f>
      </c>
      <c r="M154">
        <f>IF(CALC_EEM!$B147="","",CALC_EEM!M147)</f>
      </c>
      <c r="N154">
        <f>IF(CALC_EEM!$B147="","",CALC_EEM!N147)</f>
      </c>
      <c r="O154">
        <f>IF(CALC_EEM!$B147="","",CALC_EEM!O147)</f>
      </c>
      <c r="P154">
        <f>IF(CALC_EEM!$B147="","",CALC_EEM!P147)</f>
      </c>
      <c r="Q154">
        <f>IF(CALC_EEM!$B147="","",CALC_EEM!Q147)</f>
      </c>
      <c r="R154">
        <f>IF(CALC_EEM!$B147="","",CALC_EEM!R147)</f>
      </c>
      <c r="S154">
        <f>IF(CALC_EEM!$B147="","",CALC_EEM!S147)</f>
      </c>
      <c r="T154">
        <f>IF(CALC_EEM!$B147="","",CALC_EEM!T147)</f>
      </c>
      <c r="U154">
        <f>IF(CALC_EEM!$B147="","",CALC_EEM!U147)</f>
      </c>
    </row>
    <row r="155" spans="1:24">
      <c r="A155" t="str">
        <f>IF(CALC_EEM!$B148="","",IF(CALC_EEM!A148="GLOBAL","GLOBAL",IF(CALC_EEM!C148="Total","CURSO_TOTAL",IF(CALC_EEM!C148="TotalEsp","CURSO_ESP",IF(CALC_EEM!C148="TotalNoEsp","CURSO_NOESP","CURSO_ASIG")))))</f>
      </c>
      <c r="B155" t="str">
        <f>IF(CALC_EEM!$B148="","",CALC_EEM!A148)</f>
      </c>
      <c r="C155" t="str">
        <f>IF(CALC_EEM!$B148="","",CALC_EEM!B148)</f>
      </c>
      <c r="D155">
        <f>IF(CALC_EEM!$B148="","",CALC_EEM!D148)</f>
      </c>
      <c r="E155" s="14" t="str">
        <f>IF(CALC_EEM!$B148="","",CALC_EEM!E148)</f>
      </c>
      <c r="F155" s="14" t="str">
        <f>IF(CALC_EEM!$B148="","",CALC_EEM!F148)</f>
      </c>
      <c r="G155" t="str">
        <f>IF(CALC_EEM!$B148="","",CALC_EEM!G148)</f>
      </c>
      <c r="H155" s="16" t="str">
        <f>IF(CALC_EEM!$B148="","",CALC_EEM!H148)</f>
      </c>
      <c r="I155" s="16" t="str">
        <f>IF(CALC_EEM!$B148="","",CALC_EEM!I148)</f>
      </c>
      <c r="J155" t="str">
        <f>IF(CALC_EEM!$B148="","",CALC_EEM!J148)</f>
      </c>
      <c r="K155" t="str">
        <f>IF(CALC_EEM!$B148="","",CALC_EEM!K148)</f>
      </c>
      <c r="L155">
        <f>IF(CALC_EEM!$B148="","",CALC_EEM!L148)</f>
      </c>
      <c r="M155">
        <f>IF(CALC_EEM!$B148="","",CALC_EEM!M148)</f>
      </c>
      <c r="N155">
        <f>IF(CALC_EEM!$B148="","",CALC_EEM!N148)</f>
      </c>
      <c r="O155">
        <f>IF(CALC_EEM!$B148="","",CALC_EEM!O148)</f>
      </c>
      <c r="P155">
        <f>IF(CALC_EEM!$B148="","",CALC_EEM!P148)</f>
      </c>
      <c r="Q155">
        <f>IF(CALC_EEM!$B148="","",CALC_EEM!Q148)</f>
      </c>
      <c r="R155">
        <f>IF(CALC_EEM!$B148="","",CALC_EEM!R148)</f>
      </c>
      <c r="S155">
        <f>IF(CALC_EEM!$B148="","",CALC_EEM!S148)</f>
      </c>
      <c r="T155">
        <f>IF(CALC_EEM!$B148="","",CALC_EEM!T148)</f>
      </c>
      <c r="U155">
        <f>IF(CALC_EEM!$B148="","",CALC_EEM!U148)</f>
      </c>
    </row>
    <row r="156" spans="1:24">
      <c r="A156" t="str">
        <f>IF(CALC_EEM!$B149="","",IF(CALC_EEM!A149="GLOBAL","GLOBAL",IF(CALC_EEM!C149="Total","CURSO_TOTAL",IF(CALC_EEM!C149="TotalEsp","CURSO_ESP",IF(CALC_EEM!C149="TotalNoEsp","CURSO_NOESP","CURSO_ASIG")))))</f>
      </c>
      <c r="B156" t="str">
        <f>IF(CALC_EEM!$B149="","",CALC_EEM!A149)</f>
      </c>
      <c r="C156" t="str">
        <f>IF(CALC_EEM!$B149="","",CALC_EEM!B149)</f>
      </c>
      <c r="D156">
        <f>IF(CALC_EEM!$B149="","",CALC_EEM!D149)</f>
      </c>
      <c r="E156" s="14" t="str">
        <f>IF(CALC_EEM!$B149="","",CALC_EEM!E149)</f>
      </c>
      <c r="F156" s="14" t="str">
        <f>IF(CALC_EEM!$B149="","",CALC_EEM!F149)</f>
      </c>
      <c r="G156" t="str">
        <f>IF(CALC_EEM!$B149="","",CALC_EEM!G149)</f>
      </c>
      <c r="H156" s="16" t="str">
        <f>IF(CALC_EEM!$B149="","",CALC_EEM!H149)</f>
      </c>
      <c r="I156" s="16" t="str">
        <f>IF(CALC_EEM!$B149="","",CALC_EEM!I149)</f>
      </c>
      <c r="J156" t="str">
        <f>IF(CALC_EEM!$B149="","",CALC_EEM!J149)</f>
      </c>
      <c r="K156" t="str">
        <f>IF(CALC_EEM!$B149="","",CALC_EEM!K149)</f>
      </c>
      <c r="L156">
        <f>IF(CALC_EEM!$B149="","",CALC_EEM!L149)</f>
      </c>
      <c r="M156">
        <f>IF(CALC_EEM!$B149="","",CALC_EEM!M149)</f>
      </c>
      <c r="N156">
        <f>IF(CALC_EEM!$B149="","",CALC_EEM!N149)</f>
      </c>
      <c r="O156">
        <f>IF(CALC_EEM!$B149="","",CALC_EEM!O149)</f>
      </c>
      <c r="P156">
        <f>IF(CALC_EEM!$B149="","",CALC_EEM!P149)</f>
      </c>
      <c r="Q156">
        <f>IF(CALC_EEM!$B149="","",CALC_EEM!Q149)</f>
      </c>
      <c r="R156">
        <f>IF(CALC_EEM!$B149="","",CALC_EEM!R149)</f>
      </c>
      <c r="S156">
        <f>IF(CALC_EEM!$B149="","",CALC_EEM!S149)</f>
      </c>
      <c r="T156">
        <f>IF(CALC_EEM!$B149="","",CALC_EEM!T149)</f>
      </c>
      <c r="U156">
        <f>IF(CALC_EEM!$B149="","",CALC_EEM!U149)</f>
      </c>
    </row>
    <row r="157" spans="1:24">
      <c r="A157" t="str">
        <f>IF(CALC_EEM!$B150="","",IF(CALC_EEM!A150="GLOBAL","GLOBAL",IF(CALC_EEM!C150="Total","CURSO_TOTAL",IF(CALC_EEM!C150="TotalEsp","CURSO_ESP",IF(CALC_EEM!C150="TotalNoEsp","CURSO_NOESP","CURSO_ASIG")))))</f>
      </c>
      <c r="B157" t="str">
        <f>IF(CALC_EEM!$B150="","",CALC_EEM!A150)</f>
      </c>
      <c r="C157" t="str">
        <f>IF(CALC_EEM!$B150="","",CALC_EEM!B150)</f>
      </c>
      <c r="D157">
        <f>IF(CALC_EEM!$B150="","",CALC_EEM!D150)</f>
      </c>
      <c r="E157" s="14" t="str">
        <f>IF(CALC_EEM!$B150="","",CALC_EEM!E150)</f>
      </c>
      <c r="F157" s="14" t="str">
        <f>IF(CALC_EEM!$B150="","",CALC_EEM!F150)</f>
      </c>
      <c r="G157" t="str">
        <f>IF(CALC_EEM!$B150="","",CALC_EEM!G150)</f>
      </c>
      <c r="H157" s="16" t="str">
        <f>IF(CALC_EEM!$B150="","",CALC_EEM!H150)</f>
      </c>
      <c r="I157" s="16" t="str">
        <f>IF(CALC_EEM!$B150="","",CALC_EEM!I150)</f>
      </c>
      <c r="J157" t="str">
        <f>IF(CALC_EEM!$B150="","",CALC_EEM!J150)</f>
      </c>
      <c r="K157" t="str">
        <f>IF(CALC_EEM!$B150="","",CALC_EEM!K150)</f>
      </c>
      <c r="L157">
        <f>IF(CALC_EEM!$B150="","",CALC_EEM!L150)</f>
      </c>
      <c r="M157">
        <f>IF(CALC_EEM!$B150="","",CALC_EEM!M150)</f>
      </c>
      <c r="N157">
        <f>IF(CALC_EEM!$B150="","",CALC_EEM!N150)</f>
      </c>
      <c r="O157">
        <f>IF(CALC_EEM!$B150="","",CALC_EEM!O150)</f>
      </c>
      <c r="P157">
        <f>IF(CALC_EEM!$B150="","",CALC_EEM!P150)</f>
      </c>
      <c r="Q157">
        <f>IF(CALC_EEM!$B150="","",CALC_EEM!Q150)</f>
      </c>
      <c r="R157">
        <f>IF(CALC_EEM!$B150="","",CALC_EEM!R150)</f>
      </c>
      <c r="S157">
        <f>IF(CALC_EEM!$B150="","",CALC_EEM!S150)</f>
      </c>
      <c r="T157">
        <f>IF(CALC_EEM!$B150="","",CALC_EEM!T150)</f>
      </c>
      <c r="U157">
        <f>IF(CALC_EEM!$B150="","",CALC_EEM!U150)</f>
      </c>
    </row>
    <row r="158" spans="1:24">
      <c r="A158" t="str">
        <f>IF(CALC_EEM!$B151="","",IF(CALC_EEM!A151="GLOBAL","GLOBAL",IF(CALC_EEM!C151="Total","CURSO_TOTAL",IF(CALC_EEM!C151="TotalEsp","CURSO_ESP",IF(CALC_EEM!C151="TotalNoEsp","CURSO_NOESP","CURSO_ASIG")))))</f>
      </c>
      <c r="B158" t="str">
        <f>IF(CALC_EEM!$B151="","",CALC_EEM!A151)</f>
      </c>
      <c r="C158" t="str">
        <f>IF(CALC_EEM!$B151="","",CALC_EEM!B151)</f>
      </c>
      <c r="D158">
        <f>IF(CALC_EEM!$B151="","",CALC_EEM!D151)</f>
      </c>
      <c r="E158" s="14" t="str">
        <f>IF(CALC_EEM!$B151="","",CALC_EEM!E151)</f>
      </c>
      <c r="F158" s="14" t="str">
        <f>IF(CALC_EEM!$B151="","",CALC_EEM!F151)</f>
      </c>
      <c r="G158" t="str">
        <f>IF(CALC_EEM!$B151="","",CALC_EEM!G151)</f>
      </c>
      <c r="H158" s="16" t="str">
        <f>IF(CALC_EEM!$B151="","",CALC_EEM!H151)</f>
      </c>
      <c r="I158" s="16" t="str">
        <f>IF(CALC_EEM!$B151="","",CALC_EEM!I151)</f>
      </c>
      <c r="J158" t="str">
        <f>IF(CALC_EEM!$B151="","",CALC_EEM!J151)</f>
      </c>
      <c r="K158" t="str">
        <f>IF(CALC_EEM!$B151="","",CALC_EEM!K151)</f>
      </c>
      <c r="L158">
        <f>IF(CALC_EEM!$B151="","",CALC_EEM!L151)</f>
      </c>
      <c r="M158">
        <f>IF(CALC_EEM!$B151="","",CALC_EEM!M151)</f>
      </c>
      <c r="N158">
        <f>IF(CALC_EEM!$B151="","",CALC_EEM!N151)</f>
      </c>
      <c r="O158">
        <f>IF(CALC_EEM!$B151="","",CALC_EEM!O151)</f>
      </c>
      <c r="P158">
        <f>IF(CALC_EEM!$B151="","",CALC_EEM!P151)</f>
      </c>
      <c r="Q158">
        <f>IF(CALC_EEM!$B151="","",CALC_EEM!Q151)</f>
      </c>
      <c r="R158">
        <f>IF(CALC_EEM!$B151="","",CALC_EEM!R151)</f>
      </c>
      <c r="S158">
        <f>IF(CALC_EEM!$B151="","",CALC_EEM!S151)</f>
      </c>
      <c r="T158">
        <f>IF(CALC_EEM!$B151="","",CALC_EEM!T151)</f>
      </c>
      <c r="U158">
        <f>IF(CALC_EEM!$B151="","",CALC_EEM!U151)</f>
      </c>
    </row>
    <row r="159" spans="1:24">
      <c r="A159" t="str">
        <f>IF(CALC_EEM!$B152="","",IF(CALC_EEM!A152="GLOBAL","GLOBAL",IF(CALC_EEM!C152="Total","CURSO_TOTAL",IF(CALC_EEM!C152="TotalEsp","CURSO_ESP",IF(CALC_EEM!C152="TotalNoEsp","CURSO_NOESP","CURSO_ASIG")))))</f>
      </c>
      <c r="B159" t="str">
        <f>IF(CALC_EEM!$B152="","",CALC_EEM!A152)</f>
      </c>
      <c r="C159" t="str">
        <f>IF(CALC_EEM!$B152="","",CALC_EEM!B152)</f>
      </c>
      <c r="D159">
        <f>IF(CALC_EEM!$B152="","",CALC_EEM!D152)</f>
      </c>
      <c r="E159" s="14" t="str">
        <f>IF(CALC_EEM!$B152="","",CALC_EEM!E152)</f>
      </c>
      <c r="F159" s="14" t="str">
        <f>IF(CALC_EEM!$B152="","",CALC_EEM!F152)</f>
      </c>
      <c r="G159" t="str">
        <f>IF(CALC_EEM!$B152="","",CALC_EEM!G152)</f>
      </c>
      <c r="H159" s="16" t="str">
        <f>IF(CALC_EEM!$B152="","",CALC_EEM!H152)</f>
      </c>
      <c r="I159" s="16" t="str">
        <f>IF(CALC_EEM!$B152="","",CALC_EEM!I152)</f>
      </c>
      <c r="J159" t="str">
        <f>IF(CALC_EEM!$B152="","",CALC_EEM!J152)</f>
      </c>
      <c r="K159" t="str">
        <f>IF(CALC_EEM!$B152="","",CALC_EEM!K152)</f>
      </c>
      <c r="L159">
        <f>IF(CALC_EEM!$B152="","",CALC_EEM!L152)</f>
      </c>
      <c r="M159">
        <f>IF(CALC_EEM!$B152="","",CALC_EEM!M152)</f>
      </c>
      <c r="N159">
        <f>IF(CALC_EEM!$B152="","",CALC_EEM!N152)</f>
      </c>
      <c r="O159">
        <f>IF(CALC_EEM!$B152="","",CALC_EEM!O152)</f>
      </c>
      <c r="P159">
        <f>IF(CALC_EEM!$B152="","",CALC_EEM!P152)</f>
      </c>
      <c r="Q159">
        <f>IF(CALC_EEM!$B152="","",CALC_EEM!Q152)</f>
      </c>
      <c r="R159">
        <f>IF(CALC_EEM!$B152="","",CALC_EEM!R152)</f>
      </c>
      <c r="S159">
        <f>IF(CALC_EEM!$B152="","",CALC_EEM!S152)</f>
      </c>
      <c r="T159">
        <f>IF(CALC_EEM!$B152="","",CALC_EEM!T152)</f>
      </c>
      <c r="U159">
        <f>IF(CALC_EEM!$B152="","",CALC_EEM!U152)</f>
      </c>
    </row>
    <row r="160" spans="1:24">
      <c r="A160" t="str">
        <f>IF(CALC_EEM!$B153="","",IF(CALC_EEM!A153="GLOBAL","GLOBAL",IF(CALC_EEM!C153="Total","CURSO_TOTAL",IF(CALC_EEM!C153="TotalEsp","CURSO_ESP",IF(CALC_EEM!C153="TotalNoEsp","CURSO_NOESP","CURSO_ASIG")))))</f>
      </c>
      <c r="B160" t="str">
        <f>IF(CALC_EEM!$B153="","",CALC_EEM!A153)</f>
      </c>
      <c r="C160" t="str">
        <f>IF(CALC_EEM!$B153="","",CALC_EEM!B153)</f>
      </c>
      <c r="D160">
        <f>IF(CALC_EEM!$B153="","",CALC_EEM!D153)</f>
      </c>
      <c r="E160" s="14" t="str">
        <f>IF(CALC_EEM!$B153="","",CALC_EEM!E153)</f>
      </c>
      <c r="F160" s="14" t="str">
        <f>IF(CALC_EEM!$B153="","",CALC_EEM!F153)</f>
      </c>
      <c r="G160" t="str">
        <f>IF(CALC_EEM!$B153="","",CALC_EEM!G153)</f>
      </c>
      <c r="H160" s="16" t="str">
        <f>IF(CALC_EEM!$B153="","",CALC_EEM!H153)</f>
      </c>
      <c r="I160" s="16" t="str">
        <f>IF(CALC_EEM!$B153="","",CALC_EEM!I153)</f>
      </c>
      <c r="J160" t="str">
        <f>IF(CALC_EEM!$B153="","",CALC_EEM!J153)</f>
      </c>
      <c r="K160" t="str">
        <f>IF(CALC_EEM!$B153="","",CALC_EEM!K153)</f>
      </c>
      <c r="L160">
        <f>IF(CALC_EEM!$B153="","",CALC_EEM!L153)</f>
      </c>
      <c r="M160">
        <f>IF(CALC_EEM!$B153="","",CALC_EEM!M153)</f>
      </c>
      <c r="N160">
        <f>IF(CALC_EEM!$B153="","",CALC_EEM!N153)</f>
      </c>
      <c r="O160">
        <f>IF(CALC_EEM!$B153="","",CALC_EEM!O153)</f>
      </c>
      <c r="P160">
        <f>IF(CALC_EEM!$B153="","",CALC_EEM!P153)</f>
      </c>
      <c r="Q160">
        <f>IF(CALC_EEM!$B153="","",CALC_EEM!Q153)</f>
      </c>
      <c r="R160">
        <f>IF(CALC_EEM!$B153="","",CALC_EEM!R153)</f>
      </c>
      <c r="S160">
        <f>IF(CALC_EEM!$B153="","",CALC_EEM!S153)</f>
      </c>
      <c r="T160">
        <f>IF(CALC_EEM!$B153="","",CALC_EEM!T153)</f>
      </c>
      <c r="U160">
        <f>IF(CALC_EEM!$B153="","",CALC_EEM!U153)</f>
      </c>
    </row>
    <row r="161" spans="1:24">
      <c r="A161" t="str">
        <f>IF(CALC_EEM!$B154="","",IF(CALC_EEM!A154="GLOBAL","GLOBAL",IF(CALC_EEM!C154="Total","CURSO_TOTAL",IF(CALC_EEM!C154="TotalEsp","CURSO_ESP",IF(CALC_EEM!C154="TotalNoEsp","CURSO_NOESP","CURSO_ASIG")))))</f>
      </c>
      <c r="B161" t="str">
        <f>IF(CALC_EEM!$B154="","",CALC_EEM!A154)</f>
      </c>
      <c r="C161" t="str">
        <f>IF(CALC_EEM!$B154="","",CALC_EEM!B154)</f>
      </c>
      <c r="D161">
        <f>IF(CALC_EEM!$B154="","",CALC_EEM!D154)</f>
      </c>
      <c r="E161" s="14" t="str">
        <f>IF(CALC_EEM!$B154="","",CALC_EEM!E154)</f>
      </c>
      <c r="F161" s="14" t="str">
        <f>IF(CALC_EEM!$B154="","",CALC_EEM!F154)</f>
      </c>
      <c r="G161" t="str">
        <f>IF(CALC_EEM!$B154="","",CALC_EEM!G154)</f>
      </c>
      <c r="H161" s="16" t="str">
        <f>IF(CALC_EEM!$B154="","",CALC_EEM!H154)</f>
      </c>
      <c r="I161" s="16" t="str">
        <f>IF(CALC_EEM!$B154="","",CALC_EEM!I154)</f>
      </c>
      <c r="J161" t="str">
        <f>IF(CALC_EEM!$B154="","",CALC_EEM!J154)</f>
      </c>
      <c r="K161" t="str">
        <f>IF(CALC_EEM!$B154="","",CALC_EEM!K154)</f>
      </c>
      <c r="L161">
        <f>IF(CALC_EEM!$B154="","",CALC_EEM!L154)</f>
      </c>
      <c r="M161">
        <f>IF(CALC_EEM!$B154="","",CALC_EEM!M154)</f>
      </c>
      <c r="N161">
        <f>IF(CALC_EEM!$B154="","",CALC_EEM!N154)</f>
      </c>
      <c r="O161">
        <f>IF(CALC_EEM!$B154="","",CALC_EEM!O154)</f>
      </c>
      <c r="P161">
        <f>IF(CALC_EEM!$B154="","",CALC_EEM!P154)</f>
      </c>
      <c r="Q161">
        <f>IF(CALC_EEM!$B154="","",CALC_EEM!Q154)</f>
      </c>
      <c r="R161">
        <f>IF(CALC_EEM!$B154="","",CALC_EEM!R154)</f>
      </c>
      <c r="S161">
        <f>IF(CALC_EEM!$B154="","",CALC_EEM!S154)</f>
      </c>
      <c r="T161">
        <f>IF(CALC_EEM!$B154="","",CALC_EEM!T154)</f>
      </c>
      <c r="U161">
        <f>IF(CALC_EEM!$B154="","",CALC_EEM!U154)</f>
      </c>
    </row>
    <row r="162" spans="1:24">
      <c r="A162" t="str">
        <f>IF(CALC_EEM!$B155="","",IF(CALC_EEM!A155="GLOBAL","GLOBAL",IF(CALC_EEM!C155="Total","CURSO_TOTAL",IF(CALC_EEM!C155="TotalEsp","CURSO_ESP",IF(CALC_EEM!C155="TotalNoEsp","CURSO_NOESP","CURSO_ASIG")))))</f>
      </c>
      <c r="B162" t="str">
        <f>IF(CALC_EEM!$B155="","",CALC_EEM!A155)</f>
      </c>
      <c r="C162" t="str">
        <f>IF(CALC_EEM!$B155="","",CALC_EEM!B155)</f>
      </c>
      <c r="D162">
        <f>IF(CALC_EEM!$B155="","",CALC_EEM!D155)</f>
      </c>
      <c r="E162" s="14" t="str">
        <f>IF(CALC_EEM!$B155="","",CALC_EEM!E155)</f>
      </c>
      <c r="F162" s="14" t="str">
        <f>IF(CALC_EEM!$B155="","",CALC_EEM!F155)</f>
      </c>
      <c r="G162" t="str">
        <f>IF(CALC_EEM!$B155="","",CALC_EEM!G155)</f>
      </c>
      <c r="H162" s="16" t="str">
        <f>IF(CALC_EEM!$B155="","",CALC_EEM!H155)</f>
      </c>
      <c r="I162" s="16" t="str">
        <f>IF(CALC_EEM!$B155="","",CALC_EEM!I155)</f>
      </c>
      <c r="J162" t="str">
        <f>IF(CALC_EEM!$B155="","",CALC_EEM!J155)</f>
      </c>
      <c r="K162" t="str">
        <f>IF(CALC_EEM!$B155="","",CALC_EEM!K155)</f>
      </c>
      <c r="L162">
        <f>IF(CALC_EEM!$B155="","",CALC_EEM!L155)</f>
      </c>
      <c r="M162">
        <f>IF(CALC_EEM!$B155="","",CALC_EEM!M155)</f>
      </c>
      <c r="N162">
        <f>IF(CALC_EEM!$B155="","",CALC_EEM!N155)</f>
      </c>
      <c r="O162">
        <f>IF(CALC_EEM!$B155="","",CALC_EEM!O155)</f>
      </c>
      <c r="P162">
        <f>IF(CALC_EEM!$B155="","",CALC_EEM!P155)</f>
      </c>
      <c r="Q162">
        <f>IF(CALC_EEM!$B155="","",CALC_EEM!Q155)</f>
      </c>
      <c r="R162">
        <f>IF(CALC_EEM!$B155="","",CALC_EEM!R155)</f>
      </c>
      <c r="S162">
        <f>IF(CALC_EEM!$B155="","",CALC_EEM!S155)</f>
      </c>
      <c r="T162">
        <f>IF(CALC_EEM!$B155="","",CALC_EEM!T155)</f>
      </c>
      <c r="U162">
        <f>IF(CALC_EEM!$B155="","",CALC_EEM!U155)</f>
      </c>
    </row>
    <row r="163" spans="1:24">
      <c r="A163" t="str">
        <f>IF(CALC_EEM!$B156="","",IF(CALC_EEM!A156="GLOBAL","GLOBAL",IF(CALC_EEM!C156="Total","CURSO_TOTAL",IF(CALC_EEM!C156="TotalEsp","CURSO_ESP",IF(CALC_EEM!C156="TotalNoEsp","CURSO_NOESP","CURSO_ASIG")))))</f>
      </c>
      <c r="B163" t="str">
        <f>IF(CALC_EEM!$B156="","",CALC_EEM!A156)</f>
      </c>
      <c r="C163" t="str">
        <f>IF(CALC_EEM!$B156="","",CALC_EEM!B156)</f>
      </c>
      <c r="D163">
        <f>IF(CALC_EEM!$B156="","",CALC_EEM!D156)</f>
      </c>
      <c r="E163" s="14" t="str">
        <f>IF(CALC_EEM!$B156="","",CALC_EEM!E156)</f>
      </c>
      <c r="F163" s="14" t="str">
        <f>IF(CALC_EEM!$B156="","",CALC_EEM!F156)</f>
      </c>
      <c r="G163" t="str">
        <f>IF(CALC_EEM!$B156="","",CALC_EEM!G156)</f>
      </c>
      <c r="H163" s="16" t="str">
        <f>IF(CALC_EEM!$B156="","",CALC_EEM!H156)</f>
      </c>
      <c r="I163" s="16" t="str">
        <f>IF(CALC_EEM!$B156="","",CALC_EEM!I156)</f>
      </c>
      <c r="J163" t="str">
        <f>IF(CALC_EEM!$B156="","",CALC_EEM!J156)</f>
      </c>
      <c r="K163" t="str">
        <f>IF(CALC_EEM!$B156="","",CALC_EEM!K156)</f>
      </c>
      <c r="L163">
        <f>IF(CALC_EEM!$B156="","",CALC_EEM!L156)</f>
      </c>
      <c r="M163">
        <f>IF(CALC_EEM!$B156="","",CALC_EEM!M156)</f>
      </c>
      <c r="N163">
        <f>IF(CALC_EEM!$B156="","",CALC_EEM!N156)</f>
      </c>
      <c r="O163">
        <f>IF(CALC_EEM!$B156="","",CALC_EEM!O156)</f>
      </c>
      <c r="P163">
        <f>IF(CALC_EEM!$B156="","",CALC_EEM!P156)</f>
      </c>
      <c r="Q163">
        <f>IF(CALC_EEM!$B156="","",CALC_EEM!Q156)</f>
      </c>
      <c r="R163">
        <f>IF(CALC_EEM!$B156="","",CALC_EEM!R156)</f>
      </c>
      <c r="S163">
        <f>IF(CALC_EEM!$B156="","",CALC_EEM!S156)</f>
      </c>
      <c r="T163">
        <f>IF(CALC_EEM!$B156="","",CALC_EEM!T156)</f>
      </c>
      <c r="U163">
        <f>IF(CALC_EEM!$B156="","",CALC_EEM!U156)</f>
      </c>
    </row>
    <row r="164" spans="1:24">
      <c r="A164" t="str">
        <f>IF(CALC_EEM!$B157="","",IF(CALC_EEM!A157="GLOBAL","GLOBAL",IF(CALC_EEM!C157="Total","CURSO_TOTAL",IF(CALC_EEM!C157="TotalEsp","CURSO_ESP",IF(CALC_EEM!C157="TotalNoEsp","CURSO_NOESP","CURSO_ASIG")))))</f>
      </c>
      <c r="B164" t="str">
        <f>IF(CALC_EEM!$B157="","",CALC_EEM!A157)</f>
      </c>
      <c r="C164" t="str">
        <f>IF(CALC_EEM!$B157="","",CALC_EEM!B157)</f>
      </c>
      <c r="D164">
        <f>IF(CALC_EEM!$B157="","",CALC_EEM!D157)</f>
      </c>
      <c r="E164" s="14" t="str">
        <f>IF(CALC_EEM!$B157="","",CALC_EEM!E157)</f>
      </c>
      <c r="F164" s="14" t="str">
        <f>IF(CALC_EEM!$B157="","",CALC_EEM!F157)</f>
      </c>
      <c r="G164" t="str">
        <f>IF(CALC_EEM!$B157="","",CALC_EEM!G157)</f>
      </c>
      <c r="H164" s="16" t="str">
        <f>IF(CALC_EEM!$B157="","",CALC_EEM!H157)</f>
      </c>
      <c r="I164" s="16" t="str">
        <f>IF(CALC_EEM!$B157="","",CALC_EEM!I157)</f>
      </c>
      <c r="J164" t="str">
        <f>IF(CALC_EEM!$B157="","",CALC_EEM!J157)</f>
      </c>
      <c r="K164" t="str">
        <f>IF(CALC_EEM!$B157="","",CALC_EEM!K157)</f>
      </c>
      <c r="L164">
        <f>IF(CALC_EEM!$B157="","",CALC_EEM!L157)</f>
      </c>
      <c r="M164">
        <f>IF(CALC_EEM!$B157="","",CALC_EEM!M157)</f>
      </c>
      <c r="N164">
        <f>IF(CALC_EEM!$B157="","",CALC_EEM!N157)</f>
      </c>
      <c r="O164">
        <f>IF(CALC_EEM!$B157="","",CALC_EEM!O157)</f>
      </c>
      <c r="P164">
        <f>IF(CALC_EEM!$B157="","",CALC_EEM!P157)</f>
      </c>
      <c r="Q164">
        <f>IF(CALC_EEM!$B157="","",CALC_EEM!Q157)</f>
      </c>
      <c r="R164">
        <f>IF(CALC_EEM!$B157="","",CALC_EEM!R157)</f>
      </c>
      <c r="S164">
        <f>IF(CALC_EEM!$B157="","",CALC_EEM!S157)</f>
      </c>
      <c r="T164">
        <f>IF(CALC_EEM!$B157="","",CALC_EEM!T157)</f>
      </c>
      <c r="U164">
        <f>IF(CALC_EEM!$B157="","",CALC_EEM!U157)</f>
      </c>
    </row>
    <row r="165" spans="1:24">
      <c r="A165" t="str">
        <f>IF(CALC_EEM!$B158="","",IF(CALC_EEM!A158="GLOBAL","GLOBAL",IF(CALC_EEM!C158="Total","CURSO_TOTAL",IF(CALC_EEM!C158="TotalEsp","CURSO_ESP",IF(CALC_EEM!C158="TotalNoEsp","CURSO_NOESP","CURSO_ASIG")))))</f>
      </c>
      <c r="B165" t="str">
        <f>IF(CALC_EEM!$B158="","",CALC_EEM!A158)</f>
      </c>
      <c r="C165" t="str">
        <f>IF(CALC_EEM!$B158="","",CALC_EEM!B158)</f>
      </c>
      <c r="D165">
        <f>IF(CALC_EEM!$B158="","",CALC_EEM!D158)</f>
      </c>
      <c r="E165" s="14" t="str">
        <f>IF(CALC_EEM!$B158="","",CALC_EEM!E158)</f>
      </c>
      <c r="F165" s="14" t="str">
        <f>IF(CALC_EEM!$B158="","",CALC_EEM!F158)</f>
      </c>
      <c r="G165" t="str">
        <f>IF(CALC_EEM!$B158="","",CALC_EEM!G158)</f>
      </c>
      <c r="H165" s="16" t="str">
        <f>IF(CALC_EEM!$B158="","",CALC_EEM!H158)</f>
      </c>
      <c r="I165" s="16" t="str">
        <f>IF(CALC_EEM!$B158="","",CALC_EEM!I158)</f>
      </c>
      <c r="J165" t="str">
        <f>IF(CALC_EEM!$B158="","",CALC_EEM!J158)</f>
      </c>
      <c r="K165" t="str">
        <f>IF(CALC_EEM!$B158="","",CALC_EEM!K158)</f>
      </c>
      <c r="L165">
        <f>IF(CALC_EEM!$B158="","",CALC_EEM!L158)</f>
      </c>
      <c r="M165">
        <f>IF(CALC_EEM!$B158="","",CALC_EEM!M158)</f>
      </c>
      <c r="N165">
        <f>IF(CALC_EEM!$B158="","",CALC_EEM!N158)</f>
      </c>
      <c r="O165">
        <f>IF(CALC_EEM!$B158="","",CALC_EEM!O158)</f>
      </c>
      <c r="P165">
        <f>IF(CALC_EEM!$B158="","",CALC_EEM!P158)</f>
      </c>
      <c r="Q165">
        <f>IF(CALC_EEM!$B158="","",CALC_EEM!Q158)</f>
      </c>
      <c r="R165">
        <f>IF(CALC_EEM!$B158="","",CALC_EEM!R158)</f>
      </c>
      <c r="S165">
        <f>IF(CALC_EEM!$B158="","",CALC_EEM!S158)</f>
      </c>
      <c r="T165">
        <f>IF(CALC_EEM!$B158="","",CALC_EEM!T158)</f>
      </c>
      <c r="U165">
        <f>IF(CALC_EEM!$B158="","",CALC_EEM!U158)</f>
      </c>
    </row>
    <row r="166" spans="1:24">
      <c r="A166" t="str">
        <f>IF(CALC_EEM!$B159="","",IF(CALC_EEM!A159="GLOBAL","GLOBAL",IF(CALC_EEM!C159="Total","CURSO_TOTAL",IF(CALC_EEM!C159="TotalEsp","CURSO_ESP",IF(CALC_EEM!C159="TotalNoEsp","CURSO_NOESP","CURSO_ASIG")))))</f>
      </c>
      <c r="B166" t="str">
        <f>IF(CALC_EEM!$B159="","",CALC_EEM!A159)</f>
      </c>
      <c r="C166" t="str">
        <f>IF(CALC_EEM!$B159="","",CALC_EEM!B159)</f>
      </c>
      <c r="D166">
        <f>IF(CALC_EEM!$B159="","",CALC_EEM!D159)</f>
      </c>
      <c r="E166" s="14" t="str">
        <f>IF(CALC_EEM!$B159="","",CALC_EEM!E159)</f>
      </c>
      <c r="F166" s="14" t="str">
        <f>IF(CALC_EEM!$B159="","",CALC_EEM!F159)</f>
      </c>
      <c r="G166" t="str">
        <f>IF(CALC_EEM!$B159="","",CALC_EEM!G159)</f>
      </c>
      <c r="H166" s="16" t="str">
        <f>IF(CALC_EEM!$B159="","",CALC_EEM!H159)</f>
      </c>
      <c r="I166" s="16" t="str">
        <f>IF(CALC_EEM!$B159="","",CALC_EEM!I159)</f>
      </c>
      <c r="J166" t="str">
        <f>IF(CALC_EEM!$B159="","",CALC_EEM!J159)</f>
      </c>
      <c r="K166" t="str">
        <f>IF(CALC_EEM!$B159="","",CALC_EEM!K159)</f>
      </c>
      <c r="L166">
        <f>IF(CALC_EEM!$B159="","",CALC_EEM!L159)</f>
      </c>
      <c r="M166">
        <f>IF(CALC_EEM!$B159="","",CALC_EEM!M159)</f>
      </c>
      <c r="N166">
        <f>IF(CALC_EEM!$B159="","",CALC_EEM!N159)</f>
      </c>
      <c r="O166">
        <f>IF(CALC_EEM!$B159="","",CALC_EEM!O159)</f>
      </c>
      <c r="P166">
        <f>IF(CALC_EEM!$B159="","",CALC_EEM!P159)</f>
      </c>
      <c r="Q166">
        <f>IF(CALC_EEM!$B159="","",CALC_EEM!Q159)</f>
      </c>
      <c r="R166">
        <f>IF(CALC_EEM!$B159="","",CALC_EEM!R159)</f>
      </c>
      <c r="S166">
        <f>IF(CALC_EEM!$B159="","",CALC_EEM!S159)</f>
      </c>
      <c r="T166">
        <f>IF(CALC_EEM!$B159="","",CALC_EEM!T159)</f>
      </c>
      <c r="U166">
        <f>IF(CALC_EEM!$B159="","",CALC_EEM!U159)</f>
      </c>
    </row>
    <row r="167" spans="1:24">
      <c r="A167" t="str">
        <f>IF(CALC_EEM!$B160="","",IF(CALC_EEM!A160="GLOBAL","GLOBAL",IF(CALC_EEM!C160="Total","CURSO_TOTAL",IF(CALC_EEM!C160="TotalEsp","CURSO_ESP",IF(CALC_EEM!C160="TotalNoEsp","CURSO_NOESP","CURSO_ASIG")))))</f>
      </c>
      <c r="B167" t="str">
        <f>IF(CALC_EEM!$B160="","",CALC_EEM!A160)</f>
      </c>
      <c r="C167" t="str">
        <f>IF(CALC_EEM!$B160="","",CALC_EEM!B160)</f>
      </c>
      <c r="D167">
        <f>IF(CALC_EEM!$B160="","",CALC_EEM!D160)</f>
      </c>
      <c r="E167" s="14" t="str">
        <f>IF(CALC_EEM!$B160="","",CALC_EEM!E160)</f>
      </c>
      <c r="F167" s="14" t="str">
        <f>IF(CALC_EEM!$B160="","",CALC_EEM!F160)</f>
      </c>
      <c r="G167" t="str">
        <f>IF(CALC_EEM!$B160="","",CALC_EEM!G160)</f>
      </c>
      <c r="H167" s="16" t="str">
        <f>IF(CALC_EEM!$B160="","",CALC_EEM!H160)</f>
      </c>
      <c r="I167" s="16" t="str">
        <f>IF(CALC_EEM!$B160="","",CALC_EEM!I160)</f>
      </c>
      <c r="J167" t="str">
        <f>IF(CALC_EEM!$B160="","",CALC_EEM!J160)</f>
      </c>
      <c r="K167" t="str">
        <f>IF(CALC_EEM!$B160="","",CALC_EEM!K160)</f>
      </c>
      <c r="L167">
        <f>IF(CALC_EEM!$B160="","",CALC_EEM!L160)</f>
      </c>
      <c r="M167">
        <f>IF(CALC_EEM!$B160="","",CALC_EEM!M160)</f>
      </c>
      <c r="N167">
        <f>IF(CALC_EEM!$B160="","",CALC_EEM!N160)</f>
      </c>
      <c r="O167">
        <f>IF(CALC_EEM!$B160="","",CALC_EEM!O160)</f>
      </c>
      <c r="P167">
        <f>IF(CALC_EEM!$B160="","",CALC_EEM!P160)</f>
      </c>
      <c r="Q167">
        <f>IF(CALC_EEM!$B160="","",CALC_EEM!Q160)</f>
      </c>
      <c r="R167">
        <f>IF(CALC_EEM!$B160="","",CALC_EEM!R160)</f>
      </c>
      <c r="S167">
        <f>IF(CALC_EEM!$B160="","",CALC_EEM!S160)</f>
      </c>
      <c r="T167">
        <f>IF(CALC_EEM!$B160="","",CALC_EEM!T160)</f>
      </c>
      <c r="U167">
        <f>IF(CALC_EEM!$B160="","",CALC_EEM!U160)</f>
      </c>
    </row>
    <row r="168" spans="1:24">
      <c r="A168" t="str">
        <f>IF(CALC_EEM!$B161="","",IF(CALC_EEM!A161="GLOBAL","GLOBAL",IF(CALC_EEM!C161="Total","CURSO_TOTAL",IF(CALC_EEM!C161="TotalEsp","CURSO_ESP",IF(CALC_EEM!C161="TotalNoEsp","CURSO_NOESP","CURSO_ASIG")))))</f>
      </c>
      <c r="B168" t="str">
        <f>IF(CALC_EEM!$B161="","",CALC_EEM!A161)</f>
      </c>
      <c r="C168" t="str">
        <f>IF(CALC_EEM!$B161="","",CALC_EEM!B161)</f>
      </c>
      <c r="D168">
        <f>IF(CALC_EEM!$B161="","",CALC_EEM!D161)</f>
      </c>
      <c r="E168" s="14" t="str">
        <f>IF(CALC_EEM!$B161="","",CALC_EEM!E161)</f>
      </c>
      <c r="F168" s="14" t="str">
        <f>IF(CALC_EEM!$B161="","",CALC_EEM!F161)</f>
      </c>
      <c r="G168" t="str">
        <f>IF(CALC_EEM!$B161="","",CALC_EEM!G161)</f>
      </c>
      <c r="H168" s="16" t="str">
        <f>IF(CALC_EEM!$B161="","",CALC_EEM!H161)</f>
      </c>
      <c r="I168" s="16" t="str">
        <f>IF(CALC_EEM!$B161="","",CALC_EEM!I161)</f>
      </c>
      <c r="J168" t="str">
        <f>IF(CALC_EEM!$B161="","",CALC_EEM!J161)</f>
      </c>
      <c r="K168" t="str">
        <f>IF(CALC_EEM!$B161="","",CALC_EEM!K161)</f>
      </c>
      <c r="L168">
        <f>IF(CALC_EEM!$B161="","",CALC_EEM!L161)</f>
      </c>
      <c r="M168">
        <f>IF(CALC_EEM!$B161="","",CALC_EEM!M161)</f>
      </c>
      <c r="N168">
        <f>IF(CALC_EEM!$B161="","",CALC_EEM!N161)</f>
      </c>
      <c r="O168">
        <f>IF(CALC_EEM!$B161="","",CALC_EEM!O161)</f>
      </c>
      <c r="P168">
        <f>IF(CALC_EEM!$B161="","",CALC_EEM!P161)</f>
      </c>
      <c r="Q168">
        <f>IF(CALC_EEM!$B161="","",CALC_EEM!Q161)</f>
      </c>
      <c r="R168">
        <f>IF(CALC_EEM!$B161="","",CALC_EEM!R161)</f>
      </c>
      <c r="S168">
        <f>IF(CALC_EEM!$B161="","",CALC_EEM!S161)</f>
      </c>
      <c r="T168">
        <f>IF(CALC_EEM!$B161="","",CALC_EEM!T161)</f>
      </c>
      <c r="U168">
        <f>IF(CALC_EEM!$B161="","",CALC_EEM!U161)</f>
      </c>
    </row>
    <row r="169" spans="1:24">
      <c r="A169" t="str">
        <f>IF(CALC_EEM!$B162="","",IF(CALC_EEM!A162="GLOBAL","GLOBAL",IF(CALC_EEM!C162="Total","CURSO_TOTAL",IF(CALC_EEM!C162="TotalEsp","CURSO_ESP",IF(CALC_EEM!C162="TotalNoEsp","CURSO_NOESP","CURSO_ASIG")))))</f>
      </c>
      <c r="B169" t="str">
        <f>IF(CALC_EEM!$B162="","",CALC_EEM!A162)</f>
      </c>
      <c r="C169" t="str">
        <f>IF(CALC_EEM!$B162="","",CALC_EEM!B162)</f>
      </c>
      <c r="D169">
        <f>IF(CALC_EEM!$B162="","",CALC_EEM!D162)</f>
      </c>
      <c r="E169" s="14" t="str">
        <f>IF(CALC_EEM!$B162="","",CALC_EEM!E162)</f>
      </c>
      <c r="F169" s="14" t="str">
        <f>IF(CALC_EEM!$B162="","",CALC_EEM!F162)</f>
      </c>
      <c r="G169" t="str">
        <f>IF(CALC_EEM!$B162="","",CALC_EEM!G162)</f>
      </c>
      <c r="H169" s="16" t="str">
        <f>IF(CALC_EEM!$B162="","",CALC_EEM!H162)</f>
      </c>
      <c r="I169" s="16" t="str">
        <f>IF(CALC_EEM!$B162="","",CALC_EEM!I162)</f>
      </c>
      <c r="J169" t="str">
        <f>IF(CALC_EEM!$B162="","",CALC_EEM!J162)</f>
      </c>
      <c r="K169" t="str">
        <f>IF(CALC_EEM!$B162="","",CALC_EEM!K162)</f>
      </c>
      <c r="L169">
        <f>IF(CALC_EEM!$B162="","",CALC_EEM!L162)</f>
      </c>
      <c r="M169">
        <f>IF(CALC_EEM!$B162="","",CALC_EEM!M162)</f>
      </c>
      <c r="N169">
        <f>IF(CALC_EEM!$B162="","",CALC_EEM!N162)</f>
      </c>
      <c r="O169">
        <f>IF(CALC_EEM!$B162="","",CALC_EEM!O162)</f>
      </c>
      <c r="P169">
        <f>IF(CALC_EEM!$B162="","",CALC_EEM!P162)</f>
      </c>
      <c r="Q169">
        <f>IF(CALC_EEM!$B162="","",CALC_EEM!Q162)</f>
      </c>
      <c r="R169">
        <f>IF(CALC_EEM!$B162="","",CALC_EEM!R162)</f>
      </c>
      <c r="S169">
        <f>IF(CALC_EEM!$B162="","",CALC_EEM!S162)</f>
      </c>
      <c r="T169">
        <f>IF(CALC_EEM!$B162="","",CALC_EEM!T162)</f>
      </c>
      <c r="U169">
        <f>IF(CALC_EEM!$B162="","",CALC_EEM!U162)</f>
      </c>
    </row>
    <row r="170" spans="1:24">
      <c r="A170" t="str">
        <f>IF(CALC_EEM!$B163="","",IF(CALC_EEM!A163="GLOBAL","GLOBAL",IF(CALC_EEM!C163="Total","CURSO_TOTAL",IF(CALC_EEM!C163="TotalEsp","CURSO_ESP",IF(CALC_EEM!C163="TotalNoEsp","CURSO_NOESP","CURSO_ASIG")))))</f>
      </c>
      <c r="B170" t="str">
        <f>IF(CALC_EEM!$B163="","",CALC_EEM!A163)</f>
      </c>
      <c r="C170" t="str">
        <f>IF(CALC_EEM!$B163="","",CALC_EEM!B163)</f>
      </c>
      <c r="D170">
        <f>IF(CALC_EEM!$B163="","",CALC_EEM!D163)</f>
      </c>
      <c r="E170" s="14" t="str">
        <f>IF(CALC_EEM!$B163="","",CALC_EEM!E163)</f>
      </c>
      <c r="F170" s="14" t="str">
        <f>IF(CALC_EEM!$B163="","",CALC_EEM!F163)</f>
      </c>
      <c r="G170" t="str">
        <f>IF(CALC_EEM!$B163="","",CALC_EEM!G163)</f>
      </c>
      <c r="H170" s="16" t="str">
        <f>IF(CALC_EEM!$B163="","",CALC_EEM!H163)</f>
      </c>
      <c r="I170" s="16" t="str">
        <f>IF(CALC_EEM!$B163="","",CALC_EEM!I163)</f>
      </c>
      <c r="J170" t="str">
        <f>IF(CALC_EEM!$B163="","",CALC_EEM!J163)</f>
      </c>
      <c r="K170" t="str">
        <f>IF(CALC_EEM!$B163="","",CALC_EEM!K163)</f>
      </c>
      <c r="L170">
        <f>IF(CALC_EEM!$B163="","",CALC_EEM!L163)</f>
      </c>
      <c r="M170">
        <f>IF(CALC_EEM!$B163="","",CALC_EEM!M163)</f>
      </c>
      <c r="N170">
        <f>IF(CALC_EEM!$B163="","",CALC_EEM!N163)</f>
      </c>
      <c r="O170">
        <f>IF(CALC_EEM!$B163="","",CALC_EEM!O163)</f>
      </c>
      <c r="P170">
        <f>IF(CALC_EEM!$B163="","",CALC_EEM!P163)</f>
      </c>
      <c r="Q170">
        <f>IF(CALC_EEM!$B163="","",CALC_EEM!Q163)</f>
      </c>
      <c r="R170">
        <f>IF(CALC_EEM!$B163="","",CALC_EEM!R163)</f>
      </c>
      <c r="S170">
        <f>IF(CALC_EEM!$B163="","",CALC_EEM!S163)</f>
      </c>
      <c r="T170">
        <f>IF(CALC_EEM!$B163="","",CALC_EEM!T163)</f>
      </c>
      <c r="U170">
        <f>IF(CALC_EEM!$B163="","",CALC_EEM!U163)</f>
      </c>
    </row>
    <row r="171" spans="1:24">
      <c r="A171" t="str">
        <f>IF(CALC_EEM!$B164="","",IF(CALC_EEM!A164="GLOBAL","GLOBAL",IF(CALC_EEM!C164="Total","CURSO_TOTAL",IF(CALC_EEM!C164="TotalEsp","CURSO_ESP",IF(CALC_EEM!C164="TotalNoEsp","CURSO_NOESP","CURSO_ASIG")))))</f>
      </c>
      <c r="B171" t="str">
        <f>IF(CALC_EEM!$B164="","",CALC_EEM!A164)</f>
      </c>
      <c r="C171" t="str">
        <f>IF(CALC_EEM!$B164="","",CALC_EEM!B164)</f>
      </c>
      <c r="D171">
        <f>IF(CALC_EEM!$B164="","",CALC_EEM!D164)</f>
      </c>
      <c r="E171" s="14" t="str">
        <f>IF(CALC_EEM!$B164="","",CALC_EEM!E164)</f>
      </c>
      <c r="F171" s="14" t="str">
        <f>IF(CALC_EEM!$B164="","",CALC_EEM!F164)</f>
      </c>
      <c r="G171" t="str">
        <f>IF(CALC_EEM!$B164="","",CALC_EEM!G164)</f>
      </c>
      <c r="H171" s="16" t="str">
        <f>IF(CALC_EEM!$B164="","",CALC_EEM!H164)</f>
      </c>
      <c r="I171" s="16" t="str">
        <f>IF(CALC_EEM!$B164="","",CALC_EEM!I164)</f>
      </c>
      <c r="J171" t="str">
        <f>IF(CALC_EEM!$B164="","",CALC_EEM!J164)</f>
      </c>
      <c r="K171" t="str">
        <f>IF(CALC_EEM!$B164="","",CALC_EEM!K164)</f>
      </c>
      <c r="L171">
        <f>IF(CALC_EEM!$B164="","",CALC_EEM!L164)</f>
      </c>
      <c r="M171">
        <f>IF(CALC_EEM!$B164="","",CALC_EEM!M164)</f>
      </c>
      <c r="N171">
        <f>IF(CALC_EEM!$B164="","",CALC_EEM!N164)</f>
      </c>
      <c r="O171">
        <f>IF(CALC_EEM!$B164="","",CALC_EEM!O164)</f>
      </c>
      <c r="P171">
        <f>IF(CALC_EEM!$B164="","",CALC_EEM!P164)</f>
      </c>
      <c r="Q171">
        <f>IF(CALC_EEM!$B164="","",CALC_EEM!Q164)</f>
      </c>
      <c r="R171">
        <f>IF(CALC_EEM!$B164="","",CALC_EEM!R164)</f>
      </c>
      <c r="S171">
        <f>IF(CALC_EEM!$B164="","",CALC_EEM!S164)</f>
      </c>
      <c r="T171">
        <f>IF(CALC_EEM!$B164="","",CALC_EEM!T164)</f>
      </c>
      <c r="U171">
        <f>IF(CALC_EEM!$B164="","",CALC_EEM!U164)</f>
      </c>
    </row>
    <row r="172" spans="1:24">
      <c r="A172" t="str">
        <f>IF(CALC_EEM!$B165="","",IF(CALC_EEM!A165="GLOBAL","GLOBAL",IF(CALC_EEM!C165="Total","CURSO_TOTAL",IF(CALC_EEM!C165="TotalEsp","CURSO_ESP",IF(CALC_EEM!C165="TotalNoEsp","CURSO_NOESP","CURSO_ASIG")))))</f>
      </c>
      <c r="B172" t="str">
        <f>IF(CALC_EEM!$B165="","",CALC_EEM!A165)</f>
      </c>
      <c r="C172" t="str">
        <f>IF(CALC_EEM!$B165="","",CALC_EEM!B165)</f>
      </c>
      <c r="D172">
        <f>IF(CALC_EEM!$B165="","",CALC_EEM!D165)</f>
      </c>
      <c r="E172" s="14" t="str">
        <f>IF(CALC_EEM!$B165="","",CALC_EEM!E165)</f>
      </c>
      <c r="F172" s="14" t="str">
        <f>IF(CALC_EEM!$B165="","",CALC_EEM!F165)</f>
      </c>
      <c r="G172" t="str">
        <f>IF(CALC_EEM!$B165="","",CALC_EEM!G165)</f>
      </c>
      <c r="H172" s="16" t="str">
        <f>IF(CALC_EEM!$B165="","",CALC_EEM!H165)</f>
      </c>
      <c r="I172" s="16" t="str">
        <f>IF(CALC_EEM!$B165="","",CALC_EEM!I165)</f>
      </c>
      <c r="J172" t="str">
        <f>IF(CALC_EEM!$B165="","",CALC_EEM!J165)</f>
      </c>
      <c r="K172" t="str">
        <f>IF(CALC_EEM!$B165="","",CALC_EEM!K165)</f>
      </c>
      <c r="L172">
        <f>IF(CALC_EEM!$B165="","",CALC_EEM!L165)</f>
      </c>
      <c r="M172">
        <f>IF(CALC_EEM!$B165="","",CALC_EEM!M165)</f>
      </c>
      <c r="N172">
        <f>IF(CALC_EEM!$B165="","",CALC_EEM!N165)</f>
      </c>
      <c r="O172">
        <f>IF(CALC_EEM!$B165="","",CALC_EEM!O165)</f>
      </c>
      <c r="P172">
        <f>IF(CALC_EEM!$B165="","",CALC_EEM!P165)</f>
      </c>
      <c r="Q172">
        <f>IF(CALC_EEM!$B165="","",CALC_EEM!Q165)</f>
      </c>
      <c r="R172">
        <f>IF(CALC_EEM!$B165="","",CALC_EEM!R165)</f>
      </c>
      <c r="S172">
        <f>IF(CALC_EEM!$B165="","",CALC_EEM!S165)</f>
      </c>
      <c r="T172">
        <f>IF(CALC_EEM!$B165="","",CALC_EEM!T165)</f>
      </c>
      <c r="U172">
        <f>IF(CALC_EEM!$B165="","",CALC_EEM!U165)</f>
      </c>
    </row>
    <row r="173" spans="1:24">
      <c r="A173" t="str">
        <f>IF(CALC_EEM!$B166="","",IF(CALC_EEM!A166="GLOBAL","GLOBAL",IF(CALC_EEM!C166="Total","CURSO_TOTAL",IF(CALC_EEM!C166="TotalEsp","CURSO_ESP",IF(CALC_EEM!C166="TotalNoEsp","CURSO_NOESP","CURSO_ASIG")))))</f>
      </c>
      <c r="B173" t="str">
        <f>IF(CALC_EEM!$B166="","",CALC_EEM!A166)</f>
      </c>
      <c r="C173" t="str">
        <f>IF(CALC_EEM!$B166="","",CALC_EEM!B166)</f>
      </c>
      <c r="D173">
        <f>IF(CALC_EEM!$B166="","",CALC_EEM!D166)</f>
      </c>
      <c r="E173" s="14" t="str">
        <f>IF(CALC_EEM!$B166="","",CALC_EEM!E166)</f>
      </c>
      <c r="F173" s="14" t="str">
        <f>IF(CALC_EEM!$B166="","",CALC_EEM!F166)</f>
      </c>
      <c r="G173" t="str">
        <f>IF(CALC_EEM!$B166="","",CALC_EEM!G166)</f>
      </c>
      <c r="H173" s="16" t="str">
        <f>IF(CALC_EEM!$B166="","",CALC_EEM!H166)</f>
      </c>
      <c r="I173" s="16" t="str">
        <f>IF(CALC_EEM!$B166="","",CALC_EEM!I166)</f>
      </c>
      <c r="J173" t="str">
        <f>IF(CALC_EEM!$B166="","",CALC_EEM!J166)</f>
      </c>
      <c r="K173" t="str">
        <f>IF(CALC_EEM!$B166="","",CALC_EEM!K166)</f>
      </c>
      <c r="L173">
        <f>IF(CALC_EEM!$B166="","",CALC_EEM!L166)</f>
      </c>
      <c r="M173">
        <f>IF(CALC_EEM!$B166="","",CALC_EEM!M166)</f>
      </c>
      <c r="N173">
        <f>IF(CALC_EEM!$B166="","",CALC_EEM!N166)</f>
      </c>
      <c r="O173">
        <f>IF(CALC_EEM!$B166="","",CALC_EEM!O166)</f>
      </c>
      <c r="P173">
        <f>IF(CALC_EEM!$B166="","",CALC_EEM!P166)</f>
      </c>
      <c r="Q173">
        <f>IF(CALC_EEM!$B166="","",CALC_EEM!Q166)</f>
      </c>
      <c r="R173">
        <f>IF(CALC_EEM!$B166="","",CALC_EEM!R166)</f>
      </c>
      <c r="S173">
        <f>IF(CALC_EEM!$B166="","",CALC_EEM!S166)</f>
      </c>
      <c r="T173">
        <f>IF(CALC_EEM!$B166="","",CALC_EEM!T166)</f>
      </c>
      <c r="U173">
        <f>IF(CALC_EEM!$B166="","",CALC_EEM!U166)</f>
      </c>
    </row>
    <row r="174" spans="1:24">
      <c r="A174" t="str">
        <f>IF(CALC_EEM!$B167="","",IF(CALC_EEM!A167="GLOBAL","GLOBAL",IF(CALC_EEM!C167="Total","CURSO_TOTAL",IF(CALC_EEM!C167="TotalEsp","CURSO_ESP",IF(CALC_EEM!C167="TotalNoEsp","CURSO_NOESP","CURSO_ASIG")))))</f>
      </c>
      <c r="B174" t="str">
        <f>IF(CALC_EEM!$B167="","",CALC_EEM!A167)</f>
      </c>
      <c r="C174" t="str">
        <f>IF(CALC_EEM!$B167="","",CALC_EEM!B167)</f>
      </c>
      <c r="D174">
        <f>IF(CALC_EEM!$B167="","",CALC_EEM!D167)</f>
      </c>
      <c r="E174" s="14" t="str">
        <f>IF(CALC_EEM!$B167="","",CALC_EEM!E167)</f>
      </c>
      <c r="F174" s="14" t="str">
        <f>IF(CALC_EEM!$B167="","",CALC_EEM!F167)</f>
      </c>
      <c r="G174" t="str">
        <f>IF(CALC_EEM!$B167="","",CALC_EEM!G167)</f>
      </c>
      <c r="H174" s="16" t="str">
        <f>IF(CALC_EEM!$B167="","",CALC_EEM!H167)</f>
      </c>
      <c r="I174" s="16" t="str">
        <f>IF(CALC_EEM!$B167="","",CALC_EEM!I167)</f>
      </c>
      <c r="J174" t="str">
        <f>IF(CALC_EEM!$B167="","",CALC_EEM!J167)</f>
      </c>
      <c r="K174" t="str">
        <f>IF(CALC_EEM!$B167="","",CALC_EEM!K167)</f>
      </c>
      <c r="L174">
        <f>IF(CALC_EEM!$B167="","",CALC_EEM!L167)</f>
      </c>
      <c r="M174">
        <f>IF(CALC_EEM!$B167="","",CALC_EEM!M167)</f>
      </c>
      <c r="N174">
        <f>IF(CALC_EEM!$B167="","",CALC_EEM!N167)</f>
      </c>
      <c r="O174">
        <f>IF(CALC_EEM!$B167="","",CALC_EEM!O167)</f>
      </c>
      <c r="P174">
        <f>IF(CALC_EEM!$B167="","",CALC_EEM!P167)</f>
      </c>
      <c r="Q174">
        <f>IF(CALC_EEM!$B167="","",CALC_EEM!Q167)</f>
      </c>
      <c r="R174">
        <f>IF(CALC_EEM!$B167="","",CALC_EEM!R167)</f>
      </c>
      <c r="S174">
        <f>IF(CALC_EEM!$B167="","",CALC_EEM!S167)</f>
      </c>
      <c r="T174">
        <f>IF(CALC_EEM!$B167="","",CALC_EEM!T167)</f>
      </c>
      <c r="U174">
        <f>IF(CALC_EEM!$B167="","",CALC_EEM!U167)</f>
      </c>
    </row>
    <row r="175" spans="1:24">
      <c r="A175" t="str">
        <f>IF(CALC_EEM!$B168="","",IF(CALC_EEM!A168="GLOBAL","GLOBAL",IF(CALC_EEM!C168="Total","CURSO_TOTAL",IF(CALC_EEM!C168="TotalEsp","CURSO_ESP",IF(CALC_EEM!C168="TotalNoEsp","CURSO_NOESP","CURSO_ASIG")))))</f>
      </c>
      <c r="B175" t="str">
        <f>IF(CALC_EEM!$B168="","",CALC_EEM!A168)</f>
      </c>
      <c r="C175" t="str">
        <f>IF(CALC_EEM!$B168="","",CALC_EEM!B168)</f>
      </c>
      <c r="D175">
        <f>IF(CALC_EEM!$B168="","",CALC_EEM!D168)</f>
      </c>
      <c r="E175" s="14" t="str">
        <f>IF(CALC_EEM!$B168="","",CALC_EEM!E168)</f>
      </c>
      <c r="F175" s="14" t="str">
        <f>IF(CALC_EEM!$B168="","",CALC_EEM!F168)</f>
      </c>
      <c r="G175" t="str">
        <f>IF(CALC_EEM!$B168="","",CALC_EEM!G168)</f>
      </c>
      <c r="H175" s="16" t="str">
        <f>IF(CALC_EEM!$B168="","",CALC_EEM!H168)</f>
      </c>
      <c r="I175" s="16" t="str">
        <f>IF(CALC_EEM!$B168="","",CALC_EEM!I168)</f>
      </c>
      <c r="J175" t="str">
        <f>IF(CALC_EEM!$B168="","",CALC_EEM!J168)</f>
      </c>
      <c r="K175" t="str">
        <f>IF(CALC_EEM!$B168="","",CALC_EEM!K168)</f>
      </c>
      <c r="L175">
        <f>IF(CALC_EEM!$B168="","",CALC_EEM!L168)</f>
      </c>
      <c r="M175">
        <f>IF(CALC_EEM!$B168="","",CALC_EEM!M168)</f>
      </c>
      <c r="N175">
        <f>IF(CALC_EEM!$B168="","",CALC_EEM!N168)</f>
      </c>
      <c r="O175">
        <f>IF(CALC_EEM!$B168="","",CALC_EEM!O168)</f>
      </c>
      <c r="P175">
        <f>IF(CALC_EEM!$B168="","",CALC_EEM!P168)</f>
      </c>
      <c r="Q175">
        <f>IF(CALC_EEM!$B168="","",CALC_EEM!Q168)</f>
      </c>
      <c r="R175">
        <f>IF(CALC_EEM!$B168="","",CALC_EEM!R168)</f>
      </c>
      <c r="S175">
        <f>IF(CALC_EEM!$B168="","",CALC_EEM!S168)</f>
      </c>
      <c r="T175">
        <f>IF(CALC_EEM!$B168="","",CALC_EEM!T168)</f>
      </c>
      <c r="U175">
        <f>IF(CALC_EEM!$B168="","",CALC_EEM!U168)</f>
      </c>
    </row>
    <row r="176" spans="1:24">
      <c r="A176" t="str">
        <f>IF(CALC_EEM!$B169="","",IF(CALC_EEM!A169="GLOBAL","GLOBAL",IF(CALC_EEM!C169="Total","CURSO_TOTAL",IF(CALC_EEM!C169="TotalEsp","CURSO_ESP",IF(CALC_EEM!C169="TotalNoEsp","CURSO_NOESP","CURSO_ASIG")))))</f>
      </c>
      <c r="B176" t="str">
        <f>IF(CALC_EEM!$B169="","",CALC_EEM!A169)</f>
      </c>
      <c r="C176" t="str">
        <f>IF(CALC_EEM!$B169="","",CALC_EEM!B169)</f>
      </c>
      <c r="D176">
        <f>IF(CALC_EEM!$B169="","",CALC_EEM!D169)</f>
      </c>
      <c r="E176" s="14" t="str">
        <f>IF(CALC_EEM!$B169="","",CALC_EEM!E169)</f>
      </c>
      <c r="F176" s="14" t="str">
        <f>IF(CALC_EEM!$B169="","",CALC_EEM!F169)</f>
      </c>
      <c r="G176" t="str">
        <f>IF(CALC_EEM!$B169="","",CALC_EEM!G169)</f>
      </c>
      <c r="H176" s="16" t="str">
        <f>IF(CALC_EEM!$B169="","",CALC_EEM!H169)</f>
      </c>
      <c r="I176" s="16" t="str">
        <f>IF(CALC_EEM!$B169="","",CALC_EEM!I169)</f>
      </c>
      <c r="J176" t="str">
        <f>IF(CALC_EEM!$B169="","",CALC_EEM!J169)</f>
      </c>
      <c r="K176" t="str">
        <f>IF(CALC_EEM!$B169="","",CALC_EEM!K169)</f>
      </c>
      <c r="L176">
        <f>IF(CALC_EEM!$B169="","",CALC_EEM!L169)</f>
      </c>
      <c r="M176">
        <f>IF(CALC_EEM!$B169="","",CALC_EEM!M169)</f>
      </c>
      <c r="N176">
        <f>IF(CALC_EEM!$B169="","",CALC_EEM!N169)</f>
      </c>
      <c r="O176">
        <f>IF(CALC_EEM!$B169="","",CALC_EEM!O169)</f>
      </c>
      <c r="P176">
        <f>IF(CALC_EEM!$B169="","",CALC_EEM!P169)</f>
      </c>
      <c r="Q176">
        <f>IF(CALC_EEM!$B169="","",CALC_EEM!Q169)</f>
      </c>
      <c r="R176">
        <f>IF(CALC_EEM!$B169="","",CALC_EEM!R169)</f>
      </c>
      <c r="S176">
        <f>IF(CALC_EEM!$B169="","",CALC_EEM!S169)</f>
      </c>
      <c r="T176">
        <f>IF(CALC_EEM!$B169="","",CALC_EEM!T169)</f>
      </c>
      <c r="U176">
        <f>IF(CALC_EEM!$B169="","",CALC_EEM!U169)</f>
      </c>
    </row>
    <row r="177" spans="1:24">
      <c r="A177" t="str">
        <f>IF(CALC_EEM!$B170="","",IF(CALC_EEM!A170="GLOBAL","GLOBAL",IF(CALC_EEM!C170="Total","CURSO_TOTAL",IF(CALC_EEM!C170="TotalEsp","CURSO_ESP",IF(CALC_EEM!C170="TotalNoEsp","CURSO_NOESP","CURSO_ASIG")))))</f>
      </c>
      <c r="B177" t="str">
        <f>IF(CALC_EEM!$B170="","",CALC_EEM!A170)</f>
      </c>
      <c r="C177" t="str">
        <f>IF(CALC_EEM!$B170="","",CALC_EEM!B170)</f>
      </c>
      <c r="D177">
        <f>IF(CALC_EEM!$B170="","",CALC_EEM!D170)</f>
      </c>
      <c r="E177" s="14" t="str">
        <f>IF(CALC_EEM!$B170="","",CALC_EEM!E170)</f>
      </c>
      <c r="F177" s="14" t="str">
        <f>IF(CALC_EEM!$B170="","",CALC_EEM!F170)</f>
      </c>
      <c r="G177" t="str">
        <f>IF(CALC_EEM!$B170="","",CALC_EEM!G170)</f>
      </c>
      <c r="H177" s="16" t="str">
        <f>IF(CALC_EEM!$B170="","",CALC_EEM!H170)</f>
      </c>
      <c r="I177" s="16" t="str">
        <f>IF(CALC_EEM!$B170="","",CALC_EEM!I170)</f>
      </c>
      <c r="J177" t="str">
        <f>IF(CALC_EEM!$B170="","",CALC_EEM!J170)</f>
      </c>
      <c r="K177" t="str">
        <f>IF(CALC_EEM!$B170="","",CALC_EEM!K170)</f>
      </c>
      <c r="L177">
        <f>IF(CALC_EEM!$B170="","",CALC_EEM!L170)</f>
      </c>
      <c r="M177">
        <f>IF(CALC_EEM!$B170="","",CALC_EEM!M170)</f>
      </c>
      <c r="N177">
        <f>IF(CALC_EEM!$B170="","",CALC_EEM!N170)</f>
      </c>
      <c r="O177">
        <f>IF(CALC_EEM!$B170="","",CALC_EEM!O170)</f>
      </c>
      <c r="P177">
        <f>IF(CALC_EEM!$B170="","",CALC_EEM!P170)</f>
      </c>
      <c r="Q177">
        <f>IF(CALC_EEM!$B170="","",CALC_EEM!Q170)</f>
      </c>
      <c r="R177">
        <f>IF(CALC_EEM!$B170="","",CALC_EEM!R170)</f>
      </c>
      <c r="S177">
        <f>IF(CALC_EEM!$B170="","",CALC_EEM!S170)</f>
      </c>
      <c r="T177">
        <f>IF(CALC_EEM!$B170="","",CALC_EEM!T170)</f>
      </c>
      <c r="U177">
        <f>IF(CALC_EEM!$B170="","",CALC_EEM!U170)</f>
      </c>
    </row>
    <row r="178" spans="1:24">
      <c r="A178" t="str">
        <f>IF(CALC_EEM!$B171="","",IF(CALC_EEM!A171="GLOBAL","GLOBAL",IF(CALC_EEM!C171="Total","CURSO_TOTAL",IF(CALC_EEM!C171="TotalEsp","CURSO_ESP",IF(CALC_EEM!C171="TotalNoEsp","CURSO_NOESP","CURSO_ASIG")))))</f>
      </c>
      <c r="B178" t="str">
        <f>IF(CALC_EEM!$B171="","",CALC_EEM!A171)</f>
      </c>
      <c r="C178" t="str">
        <f>IF(CALC_EEM!$B171="","",CALC_EEM!B171)</f>
      </c>
      <c r="D178">
        <f>IF(CALC_EEM!$B171="","",CALC_EEM!D171)</f>
      </c>
      <c r="E178" s="14" t="str">
        <f>IF(CALC_EEM!$B171="","",CALC_EEM!E171)</f>
      </c>
      <c r="F178" s="14" t="str">
        <f>IF(CALC_EEM!$B171="","",CALC_EEM!F171)</f>
      </c>
      <c r="G178" t="str">
        <f>IF(CALC_EEM!$B171="","",CALC_EEM!G171)</f>
      </c>
      <c r="H178" s="16" t="str">
        <f>IF(CALC_EEM!$B171="","",CALC_EEM!H171)</f>
      </c>
      <c r="I178" s="16" t="str">
        <f>IF(CALC_EEM!$B171="","",CALC_EEM!I171)</f>
      </c>
      <c r="J178" t="str">
        <f>IF(CALC_EEM!$B171="","",CALC_EEM!J171)</f>
      </c>
      <c r="K178" t="str">
        <f>IF(CALC_EEM!$B171="","",CALC_EEM!K171)</f>
      </c>
      <c r="L178">
        <f>IF(CALC_EEM!$B171="","",CALC_EEM!L171)</f>
      </c>
      <c r="M178">
        <f>IF(CALC_EEM!$B171="","",CALC_EEM!M171)</f>
      </c>
      <c r="N178">
        <f>IF(CALC_EEM!$B171="","",CALC_EEM!N171)</f>
      </c>
      <c r="O178">
        <f>IF(CALC_EEM!$B171="","",CALC_EEM!O171)</f>
      </c>
      <c r="P178">
        <f>IF(CALC_EEM!$B171="","",CALC_EEM!P171)</f>
      </c>
      <c r="Q178">
        <f>IF(CALC_EEM!$B171="","",CALC_EEM!Q171)</f>
      </c>
      <c r="R178">
        <f>IF(CALC_EEM!$B171="","",CALC_EEM!R171)</f>
      </c>
      <c r="S178">
        <f>IF(CALC_EEM!$B171="","",CALC_EEM!S171)</f>
      </c>
      <c r="T178">
        <f>IF(CALC_EEM!$B171="","",CALC_EEM!T171)</f>
      </c>
      <c r="U178">
        <f>IF(CALC_EEM!$B171="","",CALC_EEM!U171)</f>
      </c>
    </row>
    <row r="179" spans="1:24">
      <c r="A179" t="str">
        <f>IF(CALC_EEM!$B172="","",IF(CALC_EEM!A172="GLOBAL","GLOBAL",IF(CALC_EEM!C172="Total","CURSO_TOTAL",IF(CALC_EEM!C172="TotalEsp","CURSO_ESP",IF(CALC_EEM!C172="TotalNoEsp","CURSO_NOESP","CURSO_ASIG")))))</f>
      </c>
      <c r="B179" t="str">
        <f>IF(CALC_EEM!$B172="","",CALC_EEM!A172)</f>
      </c>
      <c r="C179" t="str">
        <f>IF(CALC_EEM!$B172="","",CALC_EEM!B172)</f>
      </c>
      <c r="D179">
        <f>IF(CALC_EEM!$B172="","",CALC_EEM!D172)</f>
      </c>
      <c r="E179" s="14" t="str">
        <f>IF(CALC_EEM!$B172="","",CALC_EEM!E172)</f>
      </c>
      <c r="F179" s="14" t="str">
        <f>IF(CALC_EEM!$B172="","",CALC_EEM!F172)</f>
      </c>
      <c r="G179" t="str">
        <f>IF(CALC_EEM!$B172="","",CALC_EEM!G172)</f>
      </c>
      <c r="H179" s="16" t="str">
        <f>IF(CALC_EEM!$B172="","",CALC_EEM!H172)</f>
      </c>
      <c r="I179" s="16" t="str">
        <f>IF(CALC_EEM!$B172="","",CALC_EEM!I172)</f>
      </c>
      <c r="J179" t="str">
        <f>IF(CALC_EEM!$B172="","",CALC_EEM!J172)</f>
      </c>
      <c r="K179" t="str">
        <f>IF(CALC_EEM!$B172="","",CALC_EEM!K172)</f>
      </c>
      <c r="L179">
        <f>IF(CALC_EEM!$B172="","",CALC_EEM!L172)</f>
      </c>
      <c r="M179">
        <f>IF(CALC_EEM!$B172="","",CALC_EEM!M172)</f>
      </c>
      <c r="N179">
        <f>IF(CALC_EEM!$B172="","",CALC_EEM!N172)</f>
      </c>
      <c r="O179">
        <f>IF(CALC_EEM!$B172="","",CALC_EEM!O172)</f>
      </c>
      <c r="P179">
        <f>IF(CALC_EEM!$B172="","",CALC_EEM!P172)</f>
      </c>
      <c r="Q179">
        <f>IF(CALC_EEM!$B172="","",CALC_EEM!Q172)</f>
      </c>
      <c r="R179">
        <f>IF(CALC_EEM!$B172="","",CALC_EEM!R172)</f>
      </c>
      <c r="S179">
        <f>IF(CALC_EEM!$B172="","",CALC_EEM!S172)</f>
      </c>
      <c r="T179">
        <f>IF(CALC_EEM!$B172="","",CALC_EEM!T172)</f>
      </c>
      <c r="U179">
        <f>IF(CALC_EEM!$B172="","",CALC_EEM!U172)</f>
      </c>
    </row>
    <row r="180" spans="1:24">
      <c r="A180" t="str">
        <f>IF(CALC_EEM!$B173="","",IF(CALC_EEM!A173="GLOBAL","GLOBAL",IF(CALC_EEM!C173="Total","CURSO_TOTAL",IF(CALC_EEM!C173="TotalEsp","CURSO_ESP",IF(CALC_EEM!C173="TotalNoEsp","CURSO_NOESP","CURSO_ASIG")))))</f>
      </c>
      <c r="B180" t="str">
        <f>IF(CALC_EEM!$B173="","",CALC_EEM!A173)</f>
      </c>
      <c r="C180" t="str">
        <f>IF(CALC_EEM!$B173="","",CALC_EEM!B173)</f>
      </c>
      <c r="D180">
        <f>IF(CALC_EEM!$B173="","",CALC_EEM!D173)</f>
      </c>
      <c r="E180" s="14" t="str">
        <f>IF(CALC_EEM!$B173="","",CALC_EEM!E173)</f>
      </c>
      <c r="F180" s="14" t="str">
        <f>IF(CALC_EEM!$B173="","",CALC_EEM!F173)</f>
      </c>
      <c r="G180" t="str">
        <f>IF(CALC_EEM!$B173="","",CALC_EEM!G173)</f>
      </c>
      <c r="H180" s="16" t="str">
        <f>IF(CALC_EEM!$B173="","",CALC_EEM!H173)</f>
      </c>
      <c r="I180" s="16" t="str">
        <f>IF(CALC_EEM!$B173="","",CALC_EEM!I173)</f>
      </c>
      <c r="J180" t="str">
        <f>IF(CALC_EEM!$B173="","",CALC_EEM!J173)</f>
      </c>
      <c r="K180" t="str">
        <f>IF(CALC_EEM!$B173="","",CALC_EEM!K173)</f>
      </c>
      <c r="L180">
        <f>IF(CALC_EEM!$B173="","",CALC_EEM!L173)</f>
      </c>
      <c r="M180">
        <f>IF(CALC_EEM!$B173="","",CALC_EEM!M173)</f>
      </c>
      <c r="N180">
        <f>IF(CALC_EEM!$B173="","",CALC_EEM!N173)</f>
      </c>
      <c r="O180">
        <f>IF(CALC_EEM!$B173="","",CALC_EEM!O173)</f>
      </c>
      <c r="P180">
        <f>IF(CALC_EEM!$B173="","",CALC_EEM!P173)</f>
      </c>
      <c r="Q180">
        <f>IF(CALC_EEM!$B173="","",CALC_EEM!Q173)</f>
      </c>
      <c r="R180">
        <f>IF(CALC_EEM!$B173="","",CALC_EEM!R173)</f>
      </c>
      <c r="S180">
        <f>IF(CALC_EEM!$B173="","",CALC_EEM!S173)</f>
      </c>
      <c r="T180">
        <f>IF(CALC_EEM!$B173="","",CALC_EEM!T173)</f>
      </c>
      <c r="U180">
        <f>IF(CALC_EEM!$B173="","",CALC_EEM!U173)</f>
      </c>
    </row>
    <row r="181" spans="1:24">
      <c r="A181" t="str">
        <f>IF(CALC_EEM!$B174="","",IF(CALC_EEM!A174="GLOBAL","GLOBAL",IF(CALC_EEM!C174="Total","CURSO_TOTAL",IF(CALC_EEM!C174="TotalEsp","CURSO_ESP",IF(CALC_EEM!C174="TotalNoEsp","CURSO_NOESP","CURSO_ASIG")))))</f>
      </c>
      <c r="B181" t="str">
        <f>IF(CALC_EEM!$B174="","",CALC_EEM!A174)</f>
      </c>
      <c r="C181" t="str">
        <f>IF(CALC_EEM!$B174="","",CALC_EEM!B174)</f>
      </c>
      <c r="D181">
        <f>IF(CALC_EEM!$B174="","",CALC_EEM!D174)</f>
      </c>
      <c r="E181" s="14" t="str">
        <f>IF(CALC_EEM!$B174="","",CALC_EEM!E174)</f>
      </c>
      <c r="F181" s="14" t="str">
        <f>IF(CALC_EEM!$B174="","",CALC_EEM!F174)</f>
      </c>
      <c r="G181" t="str">
        <f>IF(CALC_EEM!$B174="","",CALC_EEM!G174)</f>
      </c>
      <c r="H181" s="16" t="str">
        <f>IF(CALC_EEM!$B174="","",CALC_EEM!H174)</f>
      </c>
      <c r="I181" s="16" t="str">
        <f>IF(CALC_EEM!$B174="","",CALC_EEM!I174)</f>
      </c>
      <c r="J181" t="str">
        <f>IF(CALC_EEM!$B174="","",CALC_EEM!J174)</f>
      </c>
      <c r="K181" t="str">
        <f>IF(CALC_EEM!$B174="","",CALC_EEM!K174)</f>
      </c>
      <c r="L181">
        <f>IF(CALC_EEM!$B174="","",CALC_EEM!L174)</f>
      </c>
      <c r="M181">
        <f>IF(CALC_EEM!$B174="","",CALC_EEM!M174)</f>
      </c>
      <c r="N181">
        <f>IF(CALC_EEM!$B174="","",CALC_EEM!N174)</f>
      </c>
      <c r="O181">
        <f>IF(CALC_EEM!$B174="","",CALC_EEM!O174)</f>
      </c>
      <c r="P181">
        <f>IF(CALC_EEM!$B174="","",CALC_EEM!P174)</f>
      </c>
      <c r="Q181">
        <f>IF(CALC_EEM!$B174="","",CALC_EEM!Q174)</f>
      </c>
      <c r="R181">
        <f>IF(CALC_EEM!$B174="","",CALC_EEM!R174)</f>
      </c>
      <c r="S181">
        <f>IF(CALC_EEM!$B174="","",CALC_EEM!S174)</f>
      </c>
      <c r="T181">
        <f>IF(CALC_EEM!$B174="","",CALC_EEM!T174)</f>
      </c>
      <c r="U181">
        <f>IF(CALC_EEM!$B174="","",CALC_EEM!U174)</f>
      </c>
    </row>
    <row r="182" spans="1:24">
      <c r="A182" t="str">
        <f>IF(CALC_EEM!$B175="","",IF(CALC_EEM!A175="GLOBAL","GLOBAL",IF(CALC_EEM!C175="Total","CURSO_TOTAL",IF(CALC_EEM!C175="TotalEsp","CURSO_ESP",IF(CALC_EEM!C175="TotalNoEsp","CURSO_NOESP","CURSO_ASIG")))))</f>
      </c>
      <c r="B182" t="str">
        <f>IF(CALC_EEM!$B175="","",CALC_EEM!A175)</f>
      </c>
      <c r="C182" t="str">
        <f>IF(CALC_EEM!$B175="","",CALC_EEM!B175)</f>
      </c>
      <c r="D182">
        <f>IF(CALC_EEM!$B175="","",CALC_EEM!D175)</f>
      </c>
      <c r="E182" s="14" t="str">
        <f>IF(CALC_EEM!$B175="","",CALC_EEM!E175)</f>
      </c>
      <c r="F182" s="14" t="str">
        <f>IF(CALC_EEM!$B175="","",CALC_EEM!F175)</f>
      </c>
      <c r="G182" t="str">
        <f>IF(CALC_EEM!$B175="","",CALC_EEM!G175)</f>
      </c>
      <c r="H182" s="16" t="str">
        <f>IF(CALC_EEM!$B175="","",CALC_EEM!H175)</f>
      </c>
      <c r="I182" s="16" t="str">
        <f>IF(CALC_EEM!$B175="","",CALC_EEM!I175)</f>
      </c>
      <c r="J182" t="str">
        <f>IF(CALC_EEM!$B175="","",CALC_EEM!J175)</f>
      </c>
      <c r="K182" t="str">
        <f>IF(CALC_EEM!$B175="","",CALC_EEM!K175)</f>
      </c>
      <c r="L182">
        <f>IF(CALC_EEM!$B175="","",CALC_EEM!L175)</f>
      </c>
      <c r="M182">
        <f>IF(CALC_EEM!$B175="","",CALC_EEM!M175)</f>
      </c>
      <c r="N182">
        <f>IF(CALC_EEM!$B175="","",CALC_EEM!N175)</f>
      </c>
      <c r="O182">
        <f>IF(CALC_EEM!$B175="","",CALC_EEM!O175)</f>
      </c>
      <c r="P182">
        <f>IF(CALC_EEM!$B175="","",CALC_EEM!P175)</f>
      </c>
      <c r="Q182">
        <f>IF(CALC_EEM!$B175="","",CALC_EEM!Q175)</f>
      </c>
      <c r="R182">
        <f>IF(CALC_EEM!$B175="","",CALC_EEM!R175)</f>
      </c>
      <c r="S182">
        <f>IF(CALC_EEM!$B175="","",CALC_EEM!S175)</f>
      </c>
      <c r="T182">
        <f>IF(CALC_EEM!$B175="","",CALC_EEM!T175)</f>
      </c>
      <c r="U182">
        <f>IF(CALC_EEM!$B175="","",CALC_EEM!U175)</f>
      </c>
    </row>
    <row r="183" spans="1:24">
      <c r="A183" t="str">
        <f>IF(CALC_EEM!$B176="","",IF(CALC_EEM!A176="GLOBAL","GLOBAL",IF(CALC_EEM!C176="Total","CURSO_TOTAL",IF(CALC_EEM!C176="TotalEsp","CURSO_ESP",IF(CALC_EEM!C176="TotalNoEsp","CURSO_NOESP","CURSO_ASIG")))))</f>
      </c>
      <c r="B183" t="str">
        <f>IF(CALC_EEM!$B176="","",CALC_EEM!A176)</f>
      </c>
      <c r="C183" t="str">
        <f>IF(CALC_EEM!$B176="","",CALC_EEM!B176)</f>
      </c>
      <c r="D183">
        <f>IF(CALC_EEM!$B176="","",CALC_EEM!D176)</f>
      </c>
      <c r="E183" s="14" t="str">
        <f>IF(CALC_EEM!$B176="","",CALC_EEM!E176)</f>
      </c>
      <c r="F183" s="14" t="str">
        <f>IF(CALC_EEM!$B176="","",CALC_EEM!F176)</f>
      </c>
      <c r="G183" t="str">
        <f>IF(CALC_EEM!$B176="","",CALC_EEM!G176)</f>
      </c>
      <c r="H183" s="16" t="str">
        <f>IF(CALC_EEM!$B176="","",CALC_EEM!H176)</f>
      </c>
      <c r="I183" s="16" t="str">
        <f>IF(CALC_EEM!$B176="","",CALC_EEM!I176)</f>
      </c>
      <c r="J183" t="str">
        <f>IF(CALC_EEM!$B176="","",CALC_EEM!J176)</f>
      </c>
      <c r="K183" t="str">
        <f>IF(CALC_EEM!$B176="","",CALC_EEM!K176)</f>
      </c>
      <c r="L183">
        <f>IF(CALC_EEM!$B176="","",CALC_EEM!L176)</f>
      </c>
      <c r="M183">
        <f>IF(CALC_EEM!$B176="","",CALC_EEM!M176)</f>
      </c>
      <c r="N183">
        <f>IF(CALC_EEM!$B176="","",CALC_EEM!N176)</f>
      </c>
      <c r="O183">
        <f>IF(CALC_EEM!$B176="","",CALC_EEM!O176)</f>
      </c>
      <c r="P183">
        <f>IF(CALC_EEM!$B176="","",CALC_EEM!P176)</f>
      </c>
      <c r="Q183">
        <f>IF(CALC_EEM!$B176="","",CALC_EEM!Q176)</f>
      </c>
      <c r="R183">
        <f>IF(CALC_EEM!$B176="","",CALC_EEM!R176)</f>
      </c>
      <c r="S183">
        <f>IF(CALC_EEM!$B176="","",CALC_EEM!S176)</f>
      </c>
      <c r="T183">
        <f>IF(CALC_EEM!$B176="","",CALC_EEM!T176)</f>
      </c>
      <c r="U183">
        <f>IF(CALC_EEM!$B176="","",CALC_EEM!U176)</f>
      </c>
    </row>
    <row r="184" spans="1:24">
      <c r="A184" t="str">
        <f>IF(CALC_EEM!$B177="","",IF(CALC_EEM!A177="GLOBAL","GLOBAL",IF(CALC_EEM!C177="Total","CURSO_TOTAL",IF(CALC_EEM!C177="TotalEsp","CURSO_ESP",IF(CALC_EEM!C177="TotalNoEsp","CURSO_NOESP","CURSO_ASIG")))))</f>
      </c>
      <c r="B184" t="str">
        <f>IF(CALC_EEM!$B177="","",CALC_EEM!A177)</f>
      </c>
      <c r="C184" t="str">
        <f>IF(CALC_EEM!$B177="","",CALC_EEM!B177)</f>
      </c>
      <c r="D184">
        <f>IF(CALC_EEM!$B177="","",CALC_EEM!D177)</f>
      </c>
      <c r="E184" s="14" t="str">
        <f>IF(CALC_EEM!$B177="","",CALC_EEM!E177)</f>
      </c>
      <c r="F184" s="14" t="str">
        <f>IF(CALC_EEM!$B177="","",CALC_EEM!F177)</f>
      </c>
      <c r="G184" t="str">
        <f>IF(CALC_EEM!$B177="","",CALC_EEM!G177)</f>
      </c>
      <c r="H184" s="16" t="str">
        <f>IF(CALC_EEM!$B177="","",CALC_EEM!H177)</f>
      </c>
      <c r="I184" s="16" t="str">
        <f>IF(CALC_EEM!$B177="","",CALC_EEM!I177)</f>
      </c>
      <c r="J184" t="str">
        <f>IF(CALC_EEM!$B177="","",CALC_EEM!J177)</f>
      </c>
      <c r="K184" t="str">
        <f>IF(CALC_EEM!$B177="","",CALC_EEM!K177)</f>
      </c>
      <c r="L184">
        <f>IF(CALC_EEM!$B177="","",CALC_EEM!L177)</f>
      </c>
      <c r="M184">
        <f>IF(CALC_EEM!$B177="","",CALC_EEM!M177)</f>
      </c>
      <c r="N184">
        <f>IF(CALC_EEM!$B177="","",CALC_EEM!N177)</f>
      </c>
      <c r="O184">
        <f>IF(CALC_EEM!$B177="","",CALC_EEM!O177)</f>
      </c>
      <c r="P184">
        <f>IF(CALC_EEM!$B177="","",CALC_EEM!P177)</f>
      </c>
      <c r="Q184">
        <f>IF(CALC_EEM!$B177="","",CALC_EEM!Q177)</f>
      </c>
      <c r="R184">
        <f>IF(CALC_EEM!$B177="","",CALC_EEM!R177)</f>
      </c>
      <c r="S184">
        <f>IF(CALC_EEM!$B177="","",CALC_EEM!S177)</f>
      </c>
      <c r="T184">
        <f>IF(CALC_EEM!$B177="","",CALC_EEM!T177)</f>
      </c>
      <c r="U184">
        <f>IF(CALC_EEM!$B177="","",CALC_EEM!U177)</f>
      </c>
    </row>
    <row r="185" spans="1:24">
      <c r="A185" t="str">
        <f>IF(CALC_EEM!$B178="","",IF(CALC_EEM!A178="GLOBAL","GLOBAL",IF(CALC_EEM!C178="Total","CURSO_TOTAL",IF(CALC_EEM!C178="TotalEsp","CURSO_ESP",IF(CALC_EEM!C178="TotalNoEsp","CURSO_NOESP","CURSO_ASIG")))))</f>
      </c>
      <c r="B185" t="str">
        <f>IF(CALC_EEM!$B178="","",CALC_EEM!A178)</f>
      </c>
      <c r="C185" t="str">
        <f>IF(CALC_EEM!$B178="","",CALC_EEM!B178)</f>
      </c>
      <c r="D185">
        <f>IF(CALC_EEM!$B178="","",CALC_EEM!D178)</f>
      </c>
      <c r="E185" s="14" t="str">
        <f>IF(CALC_EEM!$B178="","",CALC_EEM!E178)</f>
      </c>
      <c r="F185" s="14" t="str">
        <f>IF(CALC_EEM!$B178="","",CALC_EEM!F178)</f>
      </c>
      <c r="G185" t="str">
        <f>IF(CALC_EEM!$B178="","",CALC_EEM!G178)</f>
      </c>
      <c r="H185" s="16" t="str">
        <f>IF(CALC_EEM!$B178="","",CALC_EEM!H178)</f>
      </c>
      <c r="I185" s="16" t="str">
        <f>IF(CALC_EEM!$B178="","",CALC_EEM!I178)</f>
      </c>
      <c r="J185" t="str">
        <f>IF(CALC_EEM!$B178="","",CALC_EEM!J178)</f>
      </c>
      <c r="K185" t="str">
        <f>IF(CALC_EEM!$B178="","",CALC_EEM!K178)</f>
      </c>
      <c r="L185">
        <f>IF(CALC_EEM!$B178="","",CALC_EEM!L178)</f>
      </c>
      <c r="M185">
        <f>IF(CALC_EEM!$B178="","",CALC_EEM!M178)</f>
      </c>
      <c r="N185">
        <f>IF(CALC_EEM!$B178="","",CALC_EEM!N178)</f>
      </c>
      <c r="O185">
        <f>IF(CALC_EEM!$B178="","",CALC_EEM!O178)</f>
      </c>
      <c r="P185">
        <f>IF(CALC_EEM!$B178="","",CALC_EEM!P178)</f>
      </c>
      <c r="Q185">
        <f>IF(CALC_EEM!$B178="","",CALC_EEM!Q178)</f>
      </c>
      <c r="R185">
        <f>IF(CALC_EEM!$B178="","",CALC_EEM!R178)</f>
      </c>
      <c r="S185">
        <f>IF(CALC_EEM!$B178="","",CALC_EEM!S178)</f>
      </c>
      <c r="T185">
        <f>IF(CALC_EEM!$B178="","",CALC_EEM!T178)</f>
      </c>
      <c r="U185">
        <f>IF(CALC_EEM!$B178="","",CALC_EEM!U178)</f>
      </c>
    </row>
    <row r="186" spans="1:24">
      <c r="A186" t="str">
        <f>IF(CALC_EEM!$B179="","",IF(CALC_EEM!A179="GLOBAL","GLOBAL",IF(CALC_EEM!C179="Total","CURSO_TOTAL",IF(CALC_EEM!C179="TotalEsp","CURSO_ESP",IF(CALC_EEM!C179="TotalNoEsp","CURSO_NOESP","CURSO_ASIG")))))</f>
      </c>
      <c r="B186" t="str">
        <f>IF(CALC_EEM!$B179="","",CALC_EEM!A179)</f>
      </c>
      <c r="C186" t="str">
        <f>IF(CALC_EEM!$B179="","",CALC_EEM!B179)</f>
      </c>
      <c r="D186">
        <f>IF(CALC_EEM!$B179="","",CALC_EEM!D179)</f>
      </c>
      <c r="E186" s="14" t="str">
        <f>IF(CALC_EEM!$B179="","",CALC_EEM!E179)</f>
      </c>
      <c r="F186" s="14" t="str">
        <f>IF(CALC_EEM!$B179="","",CALC_EEM!F179)</f>
      </c>
      <c r="G186" t="str">
        <f>IF(CALC_EEM!$B179="","",CALC_EEM!G179)</f>
      </c>
      <c r="H186" s="16" t="str">
        <f>IF(CALC_EEM!$B179="","",CALC_EEM!H179)</f>
      </c>
      <c r="I186" s="16" t="str">
        <f>IF(CALC_EEM!$B179="","",CALC_EEM!I179)</f>
      </c>
      <c r="J186" t="str">
        <f>IF(CALC_EEM!$B179="","",CALC_EEM!J179)</f>
      </c>
      <c r="K186" t="str">
        <f>IF(CALC_EEM!$B179="","",CALC_EEM!K179)</f>
      </c>
      <c r="L186">
        <f>IF(CALC_EEM!$B179="","",CALC_EEM!L179)</f>
      </c>
      <c r="M186">
        <f>IF(CALC_EEM!$B179="","",CALC_EEM!M179)</f>
      </c>
      <c r="N186">
        <f>IF(CALC_EEM!$B179="","",CALC_EEM!N179)</f>
      </c>
      <c r="O186">
        <f>IF(CALC_EEM!$B179="","",CALC_EEM!O179)</f>
      </c>
      <c r="P186">
        <f>IF(CALC_EEM!$B179="","",CALC_EEM!P179)</f>
      </c>
      <c r="Q186">
        <f>IF(CALC_EEM!$B179="","",CALC_EEM!Q179)</f>
      </c>
      <c r="R186">
        <f>IF(CALC_EEM!$B179="","",CALC_EEM!R179)</f>
      </c>
      <c r="S186">
        <f>IF(CALC_EEM!$B179="","",CALC_EEM!S179)</f>
      </c>
      <c r="T186">
        <f>IF(CALC_EEM!$B179="","",CALC_EEM!T179)</f>
      </c>
      <c r="U186">
        <f>IF(CALC_EEM!$B179="","",CALC_EEM!U179)</f>
      </c>
    </row>
    <row r="187" spans="1:24">
      <c r="A187" t="str">
        <f>IF(CALC_EEM!$B180="","",IF(CALC_EEM!A180="GLOBAL","GLOBAL",IF(CALC_EEM!C180="Total","CURSO_TOTAL",IF(CALC_EEM!C180="TotalEsp","CURSO_ESP",IF(CALC_EEM!C180="TotalNoEsp","CURSO_NOESP","CURSO_ASIG")))))</f>
      </c>
      <c r="B187" t="str">
        <f>IF(CALC_EEM!$B180="","",CALC_EEM!A180)</f>
      </c>
      <c r="C187" t="str">
        <f>IF(CALC_EEM!$B180="","",CALC_EEM!B180)</f>
      </c>
      <c r="D187">
        <f>IF(CALC_EEM!$B180="","",CALC_EEM!D180)</f>
      </c>
      <c r="E187" s="14" t="str">
        <f>IF(CALC_EEM!$B180="","",CALC_EEM!E180)</f>
      </c>
      <c r="F187" s="14" t="str">
        <f>IF(CALC_EEM!$B180="","",CALC_EEM!F180)</f>
      </c>
      <c r="G187" t="str">
        <f>IF(CALC_EEM!$B180="","",CALC_EEM!G180)</f>
      </c>
      <c r="H187" s="16" t="str">
        <f>IF(CALC_EEM!$B180="","",CALC_EEM!H180)</f>
      </c>
      <c r="I187" s="16" t="str">
        <f>IF(CALC_EEM!$B180="","",CALC_EEM!I180)</f>
      </c>
      <c r="J187" t="str">
        <f>IF(CALC_EEM!$B180="","",CALC_EEM!J180)</f>
      </c>
      <c r="K187" t="str">
        <f>IF(CALC_EEM!$B180="","",CALC_EEM!K180)</f>
      </c>
      <c r="L187">
        <f>IF(CALC_EEM!$B180="","",CALC_EEM!L180)</f>
      </c>
      <c r="M187">
        <f>IF(CALC_EEM!$B180="","",CALC_EEM!M180)</f>
      </c>
      <c r="N187">
        <f>IF(CALC_EEM!$B180="","",CALC_EEM!N180)</f>
      </c>
      <c r="O187">
        <f>IF(CALC_EEM!$B180="","",CALC_EEM!O180)</f>
      </c>
      <c r="P187">
        <f>IF(CALC_EEM!$B180="","",CALC_EEM!P180)</f>
      </c>
      <c r="Q187">
        <f>IF(CALC_EEM!$B180="","",CALC_EEM!Q180)</f>
      </c>
      <c r="R187">
        <f>IF(CALC_EEM!$B180="","",CALC_EEM!R180)</f>
      </c>
      <c r="S187">
        <f>IF(CALC_EEM!$B180="","",CALC_EEM!S180)</f>
      </c>
      <c r="T187">
        <f>IF(CALC_EEM!$B180="","",CALC_EEM!T180)</f>
      </c>
      <c r="U187">
        <f>IF(CALC_EEM!$B180="","",CALC_EEM!U180)</f>
      </c>
    </row>
    <row r="188" spans="1:24">
      <c r="A188" t="str">
        <f>IF(CALC_EEM!$B181="","",IF(CALC_EEM!A181="GLOBAL","GLOBAL",IF(CALC_EEM!C181="Total","CURSO_TOTAL",IF(CALC_EEM!C181="TotalEsp","CURSO_ESP",IF(CALC_EEM!C181="TotalNoEsp","CURSO_NOESP","CURSO_ASIG")))))</f>
      </c>
      <c r="B188" t="str">
        <f>IF(CALC_EEM!$B181="","",CALC_EEM!A181)</f>
      </c>
      <c r="C188" t="str">
        <f>IF(CALC_EEM!$B181="","",CALC_EEM!B181)</f>
      </c>
      <c r="D188">
        <f>IF(CALC_EEM!$B181="","",CALC_EEM!D181)</f>
      </c>
      <c r="E188" s="14" t="str">
        <f>IF(CALC_EEM!$B181="","",CALC_EEM!E181)</f>
      </c>
      <c r="F188" s="14" t="str">
        <f>IF(CALC_EEM!$B181="","",CALC_EEM!F181)</f>
      </c>
      <c r="G188" t="str">
        <f>IF(CALC_EEM!$B181="","",CALC_EEM!G181)</f>
      </c>
      <c r="H188" s="16" t="str">
        <f>IF(CALC_EEM!$B181="","",CALC_EEM!H181)</f>
      </c>
      <c r="I188" s="16" t="str">
        <f>IF(CALC_EEM!$B181="","",CALC_EEM!I181)</f>
      </c>
      <c r="J188" t="str">
        <f>IF(CALC_EEM!$B181="","",CALC_EEM!J181)</f>
      </c>
      <c r="K188" t="str">
        <f>IF(CALC_EEM!$B181="","",CALC_EEM!K181)</f>
      </c>
      <c r="L188">
        <f>IF(CALC_EEM!$B181="","",CALC_EEM!L181)</f>
      </c>
      <c r="M188">
        <f>IF(CALC_EEM!$B181="","",CALC_EEM!M181)</f>
      </c>
      <c r="N188">
        <f>IF(CALC_EEM!$B181="","",CALC_EEM!N181)</f>
      </c>
      <c r="O188">
        <f>IF(CALC_EEM!$B181="","",CALC_EEM!O181)</f>
      </c>
      <c r="P188">
        <f>IF(CALC_EEM!$B181="","",CALC_EEM!P181)</f>
      </c>
      <c r="Q188">
        <f>IF(CALC_EEM!$B181="","",CALC_EEM!Q181)</f>
      </c>
      <c r="R188">
        <f>IF(CALC_EEM!$B181="","",CALC_EEM!R181)</f>
      </c>
      <c r="S188">
        <f>IF(CALC_EEM!$B181="","",CALC_EEM!S181)</f>
      </c>
      <c r="T188">
        <f>IF(CALC_EEM!$B181="","",CALC_EEM!T181)</f>
      </c>
      <c r="U188">
        <f>IF(CALC_EEM!$B181="","",CALC_EEM!U181)</f>
      </c>
    </row>
    <row r="189" spans="1:24">
      <c r="A189" t="str">
        <f>IF(CALC_EEM!$B182="","",IF(CALC_EEM!A182="GLOBAL","GLOBAL",IF(CALC_EEM!C182="Total","CURSO_TOTAL",IF(CALC_EEM!C182="TotalEsp","CURSO_ESP",IF(CALC_EEM!C182="TotalNoEsp","CURSO_NOESP","CURSO_ASIG")))))</f>
      </c>
      <c r="B189" t="str">
        <f>IF(CALC_EEM!$B182="","",CALC_EEM!A182)</f>
      </c>
      <c r="C189" t="str">
        <f>IF(CALC_EEM!$B182="","",CALC_EEM!B182)</f>
      </c>
      <c r="D189">
        <f>IF(CALC_EEM!$B182="","",CALC_EEM!D182)</f>
      </c>
      <c r="E189" s="14" t="str">
        <f>IF(CALC_EEM!$B182="","",CALC_EEM!E182)</f>
      </c>
      <c r="F189" s="14" t="str">
        <f>IF(CALC_EEM!$B182="","",CALC_EEM!F182)</f>
      </c>
      <c r="G189" t="str">
        <f>IF(CALC_EEM!$B182="","",CALC_EEM!G182)</f>
      </c>
      <c r="H189" s="16" t="str">
        <f>IF(CALC_EEM!$B182="","",CALC_EEM!H182)</f>
      </c>
      <c r="I189" s="16" t="str">
        <f>IF(CALC_EEM!$B182="","",CALC_EEM!I182)</f>
      </c>
      <c r="J189" t="str">
        <f>IF(CALC_EEM!$B182="","",CALC_EEM!J182)</f>
      </c>
      <c r="K189" t="str">
        <f>IF(CALC_EEM!$B182="","",CALC_EEM!K182)</f>
      </c>
      <c r="L189">
        <f>IF(CALC_EEM!$B182="","",CALC_EEM!L182)</f>
      </c>
      <c r="M189">
        <f>IF(CALC_EEM!$B182="","",CALC_EEM!M182)</f>
      </c>
      <c r="N189">
        <f>IF(CALC_EEM!$B182="","",CALC_EEM!N182)</f>
      </c>
      <c r="O189">
        <f>IF(CALC_EEM!$B182="","",CALC_EEM!O182)</f>
      </c>
      <c r="P189">
        <f>IF(CALC_EEM!$B182="","",CALC_EEM!P182)</f>
      </c>
      <c r="Q189">
        <f>IF(CALC_EEM!$B182="","",CALC_EEM!Q182)</f>
      </c>
      <c r="R189">
        <f>IF(CALC_EEM!$B182="","",CALC_EEM!R182)</f>
      </c>
      <c r="S189">
        <f>IF(CALC_EEM!$B182="","",CALC_EEM!S182)</f>
      </c>
      <c r="T189">
        <f>IF(CALC_EEM!$B182="","",CALC_EEM!T182)</f>
      </c>
      <c r="U189">
        <f>IF(CALC_EEM!$B182="","",CALC_EEM!U182)</f>
      </c>
    </row>
    <row r="190" spans="1:24">
      <c r="A190" t="str">
        <f>IF(CALC_EEM!$B183="","",IF(CALC_EEM!A183="GLOBAL","GLOBAL",IF(CALC_EEM!C183="Total","CURSO_TOTAL",IF(CALC_EEM!C183="TotalEsp","CURSO_ESP",IF(CALC_EEM!C183="TotalNoEsp","CURSO_NOESP","CURSO_ASIG")))))</f>
      </c>
      <c r="B190" t="str">
        <f>IF(CALC_EEM!$B183="","",CALC_EEM!A183)</f>
      </c>
      <c r="C190" t="str">
        <f>IF(CALC_EEM!$B183="","",CALC_EEM!B183)</f>
      </c>
      <c r="D190">
        <f>IF(CALC_EEM!$B183="","",CALC_EEM!D183)</f>
      </c>
      <c r="E190" s="14" t="str">
        <f>IF(CALC_EEM!$B183="","",CALC_EEM!E183)</f>
      </c>
      <c r="F190" s="14" t="str">
        <f>IF(CALC_EEM!$B183="","",CALC_EEM!F183)</f>
      </c>
      <c r="G190" t="str">
        <f>IF(CALC_EEM!$B183="","",CALC_EEM!G183)</f>
      </c>
      <c r="H190" s="16" t="str">
        <f>IF(CALC_EEM!$B183="","",CALC_EEM!H183)</f>
      </c>
      <c r="I190" s="16" t="str">
        <f>IF(CALC_EEM!$B183="","",CALC_EEM!I183)</f>
      </c>
      <c r="J190" t="str">
        <f>IF(CALC_EEM!$B183="","",CALC_EEM!J183)</f>
      </c>
      <c r="K190" t="str">
        <f>IF(CALC_EEM!$B183="","",CALC_EEM!K183)</f>
      </c>
      <c r="L190">
        <f>IF(CALC_EEM!$B183="","",CALC_EEM!L183)</f>
      </c>
      <c r="M190">
        <f>IF(CALC_EEM!$B183="","",CALC_EEM!M183)</f>
      </c>
      <c r="N190">
        <f>IF(CALC_EEM!$B183="","",CALC_EEM!N183)</f>
      </c>
      <c r="O190">
        <f>IF(CALC_EEM!$B183="","",CALC_EEM!O183)</f>
      </c>
      <c r="P190">
        <f>IF(CALC_EEM!$B183="","",CALC_EEM!P183)</f>
      </c>
      <c r="Q190">
        <f>IF(CALC_EEM!$B183="","",CALC_EEM!Q183)</f>
      </c>
      <c r="R190">
        <f>IF(CALC_EEM!$B183="","",CALC_EEM!R183)</f>
      </c>
      <c r="S190">
        <f>IF(CALC_EEM!$B183="","",CALC_EEM!S183)</f>
      </c>
      <c r="T190">
        <f>IF(CALC_EEM!$B183="","",CALC_EEM!T183)</f>
      </c>
      <c r="U190">
        <f>IF(CALC_EEM!$B183="","",CALC_EEM!U183)</f>
      </c>
    </row>
    <row r="191" spans="1:24">
      <c r="A191" t="str">
        <f>IF(CALC_EEM!$B184="","",IF(CALC_EEM!A184="GLOBAL","GLOBAL",IF(CALC_EEM!C184="Total","CURSO_TOTAL",IF(CALC_EEM!C184="TotalEsp","CURSO_ESP",IF(CALC_EEM!C184="TotalNoEsp","CURSO_NOESP","CURSO_ASIG")))))</f>
      </c>
      <c r="B191" t="str">
        <f>IF(CALC_EEM!$B184="","",CALC_EEM!A184)</f>
      </c>
      <c r="C191" t="str">
        <f>IF(CALC_EEM!$B184="","",CALC_EEM!B184)</f>
      </c>
      <c r="D191">
        <f>IF(CALC_EEM!$B184="","",CALC_EEM!D184)</f>
      </c>
      <c r="E191" s="14" t="str">
        <f>IF(CALC_EEM!$B184="","",CALC_EEM!E184)</f>
      </c>
      <c r="F191" s="14" t="str">
        <f>IF(CALC_EEM!$B184="","",CALC_EEM!F184)</f>
      </c>
      <c r="G191" t="str">
        <f>IF(CALC_EEM!$B184="","",CALC_EEM!G184)</f>
      </c>
      <c r="H191" s="16" t="str">
        <f>IF(CALC_EEM!$B184="","",CALC_EEM!H184)</f>
      </c>
      <c r="I191" s="16" t="str">
        <f>IF(CALC_EEM!$B184="","",CALC_EEM!I184)</f>
      </c>
      <c r="J191" t="str">
        <f>IF(CALC_EEM!$B184="","",CALC_EEM!J184)</f>
      </c>
      <c r="K191" t="str">
        <f>IF(CALC_EEM!$B184="","",CALC_EEM!K184)</f>
      </c>
      <c r="L191">
        <f>IF(CALC_EEM!$B184="","",CALC_EEM!L184)</f>
      </c>
      <c r="M191">
        <f>IF(CALC_EEM!$B184="","",CALC_EEM!M184)</f>
      </c>
      <c r="N191">
        <f>IF(CALC_EEM!$B184="","",CALC_EEM!N184)</f>
      </c>
      <c r="O191">
        <f>IF(CALC_EEM!$B184="","",CALC_EEM!O184)</f>
      </c>
      <c r="P191">
        <f>IF(CALC_EEM!$B184="","",CALC_EEM!P184)</f>
      </c>
      <c r="Q191">
        <f>IF(CALC_EEM!$B184="","",CALC_EEM!Q184)</f>
      </c>
      <c r="R191">
        <f>IF(CALC_EEM!$B184="","",CALC_EEM!R184)</f>
      </c>
      <c r="S191">
        <f>IF(CALC_EEM!$B184="","",CALC_EEM!S184)</f>
      </c>
      <c r="T191">
        <f>IF(CALC_EEM!$B184="","",CALC_EEM!T184)</f>
      </c>
      <c r="U191">
        <f>IF(CALC_EEM!$B184="","",CALC_EEM!U184)</f>
      </c>
    </row>
    <row r="192" spans="1:24">
      <c r="A192" t="str">
        <f>IF(CALC_EEM!$B185="","",IF(CALC_EEM!A185="GLOBAL","GLOBAL",IF(CALC_EEM!C185="Total","CURSO_TOTAL",IF(CALC_EEM!C185="TotalEsp","CURSO_ESP",IF(CALC_EEM!C185="TotalNoEsp","CURSO_NOESP","CURSO_ASIG")))))</f>
      </c>
      <c r="B192" t="str">
        <f>IF(CALC_EEM!$B185="","",CALC_EEM!A185)</f>
      </c>
      <c r="C192" t="str">
        <f>IF(CALC_EEM!$B185="","",CALC_EEM!B185)</f>
      </c>
      <c r="D192">
        <f>IF(CALC_EEM!$B185="","",CALC_EEM!D185)</f>
      </c>
      <c r="E192" s="14" t="str">
        <f>IF(CALC_EEM!$B185="","",CALC_EEM!E185)</f>
      </c>
      <c r="F192" s="14" t="str">
        <f>IF(CALC_EEM!$B185="","",CALC_EEM!F185)</f>
      </c>
      <c r="G192" t="str">
        <f>IF(CALC_EEM!$B185="","",CALC_EEM!G185)</f>
      </c>
      <c r="H192" s="16" t="str">
        <f>IF(CALC_EEM!$B185="","",CALC_EEM!H185)</f>
      </c>
      <c r="I192" s="16" t="str">
        <f>IF(CALC_EEM!$B185="","",CALC_EEM!I185)</f>
      </c>
      <c r="J192" t="str">
        <f>IF(CALC_EEM!$B185="","",CALC_EEM!J185)</f>
      </c>
      <c r="K192" t="str">
        <f>IF(CALC_EEM!$B185="","",CALC_EEM!K185)</f>
      </c>
      <c r="L192">
        <f>IF(CALC_EEM!$B185="","",CALC_EEM!L185)</f>
      </c>
      <c r="M192">
        <f>IF(CALC_EEM!$B185="","",CALC_EEM!M185)</f>
      </c>
      <c r="N192">
        <f>IF(CALC_EEM!$B185="","",CALC_EEM!N185)</f>
      </c>
      <c r="O192">
        <f>IF(CALC_EEM!$B185="","",CALC_EEM!O185)</f>
      </c>
      <c r="P192">
        <f>IF(CALC_EEM!$B185="","",CALC_EEM!P185)</f>
      </c>
      <c r="Q192">
        <f>IF(CALC_EEM!$B185="","",CALC_EEM!Q185)</f>
      </c>
      <c r="R192">
        <f>IF(CALC_EEM!$B185="","",CALC_EEM!R185)</f>
      </c>
      <c r="S192">
        <f>IF(CALC_EEM!$B185="","",CALC_EEM!S185)</f>
      </c>
      <c r="T192">
        <f>IF(CALC_EEM!$B185="","",CALC_EEM!T185)</f>
      </c>
      <c r="U192">
        <f>IF(CALC_EEM!$B185="","",CALC_EEM!U185)</f>
      </c>
    </row>
    <row r="193" spans="1:24">
      <c r="A193" t="str">
        <f>IF(CALC_EEM!$B186="","",IF(CALC_EEM!A186="GLOBAL","GLOBAL",IF(CALC_EEM!C186="Total","CURSO_TOTAL",IF(CALC_EEM!C186="TotalEsp","CURSO_ESP",IF(CALC_EEM!C186="TotalNoEsp","CURSO_NOESP","CURSO_ASIG")))))</f>
      </c>
      <c r="B193" t="str">
        <f>IF(CALC_EEM!$B186="","",CALC_EEM!A186)</f>
      </c>
      <c r="C193" t="str">
        <f>IF(CALC_EEM!$B186="","",CALC_EEM!B186)</f>
      </c>
      <c r="D193">
        <f>IF(CALC_EEM!$B186="","",CALC_EEM!D186)</f>
      </c>
      <c r="E193" s="14" t="str">
        <f>IF(CALC_EEM!$B186="","",CALC_EEM!E186)</f>
      </c>
      <c r="F193" s="14" t="str">
        <f>IF(CALC_EEM!$B186="","",CALC_EEM!F186)</f>
      </c>
      <c r="G193" t="str">
        <f>IF(CALC_EEM!$B186="","",CALC_EEM!G186)</f>
      </c>
      <c r="H193" s="16" t="str">
        <f>IF(CALC_EEM!$B186="","",CALC_EEM!H186)</f>
      </c>
      <c r="I193" s="16" t="str">
        <f>IF(CALC_EEM!$B186="","",CALC_EEM!I186)</f>
      </c>
      <c r="J193" t="str">
        <f>IF(CALC_EEM!$B186="","",CALC_EEM!J186)</f>
      </c>
      <c r="K193" t="str">
        <f>IF(CALC_EEM!$B186="","",CALC_EEM!K186)</f>
      </c>
      <c r="L193">
        <f>IF(CALC_EEM!$B186="","",CALC_EEM!L186)</f>
      </c>
      <c r="M193">
        <f>IF(CALC_EEM!$B186="","",CALC_EEM!M186)</f>
      </c>
      <c r="N193">
        <f>IF(CALC_EEM!$B186="","",CALC_EEM!N186)</f>
      </c>
      <c r="O193">
        <f>IF(CALC_EEM!$B186="","",CALC_EEM!O186)</f>
      </c>
      <c r="P193">
        <f>IF(CALC_EEM!$B186="","",CALC_EEM!P186)</f>
      </c>
      <c r="Q193">
        <f>IF(CALC_EEM!$B186="","",CALC_EEM!Q186)</f>
      </c>
      <c r="R193">
        <f>IF(CALC_EEM!$B186="","",CALC_EEM!R186)</f>
      </c>
      <c r="S193">
        <f>IF(CALC_EEM!$B186="","",CALC_EEM!S186)</f>
      </c>
      <c r="T193">
        <f>IF(CALC_EEM!$B186="","",CALC_EEM!T186)</f>
      </c>
      <c r="U193">
        <f>IF(CALC_EEM!$B186="","",CALC_EEM!U186)</f>
      </c>
    </row>
    <row r="194" spans="1:24">
      <c r="A194" t="str">
        <f>IF(CALC_EEM!$B187="","",IF(CALC_EEM!A187="GLOBAL","GLOBAL",IF(CALC_EEM!C187="Total","CURSO_TOTAL",IF(CALC_EEM!C187="TotalEsp","CURSO_ESP",IF(CALC_EEM!C187="TotalNoEsp","CURSO_NOESP","CURSO_ASIG")))))</f>
      </c>
      <c r="B194" t="str">
        <f>IF(CALC_EEM!$B187="","",CALC_EEM!A187)</f>
      </c>
      <c r="C194" t="str">
        <f>IF(CALC_EEM!$B187="","",CALC_EEM!B187)</f>
      </c>
      <c r="D194">
        <f>IF(CALC_EEM!$B187="","",CALC_EEM!D187)</f>
      </c>
      <c r="E194" s="14" t="str">
        <f>IF(CALC_EEM!$B187="","",CALC_EEM!E187)</f>
      </c>
      <c r="F194" s="14" t="str">
        <f>IF(CALC_EEM!$B187="","",CALC_EEM!F187)</f>
      </c>
      <c r="G194" t="str">
        <f>IF(CALC_EEM!$B187="","",CALC_EEM!G187)</f>
      </c>
      <c r="H194" s="16" t="str">
        <f>IF(CALC_EEM!$B187="","",CALC_EEM!H187)</f>
      </c>
      <c r="I194" s="16" t="str">
        <f>IF(CALC_EEM!$B187="","",CALC_EEM!I187)</f>
      </c>
      <c r="J194" t="str">
        <f>IF(CALC_EEM!$B187="","",CALC_EEM!J187)</f>
      </c>
      <c r="K194" t="str">
        <f>IF(CALC_EEM!$B187="","",CALC_EEM!K187)</f>
      </c>
      <c r="L194">
        <f>IF(CALC_EEM!$B187="","",CALC_EEM!L187)</f>
      </c>
      <c r="M194">
        <f>IF(CALC_EEM!$B187="","",CALC_EEM!M187)</f>
      </c>
      <c r="N194">
        <f>IF(CALC_EEM!$B187="","",CALC_EEM!N187)</f>
      </c>
      <c r="O194">
        <f>IF(CALC_EEM!$B187="","",CALC_EEM!O187)</f>
      </c>
      <c r="P194">
        <f>IF(CALC_EEM!$B187="","",CALC_EEM!P187)</f>
      </c>
      <c r="Q194">
        <f>IF(CALC_EEM!$B187="","",CALC_EEM!Q187)</f>
      </c>
      <c r="R194">
        <f>IF(CALC_EEM!$B187="","",CALC_EEM!R187)</f>
      </c>
      <c r="S194">
        <f>IF(CALC_EEM!$B187="","",CALC_EEM!S187)</f>
      </c>
      <c r="T194">
        <f>IF(CALC_EEM!$B187="","",CALC_EEM!T187)</f>
      </c>
      <c r="U194">
        <f>IF(CALC_EEM!$B187="","",CALC_EEM!U187)</f>
      </c>
    </row>
    <row r="195" spans="1:24">
      <c r="A195" t="str">
        <f>IF(CALC_EEM!$B188="","",IF(CALC_EEM!A188="GLOBAL","GLOBAL",IF(CALC_EEM!C188="Total","CURSO_TOTAL",IF(CALC_EEM!C188="TotalEsp","CURSO_ESP",IF(CALC_EEM!C188="TotalNoEsp","CURSO_NOESP","CURSO_ASIG")))))</f>
      </c>
      <c r="B195" t="str">
        <f>IF(CALC_EEM!$B188="","",CALC_EEM!A188)</f>
      </c>
      <c r="C195" t="str">
        <f>IF(CALC_EEM!$B188="","",CALC_EEM!B188)</f>
      </c>
      <c r="D195">
        <f>IF(CALC_EEM!$B188="","",CALC_EEM!D188)</f>
      </c>
      <c r="E195" s="14" t="str">
        <f>IF(CALC_EEM!$B188="","",CALC_EEM!E188)</f>
      </c>
      <c r="F195" s="14" t="str">
        <f>IF(CALC_EEM!$B188="","",CALC_EEM!F188)</f>
      </c>
      <c r="G195" t="str">
        <f>IF(CALC_EEM!$B188="","",CALC_EEM!G188)</f>
      </c>
      <c r="H195" s="16" t="str">
        <f>IF(CALC_EEM!$B188="","",CALC_EEM!H188)</f>
      </c>
      <c r="I195" s="16" t="str">
        <f>IF(CALC_EEM!$B188="","",CALC_EEM!I188)</f>
      </c>
      <c r="J195" t="str">
        <f>IF(CALC_EEM!$B188="","",CALC_EEM!J188)</f>
      </c>
      <c r="K195" t="str">
        <f>IF(CALC_EEM!$B188="","",CALC_EEM!K188)</f>
      </c>
      <c r="L195">
        <f>IF(CALC_EEM!$B188="","",CALC_EEM!L188)</f>
      </c>
      <c r="M195">
        <f>IF(CALC_EEM!$B188="","",CALC_EEM!M188)</f>
      </c>
      <c r="N195">
        <f>IF(CALC_EEM!$B188="","",CALC_EEM!N188)</f>
      </c>
      <c r="O195">
        <f>IF(CALC_EEM!$B188="","",CALC_EEM!O188)</f>
      </c>
      <c r="P195">
        <f>IF(CALC_EEM!$B188="","",CALC_EEM!P188)</f>
      </c>
      <c r="Q195">
        <f>IF(CALC_EEM!$B188="","",CALC_EEM!Q188)</f>
      </c>
      <c r="R195">
        <f>IF(CALC_EEM!$B188="","",CALC_EEM!R188)</f>
      </c>
      <c r="S195">
        <f>IF(CALC_EEM!$B188="","",CALC_EEM!S188)</f>
      </c>
      <c r="T195">
        <f>IF(CALC_EEM!$B188="","",CALC_EEM!T188)</f>
      </c>
      <c r="U195">
        <f>IF(CALC_EEM!$B188="","",CALC_EEM!U188)</f>
      </c>
    </row>
    <row r="196" spans="1:24">
      <c r="A196" t="str">
        <f>IF(CALC_EEM!$B189="","",IF(CALC_EEM!A189="GLOBAL","GLOBAL",IF(CALC_EEM!C189="Total","CURSO_TOTAL",IF(CALC_EEM!C189="TotalEsp","CURSO_ESP",IF(CALC_EEM!C189="TotalNoEsp","CURSO_NOESP","CURSO_ASIG")))))</f>
      </c>
      <c r="B196" t="str">
        <f>IF(CALC_EEM!$B189="","",CALC_EEM!A189)</f>
      </c>
      <c r="C196" t="str">
        <f>IF(CALC_EEM!$B189="","",CALC_EEM!B189)</f>
      </c>
      <c r="D196">
        <f>IF(CALC_EEM!$B189="","",CALC_EEM!D189)</f>
      </c>
      <c r="E196" s="14" t="str">
        <f>IF(CALC_EEM!$B189="","",CALC_EEM!E189)</f>
      </c>
      <c r="F196" s="14" t="str">
        <f>IF(CALC_EEM!$B189="","",CALC_EEM!F189)</f>
      </c>
      <c r="G196" t="str">
        <f>IF(CALC_EEM!$B189="","",CALC_EEM!G189)</f>
      </c>
      <c r="H196" s="16" t="str">
        <f>IF(CALC_EEM!$B189="","",CALC_EEM!H189)</f>
      </c>
      <c r="I196" s="16" t="str">
        <f>IF(CALC_EEM!$B189="","",CALC_EEM!I189)</f>
      </c>
      <c r="J196" t="str">
        <f>IF(CALC_EEM!$B189="","",CALC_EEM!J189)</f>
      </c>
      <c r="K196" t="str">
        <f>IF(CALC_EEM!$B189="","",CALC_EEM!K189)</f>
      </c>
      <c r="L196">
        <f>IF(CALC_EEM!$B189="","",CALC_EEM!L189)</f>
      </c>
      <c r="M196">
        <f>IF(CALC_EEM!$B189="","",CALC_EEM!M189)</f>
      </c>
      <c r="N196">
        <f>IF(CALC_EEM!$B189="","",CALC_EEM!N189)</f>
      </c>
      <c r="O196">
        <f>IF(CALC_EEM!$B189="","",CALC_EEM!O189)</f>
      </c>
      <c r="P196">
        <f>IF(CALC_EEM!$B189="","",CALC_EEM!P189)</f>
      </c>
      <c r="Q196">
        <f>IF(CALC_EEM!$B189="","",CALC_EEM!Q189)</f>
      </c>
      <c r="R196">
        <f>IF(CALC_EEM!$B189="","",CALC_EEM!R189)</f>
      </c>
      <c r="S196">
        <f>IF(CALC_EEM!$B189="","",CALC_EEM!S189)</f>
      </c>
      <c r="T196">
        <f>IF(CALC_EEM!$B189="","",CALC_EEM!T189)</f>
      </c>
      <c r="U196">
        <f>IF(CALC_EEM!$B189="","",CALC_EEM!U189)</f>
      </c>
    </row>
    <row r="197" spans="1:24">
      <c r="A197" t="str">
        <f>IF(CALC_EEM!$B190="","",IF(CALC_EEM!A190="GLOBAL","GLOBAL",IF(CALC_EEM!C190="Total","CURSO_TOTAL",IF(CALC_EEM!C190="TotalEsp","CURSO_ESP",IF(CALC_EEM!C190="TotalNoEsp","CURSO_NOESP","CURSO_ASIG")))))</f>
      </c>
      <c r="B197" t="str">
        <f>IF(CALC_EEM!$B190="","",CALC_EEM!A190)</f>
      </c>
      <c r="C197" t="str">
        <f>IF(CALC_EEM!$B190="","",CALC_EEM!B190)</f>
      </c>
      <c r="D197">
        <f>IF(CALC_EEM!$B190="","",CALC_EEM!D190)</f>
      </c>
      <c r="E197" s="14" t="str">
        <f>IF(CALC_EEM!$B190="","",CALC_EEM!E190)</f>
      </c>
      <c r="F197" s="14" t="str">
        <f>IF(CALC_EEM!$B190="","",CALC_EEM!F190)</f>
      </c>
      <c r="G197" t="str">
        <f>IF(CALC_EEM!$B190="","",CALC_EEM!G190)</f>
      </c>
      <c r="H197" s="16" t="str">
        <f>IF(CALC_EEM!$B190="","",CALC_EEM!H190)</f>
      </c>
      <c r="I197" s="16" t="str">
        <f>IF(CALC_EEM!$B190="","",CALC_EEM!I190)</f>
      </c>
      <c r="J197" t="str">
        <f>IF(CALC_EEM!$B190="","",CALC_EEM!J190)</f>
      </c>
      <c r="K197" t="str">
        <f>IF(CALC_EEM!$B190="","",CALC_EEM!K190)</f>
      </c>
      <c r="L197">
        <f>IF(CALC_EEM!$B190="","",CALC_EEM!L190)</f>
      </c>
      <c r="M197">
        <f>IF(CALC_EEM!$B190="","",CALC_EEM!M190)</f>
      </c>
      <c r="N197">
        <f>IF(CALC_EEM!$B190="","",CALC_EEM!N190)</f>
      </c>
      <c r="O197">
        <f>IF(CALC_EEM!$B190="","",CALC_EEM!O190)</f>
      </c>
      <c r="P197">
        <f>IF(CALC_EEM!$B190="","",CALC_EEM!P190)</f>
      </c>
      <c r="Q197">
        <f>IF(CALC_EEM!$B190="","",CALC_EEM!Q190)</f>
      </c>
      <c r="R197">
        <f>IF(CALC_EEM!$B190="","",CALC_EEM!R190)</f>
      </c>
      <c r="S197">
        <f>IF(CALC_EEM!$B190="","",CALC_EEM!S190)</f>
      </c>
      <c r="T197">
        <f>IF(CALC_EEM!$B190="","",CALC_EEM!T190)</f>
      </c>
      <c r="U197">
        <f>IF(CALC_EEM!$B190="","",CALC_EEM!U190)</f>
      </c>
    </row>
    <row r="198" spans="1:24">
      <c r="A198" t="str">
        <f>IF(CALC_EEM!$B191="","",IF(CALC_EEM!A191="GLOBAL","GLOBAL",IF(CALC_EEM!C191="Total","CURSO_TOTAL",IF(CALC_EEM!C191="TotalEsp","CURSO_ESP",IF(CALC_EEM!C191="TotalNoEsp","CURSO_NOESP","CURSO_ASIG")))))</f>
      </c>
      <c r="B198" t="str">
        <f>IF(CALC_EEM!$B191="","",CALC_EEM!A191)</f>
      </c>
      <c r="C198" t="str">
        <f>IF(CALC_EEM!$B191="","",CALC_EEM!B191)</f>
      </c>
      <c r="D198">
        <f>IF(CALC_EEM!$B191="","",CALC_EEM!D191)</f>
      </c>
      <c r="E198" s="14" t="str">
        <f>IF(CALC_EEM!$B191="","",CALC_EEM!E191)</f>
      </c>
      <c r="F198" s="14" t="str">
        <f>IF(CALC_EEM!$B191="","",CALC_EEM!F191)</f>
      </c>
      <c r="G198" t="str">
        <f>IF(CALC_EEM!$B191="","",CALC_EEM!G191)</f>
      </c>
      <c r="H198" s="16" t="str">
        <f>IF(CALC_EEM!$B191="","",CALC_EEM!H191)</f>
      </c>
      <c r="I198" s="16" t="str">
        <f>IF(CALC_EEM!$B191="","",CALC_EEM!I191)</f>
      </c>
      <c r="J198" t="str">
        <f>IF(CALC_EEM!$B191="","",CALC_EEM!J191)</f>
      </c>
      <c r="K198" t="str">
        <f>IF(CALC_EEM!$B191="","",CALC_EEM!K191)</f>
      </c>
      <c r="L198">
        <f>IF(CALC_EEM!$B191="","",CALC_EEM!L191)</f>
      </c>
      <c r="M198">
        <f>IF(CALC_EEM!$B191="","",CALC_EEM!M191)</f>
      </c>
      <c r="N198">
        <f>IF(CALC_EEM!$B191="","",CALC_EEM!N191)</f>
      </c>
      <c r="O198">
        <f>IF(CALC_EEM!$B191="","",CALC_EEM!O191)</f>
      </c>
      <c r="P198">
        <f>IF(CALC_EEM!$B191="","",CALC_EEM!P191)</f>
      </c>
      <c r="Q198">
        <f>IF(CALC_EEM!$B191="","",CALC_EEM!Q191)</f>
      </c>
      <c r="R198">
        <f>IF(CALC_EEM!$B191="","",CALC_EEM!R191)</f>
      </c>
      <c r="S198">
        <f>IF(CALC_EEM!$B191="","",CALC_EEM!S191)</f>
      </c>
      <c r="T198">
        <f>IF(CALC_EEM!$B191="","",CALC_EEM!T191)</f>
      </c>
      <c r="U198">
        <f>IF(CALC_EEM!$B191="","",CALC_EEM!U191)</f>
      </c>
    </row>
    <row r="199" spans="1:24">
      <c r="A199" t="str">
        <f>IF(CALC_EEM!$B192="","",IF(CALC_EEM!A192="GLOBAL","GLOBAL",IF(CALC_EEM!C192="Total","CURSO_TOTAL",IF(CALC_EEM!C192="TotalEsp","CURSO_ESP",IF(CALC_EEM!C192="TotalNoEsp","CURSO_NOESP","CURSO_ASIG")))))</f>
      </c>
      <c r="B199" t="str">
        <f>IF(CALC_EEM!$B192="","",CALC_EEM!A192)</f>
      </c>
      <c r="C199" t="str">
        <f>IF(CALC_EEM!$B192="","",CALC_EEM!B192)</f>
      </c>
      <c r="D199">
        <f>IF(CALC_EEM!$B192="","",CALC_EEM!D192)</f>
      </c>
      <c r="E199" s="14" t="str">
        <f>IF(CALC_EEM!$B192="","",CALC_EEM!E192)</f>
      </c>
      <c r="F199" s="14" t="str">
        <f>IF(CALC_EEM!$B192="","",CALC_EEM!F192)</f>
      </c>
      <c r="G199" t="str">
        <f>IF(CALC_EEM!$B192="","",CALC_EEM!G192)</f>
      </c>
      <c r="H199" s="16" t="str">
        <f>IF(CALC_EEM!$B192="","",CALC_EEM!H192)</f>
      </c>
      <c r="I199" s="16" t="str">
        <f>IF(CALC_EEM!$B192="","",CALC_EEM!I192)</f>
      </c>
      <c r="J199" t="str">
        <f>IF(CALC_EEM!$B192="","",CALC_EEM!J192)</f>
      </c>
      <c r="K199" t="str">
        <f>IF(CALC_EEM!$B192="","",CALC_EEM!K192)</f>
      </c>
      <c r="L199">
        <f>IF(CALC_EEM!$B192="","",CALC_EEM!L192)</f>
      </c>
      <c r="M199">
        <f>IF(CALC_EEM!$B192="","",CALC_EEM!M192)</f>
      </c>
      <c r="N199">
        <f>IF(CALC_EEM!$B192="","",CALC_EEM!N192)</f>
      </c>
      <c r="O199">
        <f>IF(CALC_EEM!$B192="","",CALC_EEM!O192)</f>
      </c>
      <c r="P199">
        <f>IF(CALC_EEM!$B192="","",CALC_EEM!P192)</f>
      </c>
      <c r="Q199">
        <f>IF(CALC_EEM!$B192="","",CALC_EEM!Q192)</f>
      </c>
      <c r="R199">
        <f>IF(CALC_EEM!$B192="","",CALC_EEM!R192)</f>
      </c>
      <c r="S199">
        <f>IF(CALC_EEM!$B192="","",CALC_EEM!S192)</f>
      </c>
      <c r="T199">
        <f>IF(CALC_EEM!$B192="","",CALC_EEM!T192)</f>
      </c>
      <c r="U199">
        <f>IF(CALC_EEM!$B192="","",CALC_EEM!U192)</f>
      </c>
    </row>
    <row r="200" spans="1:24">
      <c r="A200" t="str">
        <f>IF(CALC_EEM!$B193="","",IF(CALC_EEM!A193="GLOBAL","GLOBAL",IF(CALC_EEM!C193="Total","CURSO_TOTAL",IF(CALC_EEM!C193="TotalEsp","CURSO_ESP",IF(CALC_EEM!C193="TotalNoEsp","CURSO_NOESP","CURSO_ASIG")))))</f>
      </c>
      <c r="B200" t="str">
        <f>IF(CALC_EEM!$B193="","",CALC_EEM!A193)</f>
      </c>
      <c r="C200" t="str">
        <f>IF(CALC_EEM!$B193="","",CALC_EEM!B193)</f>
      </c>
      <c r="D200">
        <f>IF(CALC_EEM!$B193="","",CALC_EEM!D193)</f>
      </c>
      <c r="E200" s="14" t="str">
        <f>IF(CALC_EEM!$B193="","",CALC_EEM!E193)</f>
      </c>
      <c r="F200" s="14" t="str">
        <f>IF(CALC_EEM!$B193="","",CALC_EEM!F193)</f>
      </c>
      <c r="G200" t="str">
        <f>IF(CALC_EEM!$B193="","",CALC_EEM!G193)</f>
      </c>
      <c r="H200" s="16" t="str">
        <f>IF(CALC_EEM!$B193="","",CALC_EEM!H193)</f>
      </c>
      <c r="I200" s="16" t="str">
        <f>IF(CALC_EEM!$B193="","",CALC_EEM!I193)</f>
      </c>
      <c r="J200" t="str">
        <f>IF(CALC_EEM!$B193="","",CALC_EEM!J193)</f>
      </c>
      <c r="K200" t="str">
        <f>IF(CALC_EEM!$B193="","",CALC_EEM!K193)</f>
      </c>
      <c r="L200">
        <f>IF(CALC_EEM!$B193="","",CALC_EEM!L193)</f>
      </c>
      <c r="M200">
        <f>IF(CALC_EEM!$B193="","",CALC_EEM!M193)</f>
      </c>
      <c r="N200">
        <f>IF(CALC_EEM!$B193="","",CALC_EEM!N193)</f>
      </c>
      <c r="O200">
        <f>IF(CALC_EEM!$B193="","",CALC_EEM!O193)</f>
      </c>
      <c r="P200">
        <f>IF(CALC_EEM!$B193="","",CALC_EEM!P193)</f>
      </c>
      <c r="Q200">
        <f>IF(CALC_EEM!$B193="","",CALC_EEM!Q193)</f>
      </c>
      <c r="R200">
        <f>IF(CALC_EEM!$B193="","",CALC_EEM!R193)</f>
      </c>
      <c r="S200">
        <f>IF(CALC_EEM!$B193="","",CALC_EEM!S193)</f>
      </c>
      <c r="T200">
        <f>IF(CALC_EEM!$B193="","",CALC_EEM!T193)</f>
      </c>
      <c r="U200">
        <f>IF(CALC_EEM!$B193="","",CALC_EEM!U193)</f>
      </c>
    </row>
    <row r="201" spans="1:24">
      <c r="A201" t="str">
        <f>IF(CALC_EEM!$B194="","",IF(CALC_EEM!A194="GLOBAL","GLOBAL",IF(CALC_EEM!C194="Total","CURSO_TOTAL",IF(CALC_EEM!C194="TotalEsp","CURSO_ESP",IF(CALC_EEM!C194="TotalNoEsp","CURSO_NOESP","CURSO_ASIG")))))</f>
      </c>
      <c r="B201" t="str">
        <f>IF(CALC_EEM!$B194="","",CALC_EEM!A194)</f>
      </c>
      <c r="C201" t="str">
        <f>IF(CALC_EEM!$B194="","",CALC_EEM!B194)</f>
      </c>
      <c r="D201">
        <f>IF(CALC_EEM!$B194="","",CALC_EEM!D194)</f>
      </c>
      <c r="E201" s="14" t="str">
        <f>IF(CALC_EEM!$B194="","",CALC_EEM!E194)</f>
      </c>
      <c r="F201" s="14" t="str">
        <f>IF(CALC_EEM!$B194="","",CALC_EEM!F194)</f>
      </c>
      <c r="G201" t="str">
        <f>IF(CALC_EEM!$B194="","",CALC_EEM!G194)</f>
      </c>
      <c r="H201" s="16" t="str">
        <f>IF(CALC_EEM!$B194="","",CALC_EEM!H194)</f>
      </c>
      <c r="I201" s="16" t="str">
        <f>IF(CALC_EEM!$B194="","",CALC_EEM!I194)</f>
      </c>
      <c r="J201" t="str">
        <f>IF(CALC_EEM!$B194="","",CALC_EEM!J194)</f>
      </c>
      <c r="K201" t="str">
        <f>IF(CALC_EEM!$B194="","",CALC_EEM!K194)</f>
      </c>
      <c r="L201">
        <f>IF(CALC_EEM!$B194="","",CALC_EEM!L194)</f>
      </c>
      <c r="M201">
        <f>IF(CALC_EEM!$B194="","",CALC_EEM!M194)</f>
      </c>
      <c r="N201">
        <f>IF(CALC_EEM!$B194="","",CALC_EEM!N194)</f>
      </c>
      <c r="O201">
        <f>IF(CALC_EEM!$B194="","",CALC_EEM!O194)</f>
      </c>
      <c r="P201">
        <f>IF(CALC_EEM!$B194="","",CALC_EEM!P194)</f>
      </c>
      <c r="Q201">
        <f>IF(CALC_EEM!$B194="","",CALC_EEM!Q194)</f>
      </c>
      <c r="R201">
        <f>IF(CALC_EEM!$B194="","",CALC_EEM!R194)</f>
      </c>
      <c r="S201">
        <f>IF(CALC_EEM!$B194="","",CALC_EEM!S194)</f>
      </c>
      <c r="T201">
        <f>IF(CALC_EEM!$B194="","",CALC_EEM!T194)</f>
      </c>
      <c r="U201">
        <f>IF(CALC_EEM!$B194="","",CALC_EEM!U194)</f>
      </c>
    </row>
    <row r="202" spans="1:24">
      <c r="A202" t="str">
        <f>IF(CALC_EEM!$B195="","",IF(CALC_EEM!A195="GLOBAL","GLOBAL",IF(CALC_EEM!C195="Total","CURSO_TOTAL",IF(CALC_EEM!C195="TotalEsp","CURSO_ESP",IF(CALC_EEM!C195="TotalNoEsp","CURSO_NOESP","CURSO_ASIG")))))</f>
      </c>
      <c r="B202" t="str">
        <f>IF(CALC_EEM!$B195="","",CALC_EEM!A195)</f>
      </c>
      <c r="C202" t="str">
        <f>IF(CALC_EEM!$B195="","",CALC_EEM!B195)</f>
      </c>
      <c r="D202">
        <f>IF(CALC_EEM!$B195="","",CALC_EEM!D195)</f>
      </c>
      <c r="E202" s="14" t="str">
        <f>IF(CALC_EEM!$B195="","",CALC_EEM!E195)</f>
      </c>
      <c r="F202" s="14" t="str">
        <f>IF(CALC_EEM!$B195="","",CALC_EEM!F195)</f>
      </c>
      <c r="G202" t="str">
        <f>IF(CALC_EEM!$B195="","",CALC_EEM!G195)</f>
      </c>
      <c r="H202" s="16" t="str">
        <f>IF(CALC_EEM!$B195="","",CALC_EEM!H195)</f>
      </c>
      <c r="I202" s="16" t="str">
        <f>IF(CALC_EEM!$B195="","",CALC_EEM!I195)</f>
      </c>
      <c r="J202" t="str">
        <f>IF(CALC_EEM!$B195="","",CALC_EEM!J195)</f>
      </c>
      <c r="K202" t="str">
        <f>IF(CALC_EEM!$B195="","",CALC_EEM!K195)</f>
      </c>
      <c r="L202">
        <f>IF(CALC_EEM!$B195="","",CALC_EEM!L195)</f>
      </c>
      <c r="M202">
        <f>IF(CALC_EEM!$B195="","",CALC_EEM!M195)</f>
      </c>
      <c r="N202">
        <f>IF(CALC_EEM!$B195="","",CALC_EEM!N195)</f>
      </c>
      <c r="O202">
        <f>IF(CALC_EEM!$B195="","",CALC_EEM!O195)</f>
      </c>
      <c r="P202">
        <f>IF(CALC_EEM!$B195="","",CALC_EEM!P195)</f>
      </c>
      <c r="Q202">
        <f>IF(CALC_EEM!$B195="","",CALC_EEM!Q195)</f>
      </c>
      <c r="R202">
        <f>IF(CALC_EEM!$B195="","",CALC_EEM!R195)</f>
      </c>
      <c r="S202">
        <f>IF(CALC_EEM!$B195="","",CALC_EEM!S195)</f>
      </c>
      <c r="T202">
        <f>IF(CALC_EEM!$B195="","",CALC_EEM!T195)</f>
      </c>
      <c r="U202">
        <f>IF(CALC_EEM!$B195="","",CALC_EEM!U195)</f>
      </c>
    </row>
    <row r="203" spans="1:24">
      <c r="A203" t="str">
        <f>IF(CALC_EEM!$B196="","",IF(CALC_EEM!A196="GLOBAL","GLOBAL",IF(CALC_EEM!C196="Total","CURSO_TOTAL",IF(CALC_EEM!C196="TotalEsp","CURSO_ESP",IF(CALC_EEM!C196="TotalNoEsp","CURSO_NOESP","CURSO_ASIG")))))</f>
      </c>
      <c r="B203" t="str">
        <f>IF(CALC_EEM!$B196="","",CALC_EEM!A196)</f>
      </c>
      <c r="C203" t="str">
        <f>IF(CALC_EEM!$B196="","",CALC_EEM!B196)</f>
      </c>
      <c r="D203">
        <f>IF(CALC_EEM!$B196="","",CALC_EEM!D196)</f>
      </c>
      <c r="E203" s="14" t="str">
        <f>IF(CALC_EEM!$B196="","",CALC_EEM!E196)</f>
      </c>
      <c r="F203" s="14" t="str">
        <f>IF(CALC_EEM!$B196="","",CALC_EEM!F196)</f>
      </c>
      <c r="G203" t="str">
        <f>IF(CALC_EEM!$B196="","",CALC_EEM!G196)</f>
      </c>
      <c r="H203" s="16" t="str">
        <f>IF(CALC_EEM!$B196="","",CALC_EEM!H196)</f>
      </c>
      <c r="I203" s="16" t="str">
        <f>IF(CALC_EEM!$B196="","",CALC_EEM!I196)</f>
      </c>
      <c r="J203" t="str">
        <f>IF(CALC_EEM!$B196="","",CALC_EEM!J196)</f>
      </c>
      <c r="K203" t="str">
        <f>IF(CALC_EEM!$B196="","",CALC_EEM!K196)</f>
      </c>
      <c r="L203">
        <f>IF(CALC_EEM!$B196="","",CALC_EEM!L196)</f>
      </c>
      <c r="M203">
        <f>IF(CALC_EEM!$B196="","",CALC_EEM!M196)</f>
      </c>
      <c r="N203">
        <f>IF(CALC_EEM!$B196="","",CALC_EEM!N196)</f>
      </c>
      <c r="O203">
        <f>IF(CALC_EEM!$B196="","",CALC_EEM!O196)</f>
      </c>
      <c r="P203">
        <f>IF(CALC_EEM!$B196="","",CALC_EEM!P196)</f>
      </c>
      <c r="Q203">
        <f>IF(CALC_EEM!$B196="","",CALC_EEM!Q196)</f>
      </c>
      <c r="R203">
        <f>IF(CALC_EEM!$B196="","",CALC_EEM!R196)</f>
      </c>
      <c r="S203">
        <f>IF(CALC_EEM!$B196="","",CALC_EEM!S196)</f>
      </c>
      <c r="T203">
        <f>IF(CALC_EEM!$B196="","",CALC_EEM!T196)</f>
      </c>
      <c r="U203">
        <f>IF(CALC_EEM!$B196="","",CALC_EEM!U196)</f>
      </c>
    </row>
    <row r="204" spans="1:24">
      <c r="A204" t="str">
        <f>IF(CALC_EEM!$B197="","",IF(CALC_EEM!A197="GLOBAL","GLOBAL",IF(CALC_EEM!C197="Total","CURSO_TOTAL",IF(CALC_EEM!C197="TotalEsp","CURSO_ESP",IF(CALC_EEM!C197="TotalNoEsp","CURSO_NOESP","CURSO_ASIG")))))</f>
      </c>
      <c r="B204" t="str">
        <f>IF(CALC_EEM!$B197="","",CALC_EEM!A197)</f>
      </c>
      <c r="C204" t="str">
        <f>IF(CALC_EEM!$B197="","",CALC_EEM!B197)</f>
      </c>
      <c r="D204">
        <f>IF(CALC_EEM!$B197="","",CALC_EEM!D197)</f>
      </c>
      <c r="E204" s="14" t="str">
        <f>IF(CALC_EEM!$B197="","",CALC_EEM!E197)</f>
      </c>
      <c r="F204" s="14" t="str">
        <f>IF(CALC_EEM!$B197="","",CALC_EEM!F197)</f>
      </c>
      <c r="G204" t="str">
        <f>IF(CALC_EEM!$B197="","",CALC_EEM!G197)</f>
      </c>
      <c r="H204" s="16" t="str">
        <f>IF(CALC_EEM!$B197="","",CALC_EEM!H197)</f>
      </c>
      <c r="I204" s="16" t="str">
        <f>IF(CALC_EEM!$B197="","",CALC_EEM!I197)</f>
      </c>
      <c r="J204" t="str">
        <f>IF(CALC_EEM!$B197="","",CALC_EEM!J197)</f>
      </c>
      <c r="K204" t="str">
        <f>IF(CALC_EEM!$B197="","",CALC_EEM!K197)</f>
      </c>
      <c r="L204">
        <f>IF(CALC_EEM!$B197="","",CALC_EEM!L197)</f>
      </c>
      <c r="M204">
        <f>IF(CALC_EEM!$B197="","",CALC_EEM!M197)</f>
      </c>
      <c r="N204">
        <f>IF(CALC_EEM!$B197="","",CALC_EEM!N197)</f>
      </c>
      <c r="O204">
        <f>IF(CALC_EEM!$B197="","",CALC_EEM!O197)</f>
      </c>
      <c r="P204">
        <f>IF(CALC_EEM!$B197="","",CALC_EEM!P197)</f>
      </c>
      <c r="Q204">
        <f>IF(CALC_EEM!$B197="","",CALC_EEM!Q197)</f>
      </c>
      <c r="R204">
        <f>IF(CALC_EEM!$B197="","",CALC_EEM!R197)</f>
      </c>
      <c r="S204">
        <f>IF(CALC_EEM!$B197="","",CALC_EEM!S197)</f>
      </c>
      <c r="T204">
        <f>IF(CALC_EEM!$B197="","",CALC_EEM!T197)</f>
      </c>
      <c r="U204">
        <f>IF(CALC_EEM!$B197="","",CALC_EEM!U197)</f>
      </c>
    </row>
    <row r="205" spans="1:24">
      <c r="A205" t="str">
        <f>IF(CALC_EEM!$B198="","",IF(CALC_EEM!A198="GLOBAL","GLOBAL",IF(CALC_EEM!C198="Total","CURSO_TOTAL",IF(CALC_EEM!C198="TotalEsp","CURSO_ESP",IF(CALC_EEM!C198="TotalNoEsp","CURSO_NOESP","CURSO_ASIG")))))</f>
      </c>
      <c r="B205" t="str">
        <f>IF(CALC_EEM!$B198="","",CALC_EEM!A198)</f>
      </c>
      <c r="C205" t="str">
        <f>IF(CALC_EEM!$B198="","",CALC_EEM!B198)</f>
      </c>
      <c r="D205">
        <f>IF(CALC_EEM!$B198="","",CALC_EEM!D198)</f>
      </c>
      <c r="E205" s="14" t="str">
        <f>IF(CALC_EEM!$B198="","",CALC_EEM!E198)</f>
      </c>
      <c r="F205" s="14" t="str">
        <f>IF(CALC_EEM!$B198="","",CALC_EEM!F198)</f>
      </c>
      <c r="G205" t="str">
        <f>IF(CALC_EEM!$B198="","",CALC_EEM!G198)</f>
      </c>
      <c r="H205" s="16" t="str">
        <f>IF(CALC_EEM!$B198="","",CALC_EEM!H198)</f>
      </c>
      <c r="I205" s="16" t="str">
        <f>IF(CALC_EEM!$B198="","",CALC_EEM!I198)</f>
      </c>
      <c r="J205" t="str">
        <f>IF(CALC_EEM!$B198="","",CALC_EEM!J198)</f>
      </c>
      <c r="K205" t="str">
        <f>IF(CALC_EEM!$B198="","",CALC_EEM!K198)</f>
      </c>
      <c r="L205">
        <f>IF(CALC_EEM!$B198="","",CALC_EEM!L198)</f>
      </c>
      <c r="M205">
        <f>IF(CALC_EEM!$B198="","",CALC_EEM!M198)</f>
      </c>
      <c r="N205">
        <f>IF(CALC_EEM!$B198="","",CALC_EEM!N198)</f>
      </c>
      <c r="O205">
        <f>IF(CALC_EEM!$B198="","",CALC_EEM!O198)</f>
      </c>
      <c r="P205">
        <f>IF(CALC_EEM!$B198="","",CALC_EEM!P198)</f>
      </c>
      <c r="Q205">
        <f>IF(CALC_EEM!$B198="","",CALC_EEM!Q198)</f>
      </c>
      <c r="R205">
        <f>IF(CALC_EEM!$B198="","",CALC_EEM!R198)</f>
      </c>
      <c r="S205">
        <f>IF(CALC_EEM!$B198="","",CALC_EEM!S198)</f>
      </c>
      <c r="T205">
        <f>IF(CALC_EEM!$B198="","",CALC_EEM!T198)</f>
      </c>
      <c r="U205">
        <f>IF(CALC_EEM!$B198="","",CALC_EEM!U198)</f>
      </c>
    </row>
    <row r="206" spans="1:24">
      <c r="A206" t="str">
        <f>IF(CALC_EEM!$B199="","",IF(CALC_EEM!A199="GLOBAL","GLOBAL",IF(CALC_EEM!C199="Total","CURSO_TOTAL",IF(CALC_EEM!C199="TotalEsp","CURSO_ESP",IF(CALC_EEM!C199="TotalNoEsp","CURSO_NOESP","CURSO_ASIG")))))</f>
      </c>
      <c r="B206" t="str">
        <f>IF(CALC_EEM!$B199="","",CALC_EEM!A199)</f>
      </c>
      <c r="C206" t="str">
        <f>IF(CALC_EEM!$B199="","",CALC_EEM!B199)</f>
      </c>
      <c r="D206">
        <f>IF(CALC_EEM!$B199="","",CALC_EEM!D199)</f>
      </c>
      <c r="E206" s="14" t="str">
        <f>IF(CALC_EEM!$B199="","",CALC_EEM!E199)</f>
      </c>
      <c r="F206" s="14" t="str">
        <f>IF(CALC_EEM!$B199="","",CALC_EEM!F199)</f>
      </c>
      <c r="G206" t="str">
        <f>IF(CALC_EEM!$B199="","",CALC_EEM!G199)</f>
      </c>
      <c r="H206" s="16" t="str">
        <f>IF(CALC_EEM!$B199="","",CALC_EEM!H199)</f>
      </c>
      <c r="I206" s="16" t="str">
        <f>IF(CALC_EEM!$B199="","",CALC_EEM!I199)</f>
      </c>
      <c r="J206" t="str">
        <f>IF(CALC_EEM!$B199="","",CALC_EEM!J199)</f>
      </c>
      <c r="K206" t="str">
        <f>IF(CALC_EEM!$B199="","",CALC_EEM!K199)</f>
      </c>
      <c r="L206">
        <f>IF(CALC_EEM!$B199="","",CALC_EEM!L199)</f>
      </c>
      <c r="M206">
        <f>IF(CALC_EEM!$B199="","",CALC_EEM!M199)</f>
      </c>
      <c r="N206">
        <f>IF(CALC_EEM!$B199="","",CALC_EEM!N199)</f>
      </c>
      <c r="O206">
        <f>IF(CALC_EEM!$B199="","",CALC_EEM!O199)</f>
      </c>
      <c r="P206">
        <f>IF(CALC_EEM!$B199="","",CALC_EEM!P199)</f>
      </c>
      <c r="Q206">
        <f>IF(CALC_EEM!$B199="","",CALC_EEM!Q199)</f>
      </c>
      <c r="R206">
        <f>IF(CALC_EEM!$B199="","",CALC_EEM!R199)</f>
      </c>
      <c r="S206">
        <f>IF(CALC_EEM!$B199="","",CALC_EEM!S199)</f>
      </c>
      <c r="T206">
        <f>IF(CALC_EEM!$B199="","",CALC_EEM!T199)</f>
      </c>
      <c r="U206">
        <f>IF(CALC_EEM!$B199="","",CALC_EEM!U199)</f>
      </c>
    </row>
    <row r="207" spans="1:24">
      <c r="A207" t="str">
        <f>IF(CALC_EEM!$B200="","",IF(CALC_EEM!A200="GLOBAL","GLOBAL",IF(CALC_EEM!C200="Total","CURSO_TOTAL",IF(CALC_EEM!C200="TotalEsp","CURSO_ESP",IF(CALC_EEM!C200="TotalNoEsp","CURSO_NOESP","CURSO_ASIG")))))</f>
      </c>
      <c r="B207" t="str">
        <f>IF(CALC_EEM!$B200="","",CALC_EEM!A200)</f>
      </c>
      <c r="C207" t="str">
        <f>IF(CALC_EEM!$B200="","",CALC_EEM!B200)</f>
      </c>
      <c r="D207">
        <f>IF(CALC_EEM!$B200="","",CALC_EEM!D200)</f>
      </c>
      <c r="E207" s="14" t="str">
        <f>IF(CALC_EEM!$B200="","",CALC_EEM!E200)</f>
      </c>
      <c r="F207" s="14" t="str">
        <f>IF(CALC_EEM!$B200="","",CALC_EEM!F200)</f>
      </c>
      <c r="G207" t="str">
        <f>IF(CALC_EEM!$B200="","",CALC_EEM!G200)</f>
      </c>
      <c r="H207" s="16" t="str">
        <f>IF(CALC_EEM!$B200="","",CALC_EEM!H200)</f>
      </c>
      <c r="I207" s="16" t="str">
        <f>IF(CALC_EEM!$B200="","",CALC_EEM!I200)</f>
      </c>
      <c r="J207" t="str">
        <f>IF(CALC_EEM!$B200="","",CALC_EEM!J200)</f>
      </c>
      <c r="K207" t="str">
        <f>IF(CALC_EEM!$B200="","",CALC_EEM!K200)</f>
      </c>
      <c r="L207">
        <f>IF(CALC_EEM!$B200="","",CALC_EEM!L200)</f>
      </c>
      <c r="M207">
        <f>IF(CALC_EEM!$B200="","",CALC_EEM!M200)</f>
      </c>
      <c r="N207">
        <f>IF(CALC_EEM!$B200="","",CALC_EEM!N200)</f>
      </c>
      <c r="O207">
        <f>IF(CALC_EEM!$B200="","",CALC_EEM!O200)</f>
      </c>
      <c r="P207">
        <f>IF(CALC_EEM!$B200="","",CALC_EEM!P200)</f>
      </c>
      <c r="Q207">
        <f>IF(CALC_EEM!$B200="","",CALC_EEM!Q200)</f>
      </c>
      <c r="R207">
        <f>IF(CALC_EEM!$B200="","",CALC_EEM!R200)</f>
      </c>
      <c r="S207">
        <f>IF(CALC_EEM!$B200="","",CALC_EEM!S200)</f>
      </c>
      <c r="T207">
        <f>IF(CALC_EEM!$B200="","",CALC_EEM!T200)</f>
      </c>
      <c r="U207">
        <f>IF(CALC_EEM!$B200="","",CALC_EEM!U200)</f>
      </c>
    </row>
    <row r="208" spans="1:24">
      <c r="A208" t="str">
        <f>IF(CALC_EEM!$B201="","",IF(CALC_EEM!A201="GLOBAL","GLOBAL",IF(CALC_EEM!C201="Total","CURSO_TOTAL",IF(CALC_EEM!C201="TotalEsp","CURSO_ESP",IF(CALC_EEM!C201="TotalNoEsp","CURSO_NOESP","CURSO_ASIG")))))</f>
      </c>
      <c r="B208" t="str">
        <f>IF(CALC_EEM!$B201="","",CALC_EEM!A201)</f>
      </c>
      <c r="C208" t="str">
        <f>IF(CALC_EEM!$B201="","",CALC_EEM!B201)</f>
      </c>
      <c r="D208">
        <f>IF(CALC_EEM!$B201="","",CALC_EEM!D201)</f>
      </c>
      <c r="E208" s="14" t="str">
        <f>IF(CALC_EEM!$B201="","",CALC_EEM!E201)</f>
      </c>
      <c r="F208" s="14" t="str">
        <f>IF(CALC_EEM!$B201="","",CALC_EEM!F201)</f>
      </c>
      <c r="G208" t="str">
        <f>IF(CALC_EEM!$B201="","",CALC_EEM!G201)</f>
      </c>
      <c r="H208" s="16" t="str">
        <f>IF(CALC_EEM!$B201="","",CALC_EEM!H201)</f>
      </c>
      <c r="I208" s="16" t="str">
        <f>IF(CALC_EEM!$B201="","",CALC_EEM!I201)</f>
      </c>
      <c r="J208" t="str">
        <f>IF(CALC_EEM!$B201="","",CALC_EEM!J201)</f>
      </c>
      <c r="K208" t="str">
        <f>IF(CALC_EEM!$B201="","",CALC_EEM!K201)</f>
      </c>
      <c r="L208">
        <f>IF(CALC_EEM!$B201="","",CALC_EEM!L201)</f>
      </c>
      <c r="M208">
        <f>IF(CALC_EEM!$B201="","",CALC_EEM!M201)</f>
      </c>
      <c r="N208">
        <f>IF(CALC_EEM!$B201="","",CALC_EEM!N201)</f>
      </c>
      <c r="O208">
        <f>IF(CALC_EEM!$B201="","",CALC_EEM!O201)</f>
      </c>
      <c r="P208">
        <f>IF(CALC_EEM!$B201="","",CALC_EEM!P201)</f>
      </c>
      <c r="Q208">
        <f>IF(CALC_EEM!$B201="","",CALC_EEM!Q201)</f>
      </c>
      <c r="R208">
        <f>IF(CALC_EEM!$B201="","",CALC_EEM!R201)</f>
      </c>
      <c r="S208">
        <f>IF(CALC_EEM!$B201="","",CALC_EEM!S201)</f>
      </c>
      <c r="T208">
        <f>IF(CALC_EEM!$B201="","",CALC_EEM!T201)</f>
      </c>
      <c r="U208">
        <f>IF(CALC_EEM!$B201="","",CALC_EEM!U201)</f>
      </c>
    </row>
    <row r="209" spans="1:24">
      <c r="A209" t="str">
        <f>IF(CALC_EEM!$B202="","",IF(CALC_EEM!A202="GLOBAL","GLOBAL",IF(CALC_EEM!C202="Total","CURSO_TOTAL",IF(CALC_EEM!C202="TotalEsp","CURSO_ESP",IF(CALC_EEM!C202="TotalNoEsp","CURSO_NOESP","CURSO_ASIG")))))</f>
      </c>
      <c r="B209" t="str">
        <f>IF(CALC_EEM!$B202="","",CALC_EEM!A202)</f>
      </c>
      <c r="C209" t="str">
        <f>IF(CALC_EEM!$B202="","",CALC_EEM!B202)</f>
      </c>
      <c r="D209">
        <f>IF(CALC_EEM!$B202="","",CALC_EEM!D202)</f>
      </c>
      <c r="E209" s="14" t="str">
        <f>IF(CALC_EEM!$B202="","",CALC_EEM!E202)</f>
      </c>
      <c r="F209" s="14" t="str">
        <f>IF(CALC_EEM!$B202="","",CALC_EEM!F202)</f>
      </c>
      <c r="G209" t="str">
        <f>IF(CALC_EEM!$B202="","",CALC_EEM!G202)</f>
      </c>
      <c r="H209" s="16" t="str">
        <f>IF(CALC_EEM!$B202="","",CALC_EEM!H202)</f>
      </c>
      <c r="I209" s="16" t="str">
        <f>IF(CALC_EEM!$B202="","",CALC_EEM!I202)</f>
      </c>
      <c r="J209" t="str">
        <f>IF(CALC_EEM!$B202="","",CALC_EEM!J202)</f>
      </c>
      <c r="K209" t="str">
        <f>IF(CALC_EEM!$B202="","",CALC_EEM!K202)</f>
      </c>
      <c r="L209">
        <f>IF(CALC_EEM!$B202="","",CALC_EEM!L202)</f>
      </c>
      <c r="M209">
        <f>IF(CALC_EEM!$B202="","",CALC_EEM!M202)</f>
      </c>
      <c r="N209">
        <f>IF(CALC_EEM!$B202="","",CALC_EEM!N202)</f>
      </c>
      <c r="O209">
        <f>IF(CALC_EEM!$B202="","",CALC_EEM!O202)</f>
      </c>
      <c r="P209">
        <f>IF(CALC_EEM!$B202="","",CALC_EEM!P202)</f>
      </c>
      <c r="Q209">
        <f>IF(CALC_EEM!$B202="","",CALC_EEM!Q202)</f>
      </c>
      <c r="R209">
        <f>IF(CALC_EEM!$B202="","",CALC_EEM!R202)</f>
      </c>
      <c r="S209">
        <f>IF(CALC_EEM!$B202="","",CALC_EEM!S202)</f>
      </c>
      <c r="T209">
        <f>IF(CALC_EEM!$B202="","",CALC_EEM!T202)</f>
      </c>
      <c r="U209">
        <f>IF(CALC_EEM!$B202="","",CALC_EEM!U202)</f>
      </c>
    </row>
    <row r="210" spans="1:24">
      <c r="A210" t="str">
        <f>IF(CALC_EEM!$B203="","",IF(CALC_EEM!A203="GLOBAL","GLOBAL",IF(CALC_EEM!C203="Total","CURSO_TOTAL",IF(CALC_EEM!C203="TotalEsp","CURSO_ESP",IF(CALC_EEM!C203="TotalNoEsp","CURSO_NOESP","CURSO_ASIG")))))</f>
      </c>
      <c r="B210" t="str">
        <f>IF(CALC_EEM!$B203="","",CALC_EEM!A203)</f>
      </c>
      <c r="C210" t="str">
        <f>IF(CALC_EEM!$B203="","",CALC_EEM!B203)</f>
      </c>
      <c r="D210">
        <f>IF(CALC_EEM!$B203="","",CALC_EEM!D203)</f>
      </c>
      <c r="E210" s="14" t="str">
        <f>IF(CALC_EEM!$B203="","",CALC_EEM!E203)</f>
      </c>
      <c r="F210" s="14" t="str">
        <f>IF(CALC_EEM!$B203="","",CALC_EEM!F203)</f>
      </c>
      <c r="G210" t="str">
        <f>IF(CALC_EEM!$B203="","",CALC_EEM!G203)</f>
      </c>
      <c r="H210" s="16" t="str">
        <f>IF(CALC_EEM!$B203="","",CALC_EEM!H203)</f>
      </c>
      <c r="I210" s="16" t="str">
        <f>IF(CALC_EEM!$B203="","",CALC_EEM!I203)</f>
      </c>
      <c r="J210" t="str">
        <f>IF(CALC_EEM!$B203="","",CALC_EEM!J203)</f>
      </c>
      <c r="K210" t="str">
        <f>IF(CALC_EEM!$B203="","",CALC_EEM!K203)</f>
      </c>
      <c r="L210">
        <f>IF(CALC_EEM!$B203="","",CALC_EEM!L203)</f>
      </c>
      <c r="M210">
        <f>IF(CALC_EEM!$B203="","",CALC_EEM!M203)</f>
      </c>
      <c r="N210">
        <f>IF(CALC_EEM!$B203="","",CALC_EEM!N203)</f>
      </c>
      <c r="O210">
        <f>IF(CALC_EEM!$B203="","",CALC_EEM!O203)</f>
      </c>
      <c r="P210">
        <f>IF(CALC_EEM!$B203="","",CALC_EEM!P203)</f>
      </c>
      <c r="Q210">
        <f>IF(CALC_EEM!$B203="","",CALC_EEM!Q203)</f>
      </c>
      <c r="R210">
        <f>IF(CALC_EEM!$B203="","",CALC_EEM!R203)</f>
      </c>
      <c r="S210">
        <f>IF(CALC_EEM!$B203="","",CALC_EEM!S203)</f>
      </c>
      <c r="T210">
        <f>IF(CALC_EEM!$B203="","",CALC_EEM!T203)</f>
      </c>
      <c r="U210">
        <f>IF(CALC_EEM!$B203="","",CALC_EEM!U203)</f>
      </c>
    </row>
    <row r="211" spans="1:24">
      <c r="A211" t="str">
        <f>IF(CALC_EEM!$B204="","",IF(CALC_EEM!A204="GLOBAL","GLOBAL",IF(CALC_EEM!C204="Total","CURSO_TOTAL",IF(CALC_EEM!C204="TotalEsp","CURSO_ESP",IF(CALC_EEM!C204="TotalNoEsp","CURSO_NOESP","CURSO_ASIG")))))</f>
      </c>
      <c r="B211" t="str">
        <f>IF(CALC_EEM!$B204="","",CALC_EEM!A204)</f>
      </c>
      <c r="C211" t="str">
        <f>IF(CALC_EEM!$B204="","",CALC_EEM!B204)</f>
      </c>
      <c r="D211">
        <f>IF(CALC_EEM!$B204="","",CALC_EEM!D204)</f>
      </c>
      <c r="E211" s="14" t="str">
        <f>IF(CALC_EEM!$B204="","",CALC_EEM!E204)</f>
      </c>
      <c r="F211" s="14" t="str">
        <f>IF(CALC_EEM!$B204="","",CALC_EEM!F204)</f>
      </c>
      <c r="G211" t="str">
        <f>IF(CALC_EEM!$B204="","",CALC_EEM!G204)</f>
      </c>
      <c r="H211" s="16" t="str">
        <f>IF(CALC_EEM!$B204="","",CALC_EEM!H204)</f>
      </c>
      <c r="I211" s="16" t="str">
        <f>IF(CALC_EEM!$B204="","",CALC_EEM!I204)</f>
      </c>
      <c r="J211" t="str">
        <f>IF(CALC_EEM!$B204="","",CALC_EEM!J204)</f>
      </c>
      <c r="K211" t="str">
        <f>IF(CALC_EEM!$B204="","",CALC_EEM!K204)</f>
      </c>
      <c r="L211">
        <f>IF(CALC_EEM!$B204="","",CALC_EEM!L204)</f>
      </c>
      <c r="M211">
        <f>IF(CALC_EEM!$B204="","",CALC_EEM!M204)</f>
      </c>
      <c r="N211">
        <f>IF(CALC_EEM!$B204="","",CALC_EEM!N204)</f>
      </c>
      <c r="O211">
        <f>IF(CALC_EEM!$B204="","",CALC_EEM!O204)</f>
      </c>
      <c r="P211">
        <f>IF(CALC_EEM!$B204="","",CALC_EEM!P204)</f>
      </c>
      <c r="Q211">
        <f>IF(CALC_EEM!$B204="","",CALC_EEM!Q204)</f>
      </c>
      <c r="R211">
        <f>IF(CALC_EEM!$B204="","",CALC_EEM!R204)</f>
      </c>
      <c r="S211">
        <f>IF(CALC_EEM!$B204="","",CALC_EEM!S204)</f>
      </c>
      <c r="T211">
        <f>IF(CALC_EEM!$B204="","",CALC_EEM!T204)</f>
      </c>
      <c r="U211">
        <f>IF(CALC_EEM!$B204="","",CALC_EEM!U204)</f>
      </c>
    </row>
    <row r="212" spans="1:24">
      <c r="A212" t="str">
        <f>IF(CALC_EEM!$B205="","",IF(CALC_EEM!A205="GLOBAL","GLOBAL",IF(CALC_EEM!C205="Total","CURSO_TOTAL",IF(CALC_EEM!C205="TotalEsp","CURSO_ESP",IF(CALC_EEM!C205="TotalNoEsp","CURSO_NOESP","CURSO_ASIG")))))</f>
      </c>
      <c r="B212" t="str">
        <f>IF(CALC_EEM!$B205="","",CALC_EEM!A205)</f>
      </c>
      <c r="C212" t="str">
        <f>IF(CALC_EEM!$B205="","",CALC_EEM!B205)</f>
      </c>
      <c r="D212">
        <f>IF(CALC_EEM!$B205="","",CALC_EEM!D205)</f>
      </c>
      <c r="E212" s="14" t="str">
        <f>IF(CALC_EEM!$B205="","",CALC_EEM!E205)</f>
      </c>
      <c r="F212" s="14" t="str">
        <f>IF(CALC_EEM!$B205="","",CALC_EEM!F205)</f>
      </c>
      <c r="G212" t="str">
        <f>IF(CALC_EEM!$B205="","",CALC_EEM!G205)</f>
      </c>
      <c r="H212" s="16" t="str">
        <f>IF(CALC_EEM!$B205="","",CALC_EEM!H205)</f>
      </c>
      <c r="I212" s="16" t="str">
        <f>IF(CALC_EEM!$B205="","",CALC_EEM!I205)</f>
      </c>
      <c r="J212" t="str">
        <f>IF(CALC_EEM!$B205="","",CALC_EEM!J205)</f>
      </c>
      <c r="K212" t="str">
        <f>IF(CALC_EEM!$B205="","",CALC_EEM!K205)</f>
      </c>
      <c r="L212">
        <f>IF(CALC_EEM!$B205="","",CALC_EEM!L205)</f>
      </c>
      <c r="M212">
        <f>IF(CALC_EEM!$B205="","",CALC_EEM!M205)</f>
      </c>
      <c r="N212">
        <f>IF(CALC_EEM!$B205="","",CALC_EEM!N205)</f>
      </c>
      <c r="O212">
        <f>IF(CALC_EEM!$B205="","",CALC_EEM!O205)</f>
      </c>
      <c r="P212">
        <f>IF(CALC_EEM!$B205="","",CALC_EEM!P205)</f>
      </c>
      <c r="Q212">
        <f>IF(CALC_EEM!$B205="","",CALC_EEM!Q205)</f>
      </c>
      <c r="R212">
        <f>IF(CALC_EEM!$B205="","",CALC_EEM!R205)</f>
      </c>
      <c r="S212">
        <f>IF(CALC_EEM!$B205="","",CALC_EEM!S205)</f>
      </c>
      <c r="T212">
        <f>IF(CALC_EEM!$B205="","",CALC_EEM!T205)</f>
      </c>
      <c r="U212">
        <f>IF(CALC_EEM!$B205="","",CALC_EEM!U205)</f>
      </c>
    </row>
    <row r="213" spans="1:24">
      <c r="A213" t="str">
        <f>IF(CALC_EEM!$B206="","",IF(CALC_EEM!A206="GLOBAL","GLOBAL",IF(CALC_EEM!C206="Total","CURSO_TOTAL",IF(CALC_EEM!C206="TotalEsp","CURSO_ESP",IF(CALC_EEM!C206="TotalNoEsp","CURSO_NOESP","CURSO_ASIG")))))</f>
      </c>
      <c r="B213" t="str">
        <f>IF(CALC_EEM!$B206="","",CALC_EEM!A206)</f>
      </c>
      <c r="C213" t="str">
        <f>IF(CALC_EEM!$B206="","",CALC_EEM!B206)</f>
      </c>
      <c r="D213">
        <f>IF(CALC_EEM!$B206="","",CALC_EEM!D206)</f>
      </c>
      <c r="E213" s="14" t="str">
        <f>IF(CALC_EEM!$B206="","",CALC_EEM!E206)</f>
      </c>
      <c r="F213" s="14" t="str">
        <f>IF(CALC_EEM!$B206="","",CALC_EEM!F206)</f>
      </c>
      <c r="G213" t="str">
        <f>IF(CALC_EEM!$B206="","",CALC_EEM!G206)</f>
      </c>
      <c r="H213" s="16" t="str">
        <f>IF(CALC_EEM!$B206="","",CALC_EEM!H206)</f>
      </c>
      <c r="I213" s="16" t="str">
        <f>IF(CALC_EEM!$B206="","",CALC_EEM!I206)</f>
      </c>
      <c r="J213" t="str">
        <f>IF(CALC_EEM!$B206="","",CALC_EEM!J206)</f>
      </c>
      <c r="K213" t="str">
        <f>IF(CALC_EEM!$B206="","",CALC_EEM!K206)</f>
      </c>
      <c r="L213">
        <f>IF(CALC_EEM!$B206="","",CALC_EEM!L206)</f>
      </c>
      <c r="M213">
        <f>IF(CALC_EEM!$B206="","",CALC_EEM!M206)</f>
      </c>
      <c r="N213">
        <f>IF(CALC_EEM!$B206="","",CALC_EEM!N206)</f>
      </c>
      <c r="O213">
        <f>IF(CALC_EEM!$B206="","",CALC_EEM!O206)</f>
      </c>
      <c r="P213">
        <f>IF(CALC_EEM!$B206="","",CALC_EEM!P206)</f>
      </c>
      <c r="Q213">
        <f>IF(CALC_EEM!$B206="","",CALC_EEM!Q206)</f>
      </c>
      <c r="R213">
        <f>IF(CALC_EEM!$B206="","",CALC_EEM!R206)</f>
      </c>
      <c r="S213">
        <f>IF(CALC_EEM!$B206="","",CALC_EEM!S206)</f>
      </c>
      <c r="T213">
        <f>IF(CALC_EEM!$B206="","",CALC_EEM!T206)</f>
      </c>
      <c r="U213">
        <f>IF(CALC_EEM!$B206="","",CALC_EEM!U206)</f>
      </c>
    </row>
    <row r="214" spans="1:24">
      <c r="A214" t="str">
        <f>IF(CALC_EEM!$B207="","",IF(CALC_EEM!A207="GLOBAL","GLOBAL",IF(CALC_EEM!C207="Total","CURSO_TOTAL",IF(CALC_EEM!C207="TotalEsp","CURSO_ESP",IF(CALC_EEM!C207="TotalNoEsp","CURSO_NOESP","CURSO_ASIG")))))</f>
      </c>
      <c r="B214" t="str">
        <f>IF(CALC_EEM!$B207="","",CALC_EEM!A207)</f>
      </c>
      <c r="C214" t="str">
        <f>IF(CALC_EEM!$B207="","",CALC_EEM!B207)</f>
      </c>
      <c r="D214">
        <f>IF(CALC_EEM!$B207="","",CALC_EEM!D207)</f>
      </c>
      <c r="E214" s="14" t="str">
        <f>IF(CALC_EEM!$B207="","",CALC_EEM!E207)</f>
      </c>
      <c r="F214" s="14" t="str">
        <f>IF(CALC_EEM!$B207="","",CALC_EEM!F207)</f>
      </c>
      <c r="G214" t="str">
        <f>IF(CALC_EEM!$B207="","",CALC_EEM!G207)</f>
      </c>
      <c r="H214" s="16" t="str">
        <f>IF(CALC_EEM!$B207="","",CALC_EEM!H207)</f>
      </c>
      <c r="I214" s="16" t="str">
        <f>IF(CALC_EEM!$B207="","",CALC_EEM!I207)</f>
      </c>
      <c r="J214" t="str">
        <f>IF(CALC_EEM!$B207="","",CALC_EEM!J207)</f>
      </c>
      <c r="K214" t="str">
        <f>IF(CALC_EEM!$B207="","",CALC_EEM!K207)</f>
      </c>
      <c r="L214">
        <f>IF(CALC_EEM!$B207="","",CALC_EEM!L207)</f>
      </c>
      <c r="M214">
        <f>IF(CALC_EEM!$B207="","",CALC_EEM!M207)</f>
      </c>
      <c r="N214">
        <f>IF(CALC_EEM!$B207="","",CALC_EEM!N207)</f>
      </c>
      <c r="O214">
        <f>IF(CALC_EEM!$B207="","",CALC_EEM!O207)</f>
      </c>
      <c r="P214">
        <f>IF(CALC_EEM!$B207="","",CALC_EEM!P207)</f>
      </c>
      <c r="Q214">
        <f>IF(CALC_EEM!$B207="","",CALC_EEM!Q207)</f>
      </c>
      <c r="R214">
        <f>IF(CALC_EEM!$B207="","",CALC_EEM!R207)</f>
      </c>
      <c r="S214">
        <f>IF(CALC_EEM!$B207="","",CALC_EEM!S207)</f>
      </c>
      <c r="T214">
        <f>IF(CALC_EEM!$B207="","",CALC_EEM!T207)</f>
      </c>
      <c r="U214">
        <f>IF(CALC_EEM!$B207="","",CALC_EEM!U207)</f>
      </c>
    </row>
    <row r="215" spans="1:24">
      <c r="A215" t="str">
        <f>IF(CALC_EEM!$B208="","",IF(CALC_EEM!A208="GLOBAL","GLOBAL",IF(CALC_EEM!C208="Total","CURSO_TOTAL",IF(CALC_EEM!C208="TotalEsp","CURSO_ESP",IF(CALC_EEM!C208="TotalNoEsp","CURSO_NOESP","CURSO_ASIG")))))</f>
      </c>
      <c r="B215" t="str">
        <f>IF(CALC_EEM!$B208="","",CALC_EEM!A208)</f>
      </c>
      <c r="C215" t="str">
        <f>IF(CALC_EEM!$B208="","",CALC_EEM!B208)</f>
      </c>
      <c r="D215">
        <f>IF(CALC_EEM!$B208="","",CALC_EEM!D208)</f>
      </c>
      <c r="E215" s="14" t="str">
        <f>IF(CALC_EEM!$B208="","",CALC_EEM!E208)</f>
      </c>
      <c r="F215" s="14" t="str">
        <f>IF(CALC_EEM!$B208="","",CALC_EEM!F208)</f>
      </c>
      <c r="G215" t="str">
        <f>IF(CALC_EEM!$B208="","",CALC_EEM!G208)</f>
      </c>
      <c r="H215" s="16" t="str">
        <f>IF(CALC_EEM!$B208="","",CALC_EEM!H208)</f>
      </c>
      <c r="I215" s="16" t="str">
        <f>IF(CALC_EEM!$B208="","",CALC_EEM!I208)</f>
      </c>
      <c r="J215" t="str">
        <f>IF(CALC_EEM!$B208="","",CALC_EEM!J208)</f>
      </c>
      <c r="K215" t="str">
        <f>IF(CALC_EEM!$B208="","",CALC_EEM!K208)</f>
      </c>
      <c r="L215">
        <f>IF(CALC_EEM!$B208="","",CALC_EEM!L208)</f>
      </c>
      <c r="M215">
        <f>IF(CALC_EEM!$B208="","",CALC_EEM!M208)</f>
      </c>
      <c r="N215">
        <f>IF(CALC_EEM!$B208="","",CALC_EEM!N208)</f>
      </c>
      <c r="O215">
        <f>IF(CALC_EEM!$B208="","",CALC_EEM!O208)</f>
      </c>
      <c r="P215">
        <f>IF(CALC_EEM!$B208="","",CALC_EEM!P208)</f>
      </c>
      <c r="Q215">
        <f>IF(CALC_EEM!$B208="","",CALC_EEM!Q208)</f>
      </c>
      <c r="R215">
        <f>IF(CALC_EEM!$B208="","",CALC_EEM!R208)</f>
      </c>
      <c r="S215">
        <f>IF(CALC_EEM!$B208="","",CALC_EEM!S208)</f>
      </c>
      <c r="T215">
        <f>IF(CALC_EEM!$B208="","",CALC_EEM!T208)</f>
      </c>
      <c r="U215">
        <f>IF(CALC_EEM!$B208="","",CALC_EEM!U208)</f>
      </c>
    </row>
    <row r="216" spans="1:24">
      <c r="A216" t="str">
        <f>IF(CALC_EEM!$B209="","",IF(CALC_EEM!A209="GLOBAL","GLOBAL",IF(CALC_EEM!C209="Total","CURSO_TOTAL",IF(CALC_EEM!C209="TotalEsp","CURSO_ESP",IF(CALC_EEM!C209="TotalNoEsp","CURSO_NOESP","CURSO_ASIG")))))</f>
      </c>
      <c r="B216" t="str">
        <f>IF(CALC_EEM!$B209="","",CALC_EEM!A209)</f>
      </c>
      <c r="C216" t="str">
        <f>IF(CALC_EEM!$B209="","",CALC_EEM!B209)</f>
      </c>
      <c r="D216">
        <f>IF(CALC_EEM!$B209="","",CALC_EEM!D209)</f>
      </c>
      <c r="E216" s="14" t="str">
        <f>IF(CALC_EEM!$B209="","",CALC_EEM!E209)</f>
      </c>
      <c r="F216" s="14" t="str">
        <f>IF(CALC_EEM!$B209="","",CALC_EEM!F209)</f>
      </c>
      <c r="G216" t="str">
        <f>IF(CALC_EEM!$B209="","",CALC_EEM!G209)</f>
      </c>
      <c r="H216" s="16" t="str">
        <f>IF(CALC_EEM!$B209="","",CALC_EEM!H209)</f>
      </c>
      <c r="I216" s="16" t="str">
        <f>IF(CALC_EEM!$B209="","",CALC_EEM!I209)</f>
      </c>
      <c r="J216" t="str">
        <f>IF(CALC_EEM!$B209="","",CALC_EEM!J209)</f>
      </c>
      <c r="K216" t="str">
        <f>IF(CALC_EEM!$B209="","",CALC_EEM!K209)</f>
      </c>
      <c r="L216">
        <f>IF(CALC_EEM!$B209="","",CALC_EEM!L209)</f>
      </c>
      <c r="M216">
        <f>IF(CALC_EEM!$B209="","",CALC_EEM!M209)</f>
      </c>
      <c r="N216">
        <f>IF(CALC_EEM!$B209="","",CALC_EEM!N209)</f>
      </c>
      <c r="O216">
        <f>IF(CALC_EEM!$B209="","",CALC_EEM!O209)</f>
      </c>
      <c r="P216">
        <f>IF(CALC_EEM!$B209="","",CALC_EEM!P209)</f>
      </c>
      <c r="Q216">
        <f>IF(CALC_EEM!$B209="","",CALC_EEM!Q209)</f>
      </c>
      <c r="R216">
        <f>IF(CALC_EEM!$B209="","",CALC_EEM!R209)</f>
      </c>
      <c r="S216">
        <f>IF(CALC_EEM!$B209="","",CALC_EEM!S209)</f>
      </c>
      <c r="T216">
        <f>IF(CALC_EEM!$B209="","",CALC_EEM!T209)</f>
      </c>
      <c r="U216">
        <f>IF(CALC_EEM!$B209="","",CALC_EEM!U209)</f>
      </c>
    </row>
    <row r="217" spans="1:24">
      <c r="A217" t="str">
        <f>IF(CALC_EEM!$B210="","",IF(CALC_EEM!A210="GLOBAL","GLOBAL",IF(CALC_EEM!C210="Total","CURSO_TOTAL",IF(CALC_EEM!C210="TotalEsp","CURSO_ESP",IF(CALC_EEM!C210="TotalNoEsp","CURSO_NOESP","CURSO_ASIG")))))</f>
      </c>
      <c r="B217" t="str">
        <f>IF(CALC_EEM!$B210="","",CALC_EEM!A210)</f>
      </c>
      <c r="C217" t="str">
        <f>IF(CALC_EEM!$B210="","",CALC_EEM!B210)</f>
      </c>
      <c r="D217">
        <f>IF(CALC_EEM!$B210="","",CALC_EEM!D210)</f>
      </c>
      <c r="E217" s="14" t="str">
        <f>IF(CALC_EEM!$B210="","",CALC_EEM!E210)</f>
      </c>
      <c r="F217" s="14" t="str">
        <f>IF(CALC_EEM!$B210="","",CALC_EEM!F210)</f>
      </c>
      <c r="G217" t="str">
        <f>IF(CALC_EEM!$B210="","",CALC_EEM!G210)</f>
      </c>
      <c r="H217" s="16" t="str">
        <f>IF(CALC_EEM!$B210="","",CALC_EEM!H210)</f>
      </c>
      <c r="I217" s="16" t="str">
        <f>IF(CALC_EEM!$B210="","",CALC_EEM!I210)</f>
      </c>
      <c r="J217" t="str">
        <f>IF(CALC_EEM!$B210="","",CALC_EEM!J210)</f>
      </c>
      <c r="K217" t="str">
        <f>IF(CALC_EEM!$B210="","",CALC_EEM!K210)</f>
      </c>
      <c r="L217">
        <f>IF(CALC_EEM!$B210="","",CALC_EEM!L210)</f>
      </c>
      <c r="M217">
        <f>IF(CALC_EEM!$B210="","",CALC_EEM!M210)</f>
      </c>
      <c r="N217">
        <f>IF(CALC_EEM!$B210="","",CALC_EEM!N210)</f>
      </c>
      <c r="O217">
        <f>IF(CALC_EEM!$B210="","",CALC_EEM!O210)</f>
      </c>
      <c r="P217">
        <f>IF(CALC_EEM!$B210="","",CALC_EEM!P210)</f>
      </c>
      <c r="Q217">
        <f>IF(CALC_EEM!$B210="","",CALC_EEM!Q210)</f>
      </c>
      <c r="R217">
        <f>IF(CALC_EEM!$B210="","",CALC_EEM!R210)</f>
      </c>
      <c r="S217">
        <f>IF(CALC_EEM!$B210="","",CALC_EEM!S210)</f>
      </c>
      <c r="T217">
        <f>IF(CALC_EEM!$B210="","",CALC_EEM!T210)</f>
      </c>
      <c r="U217">
        <f>IF(CALC_EEM!$B210="","",CALC_EEM!U210)</f>
      </c>
    </row>
    <row r="218" spans="1:24">
      <c r="A218" t="str">
        <f>IF(CALC_EEM!$B211="","",IF(CALC_EEM!A211="GLOBAL","GLOBAL",IF(CALC_EEM!C211="Total","CURSO_TOTAL",IF(CALC_EEM!C211="TotalEsp","CURSO_ESP",IF(CALC_EEM!C211="TotalNoEsp","CURSO_NOESP","CURSO_ASIG")))))</f>
      </c>
      <c r="B218" t="str">
        <f>IF(CALC_EEM!$B211="","",CALC_EEM!A211)</f>
      </c>
      <c r="C218" t="str">
        <f>IF(CALC_EEM!$B211="","",CALC_EEM!B211)</f>
      </c>
      <c r="D218">
        <f>IF(CALC_EEM!$B211="","",CALC_EEM!D211)</f>
      </c>
      <c r="E218" s="14" t="str">
        <f>IF(CALC_EEM!$B211="","",CALC_EEM!E211)</f>
      </c>
      <c r="F218" s="14" t="str">
        <f>IF(CALC_EEM!$B211="","",CALC_EEM!F211)</f>
      </c>
      <c r="G218" t="str">
        <f>IF(CALC_EEM!$B211="","",CALC_EEM!G211)</f>
      </c>
      <c r="H218" s="16" t="str">
        <f>IF(CALC_EEM!$B211="","",CALC_EEM!H211)</f>
      </c>
      <c r="I218" s="16" t="str">
        <f>IF(CALC_EEM!$B211="","",CALC_EEM!I211)</f>
      </c>
      <c r="J218" t="str">
        <f>IF(CALC_EEM!$B211="","",CALC_EEM!J211)</f>
      </c>
      <c r="K218" t="str">
        <f>IF(CALC_EEM!$B211="","",CALC_EEM!K211)</f>
      </c>
      <c r="L218">
        <f>IF(CALC_EEM!$B211="","",CALC_EEM!L211)</f>
      </c>
      <c r="M218">
        <f>IF(CALC_EEM!$B211="","",CALC_EEM!M211)</f>
      </c>
      <c r="N218">
        <f>IF(CALC_EEM!$B211="","",CALC_EEM!N211)</f>
      </c>
      <c r="O218">
        <f>IF(CALC_EEM!$B211="","",CALC_EEM!O211)</f>
      </c>
      <c r="P218">
        <f>IF(CALC_EEM!$B211="","",CALC_EEM!P211)</f>
      </c>
      <c r="Q218">
        <f>IF(CALC_EEM!$B211="","",CALC_EEM!Q211)</f>
      </c>
      <c r="R218">
        <f>IF(CALC_EEM!$B211="","",CALC_EEM!R211)</f>
      </c>
      <c r="S218">
        <f>IF(CALC_EEM!$B211="","",CALC_EEM!S211)</f>
      </c>
      <c r="T218">
        <f>IF(CALC_EEM!$B211="","",CALC_EEM!T211)</f>
      </c>
      <c r="U218">
        <f>IF(CALC_EEM!$B211="","",CALC_EEM!U211)</f>
      </c>
    </row>
    <row r="219" spans="1:24">
      <c r="A219" t="str">
        <f>IF(CALC_EEM!$B212="","",IF(CALC_EEM!A212="GLOBAL","GLOBAL",IF(CALC_EEM!C212="Total","CURSO_TOTAL",IF(CALC_EEM!C212="TotalEsp","CURSO_ESP",IF(CALC_EEM!C212="TotalNoEsp","CURSO_NOESP","CURSO_ASIG")))))</f>
      </c>
      <c r="B219" t="str">
        <f>IF(CALC_EEM!$B212="","",CALC_EEM!A212)</f>
      </c>
      <c r="C219" t="str">
        <f>IF(CALC_EEM!$B212="","",CALC_EEM!B212)</f>
      </c>
      <c r="D219">
        <f>IF(CALC_EEM!$B212="","",CALC_EEM!D212)</f>
      </c>
      <c r="E219" s="14" t="str">
        <f>IF(CALC_EEM!$B212="","",CALC_EEM!E212)</f>
      </c>
      <c r="F219" s="14" t="str">
        <f>IF(CALC_EEM!$B212="","",CALC_EEM!F212)</f>
      </c>
      <c r="G219" t="str">
        <f>IF(CALC_EEM!$B212="","",CALC_EEM!G212)</f>
      </c>
      <c r="H219" s="16" t="str">
        <f>IF(CALC_EEM!$B212="","",CALC_EEM!H212)</f>
      </c>
      <c r="I219" s="16" t="str">
        <f>IF(CALC_EEM!$B212="","",CALC_EEM!I212)</f>
      </c>
      <c r="J219" t="str">
        <f>IF(CALC_EEM!$B212="","",CALC_EEM!J212)</f>
      </c>
      <c r="K219" t="str">
        <f>IF(CALC_EEM!$B212="","",CALC_EEM!K212)</f>
      </c>
      <c r="L219">
        <f>IF(CALC_EEM!$B212="","",CALC_EEM!L212)</f>
      </c>
      <c r="M219">
        <f>IF(CALC_EEM!$B212="","",CALC_EEM!M212)</f>
      </c>
      <c r="N219">
        <f>IF(CALC_EEM!$B212="","",CALC_EEM!N212)</f>
      </c>
      <c r="O219">
        <f>IF(CALC_EEM!$B212="","",CALC_EEM!O212)</f>
      </c>
      <c r="P219">
        <f>IF(CALC_EEM!$B212="","",CALC_EEM!P212)</f>
      </c>
      <c r="Q219">
        <f>IF(CALC_EEM!$B212="","",CALC_EEM!Q212)</f>
      </c>
      <c r="R219">
        <f>IF(CALC_EEM!$B212="","",CALC_EEM!R212)</f>
      </c>
      <c r="S219">
        <f>IF(CALC_EEM!$B212="","",CALC_EEM!S212)</f>
      </c>
      <c r="T219">
        <f>IF(CALC_EEM!$B212="","",CALC_EEM!T212)</f>
      </c>
      <c r="U219">
        <f>IF(CALC_EEM!$B212="","",CALC_EEM!U212)</f>
      </c>
    </row>
    <row r="220" spans="1:24">
      <c r="A220" t="str">
        <f>IF(CALC_EEM!$B213="","",IF(CALC_EEM!A213="GLOBAL","GLOBAL",IF(CALC_EEM!C213="Total","CURSO_TOTAL",IF(CALC_EEM!C213="TotalEsp","CURSO_ESP",IF(CALC_EEM!C213="TotalNoEsp","CURSO_NOESP","CURSO_ASIG")))))</f>
      </c>
      <c r="B220" t="str">
        <f>IF(CALC_EEM!$B213="","",CALC_EEM!A213)</f>
      </c>
      <c r="C220" t="str">
        <f>IF(CALC_EEM!$B213="","",CALC_EEM!B213)</f>
      </c>
      <c r="D220">
        <f>IF(CALC_EEM!$B213="","",CALC_EEM!D213)</f>
      </c>
      <c r="E220" s="14" t="str">
        <f>IF(CALC_EEM!$B213="","",CALC_EEM!E213)</f>
      </c>
      <c r="F220" s="14" t="str">
        <f>IF(CALC_EEM!$B213="","",CALC_EEM!F213)</f>
      </c>
      <c r="G220" t="str">
        <f>IF(CALC_EEM!$B213="","",CALC_EEM!G213)</f>
      </c>
      <c r="H220" s="16" t="str">
        <f>IF(CALC_EEM!$B213="","",CALC_EEM!H213)</f>
      </c>
      <c r="I220" s="16" t="str">
        <f>IF(CALC_EEM!$B213="","",CALC_EEM!I213)</f>
      </c>
      <c r="J220" t="str">
        <f>IF(CALC_EEM!$B213="","",CALC_EEM!J213)</f>
      </c>
      <c r="K220" t="str">
        <f>IF(CALC_EEM!$B213="","",CALC_EEM!K213)</f>
      </c>
      <c r="L220">
        <f>IF(CALC_EEM!$B213="","",CALC_EEM!L213)</f>
      </c>
      <c r="M220">
        <f>IF(CALC_EEM!$B213="","",CALC_EEM!M213)</f>
      </c>
      <c r="N220">
        <f>IF(CALC_EEM!$B213="","",CALC_EEM!N213)</f>
      </c>
      <c r="O220">
        <f>IF(CALC_EEM!$B213="","",CALC_EEM!O213)</f>
      </c>
      <c r="P220">
        <f>IF(CALC_EEM!$B213="","",CALC_EEM!P213)</f>
      </c>
      <c r="Q220">
        <f>IF(CALC_EEM!$B213="","",CALC_EEM!Q213)</f>
      </c>
      <c r="R220">
        <f>IF(CALC_EEM!$B213="","",CALC_EEM!R213)</f>
      </c>
      <c r="S220">
        <f>IF(CALC_EEM!$B213="","",CALC_EEM!S213)</f>
      </c>
      <c r="T220">
        <f>IF(CALC_EEM!$B213="","",CALC_EEM!T213)</f>
      </c>
      <c r="U220">
        <f>IF(CALC_EEM!$B213="","",CALC_EEM!U213)</f>
      </c>
    </row>
    <row r="221" spans="1:24">
      <c r="A221" t="str">
        <f>IF(CALC_EEM!$B214="","",IF(CALC_EEM!A214="GLOBAL","GLOBAL",IF(CALC_EEM!C214="Total","CURSO_TOTAL",IF(CALC_EEM!C214="TotalEsp","CURSO_ESP",IF(CALC_EEM!C214="TotalNoEsp","CURSO_NOESP","CURSO_ASIG")))))</f>
      </c>
      <c r="B221" t="str">
        <f>IF(CALC_EEM!$B214="","",CALC_EEM!A214)</f>
      </c>
      <c r="C221" t="str">
        <f>IF(CALC_EEM!$B214="","",CALC_EEM!B214)</f>
      </c>
      <c r="D221">
        <f>IF(CALC_EEM!$B214="","",CALC_EEM!D214)</f>
      </c>
      <c r="E221" s="14" t="str">
        <f>IF(CALC_EEM!$B214="","",CALC_EEM!E214)</f>
      </c>
      <c r="F221" s="14" t="str">
        <f>IF(CALC_EEM!$B214="","",CALC_EEM!F214)</f>
      </c>
      <c r="G221" t="str">
        <f>IF(CALC_EEM!$B214="","",CALC_EEM!G214)</f>
      </c>
      <c r="H221" s="16" t="str">
        <f>IF(CALC_EEM!$B214="","",CALC_EEM!H214)</f>
      </c>
      <c r="I221" s="16" t="str">
        <f>IF(CALC_EEM!$B214="","",CALC_EEM!I214)</f>
      </c>
      <c r="J221" t="str">
        <f>IF(CALC_EEM!$B214="","",CALC_EEM!J214)</f>
      </c>
      <c r="K221" t="str">
        <f>IF(CALC_EEM!$B214="","",CALC_EEM!K214)</f>
      </c>
      <c r="L221">
        <f>IF(CALC_EEM!$B214="","",CALC_EEM!L214)</f>
      </c>
      <c r="M221">
        <f>IF(CALC_EEM!$B214="","",CALC_EEM!M214)</f>
      </c>
      <c r="N221">
        <f>IF(CALC_EEM!$B214="","",CALC_EEM!N214)</f>
      </c>
      <c r="O221">
        <f>IF(CALC_EEM!$B214="","",CALC_EEM!O214)</f>
      </c>
      <c r="P221">
        <f>IF(CALC_EEM!$B214="","",CALC_EEM!P214)</f>
      </c>
      <c r="Q221">
        <f>IF(CALC_EEM!$B214="","",CALC_EEM!Q214)</f>
      </c>
      <c r="R221">
        <f>IF(CALC_EEM!$B214="","",CALC_EEM!R214)</f>
      </c>
      <c r="S221">
        <f>IF(CALC_EEM!$B214="","",CALC_EEM!S214)</f>
      </c>
      <c r="T221">
        <f>IF(CALC_EEM!$B214="","",CALC_EEM!T214)</f>
      </c>
      <c r="U221">
        <f>IF(CALC_EEM!$B214="","",CALC_EEM!U214)</f>
      </c>
    </row>
    <row r="222" spans="1:24">
      <c r="A222" t="str">
        <f>IF(CALC_EEM!$B215="","",IF(CALC_EEM!A215="GLOBAL","GLOBAL",IF(CALC_EEM!C215="Total","CURSO_TOTAL",IF(CALC_EEM!C215="TotalEsp","CURSO_ESP",IF(CALC_EEM!C215="TotalNoEsp","CURSO_NOESP","CURSO_ASIG")))))</f>
      </c>
      <c r="B222" t="str">
        <f>IF(CALC_EEM!$B215="","",CALC_EEM!A215)</f>
      </c>
      <c r="C222" t="str">
        <f>IF(CALC_EEM!$B215="","",CALC_EEM!B215)</f>
      </c>
      <c r="D222">
        <f>IF(CALC_EEM!$B215="","",CALC_EEM!D215)</f>
      </c>
      <c r="E222" s="14" t="str">
        <f>IF(CALC_EEM!$B215="","",CALC_EEM!E215)</f>
      </c>
      <c r="F222" s="14" t="str">
        <f>IF(CALC_EEM!$B215="","",CALC_EEM!F215)</f>
      </c>
      <c r="G222" t="str">
        <f>IF(CALC_EEM!$B215="","",CALC_EEM!G215)</f>
      </c>
      <c r="H222" s="16" t="str">
        <f>IF(CALC_EEM!$B215="","",CALC_EEM!H215)</f>
      </c>
      <c r="I222" s="16" t="str">
        <f>IF(CALC_EEM!$B215="","",CALC_EEM!I215)</f>
      </c>
      <c r="J222" t="str">
        <f>IF(CALC_EEM!$B215="","",CALC_EEM!J215)</f>
      </c>
      <c r="K222" t="str">
        <f>IF(CALC_EEM!$B215="","",CALC_EEM!K215)</f>
      </c>
      <c r="L222">
        <f>IF(CALC_EEM!$B215="","",CALC_EEM!L215)</f>
      </c>
      <c r="M222">
        <f>IF(CALC_EEM!$B215="","",CALC_EEM!M215)</f>
      </c>
      <c r="N222">
        <f>IF(CALC_EEM!$B215="","",CALC_EEM!N215)</f>
      </c>
      <c r="O222">
        <f>IF(CALC_EEM!$B215="","",CALC_EEM!O215)</f>
      </c>
      <c r="P222">
        <f>IF(CALC_EEM!$B215="","",CALC_EEM!P215)</f>
      </c>
      <c r="Q222">
        <f>IF(CALC_EEM!$B215="","",CALC_EEM!Q215)</f>
      </c>
      <c r="R222">
        <f>IF(CALC_EEM!$B215="","",CALC_EEM!R215)</f>
      </c>
      <c r="S222">
        <f>IF(CALC_EEM!$B215="","",CALC_EEM!S215)</f>
      </c>
      <c r="T222">
        <f>IF(CALC_EEM!$B215="","",CALC_EEM!T215)</f>
      </c>
      <c r="U222">
        <f>IF(CALC_EEM!$B215="","",CALC_EEM!U215)</f>
      </c>
    </row>
    <row r="223" spans="1:24">
      <c r="A223" t="str">
        <f>IF(CALC_EEM!$B216="","",IF(CALC_EEM!A216="GLOBAL","GLOBAL",IF(CALC_EEM!C216="Total","CURSO_TOTAL",IF(CALC_EEM!C216="TotalEsp","CURSO_ESP",IF(CALC_EEM!C216="TotalNoEsp","CURSO_NOESP","CURSO_ASIG")))))</f>
      </c>
      <c r="B223" t="str">
        <f>IF(CALC_EEM!$B216="","",CALC_EEM!A216)</f>
      </c>
      <c r="C223" t="str">
        <f>IF(CALC_EEM!$B216="","",CALC_EEM!B216)</f>
      </c>
      <c r="D223">
        <f>IF(CALC_EEM!$B216="","",CALC_EEM!D216)</f>
      </c>
      <c r="E223" s="14" t="str">
        <f>IF(CALC_EEM!$B216="","",CALC_EEM!E216)</f>
      </c>
      <c r="F223" s="14" t="str">
        <f>IF(CALC_EEM!$B216="","",CALC_EEM!F216)</f>
      </c>
      <c r="G223" t="str">
        <f>IF(CALC_EEM!$B216="","",CALC_EEM!G216)</f>
      </c>
      <c r="H223" s="16" t="str">
        <f>IF(CALC_EEM!$B216="","",CALC_EEM!H216)</f>
      </c>
      <c r="I223" s="16" t="str">
        <f>IF(CALC_EEM!$B216="","",CALC_EEM!I216)</f>
      </c>
      <c r="J223" t="str">
        <f>IF(CALC_EEM!$B216="","",CALC_EEM!J216)</f>
      </c>
      <c r="K223" t="str">
        <f>IF(CALC_EEM!$B216="","",CALC_EEM!K216)</f>
      </c>
      <c r="L223">
        <f>IF(CALC_EEM!$B216="","",CALC_EEM!L216)</f>
      </c>
      <c r="M223">
        <f>IF(CALC_EEM!$B216="","",CALC_EEM!M216)</f>
      </c>
      <c r="N223">
        <f>IF(CALC_EEM!$B216="","",CALC_EEM!N216)</f>
      </c>
      <c r="O223">
        <f>IF(CALC_EEM!$B216="","",CALC_EEM!O216)</f>
      </c>
      <c r="P223">
        <f>IF(CALC_EEM!$B216="","",CALC_EEM!P216)</f>
      </c>
      <c r="Q223">
        <f>IF(CALC_EEM!$B216="","",CALC_EEM!Q216)</f>
      </c>
      <c r="R223">
        <f>IF(CALC_EEM!$B216="","",CALC_EEM!R216)</f>
      </c>
      <c r="S223">
        <f>IF(CALC_EEM!$B216="","",CALC_EEM!S216)</f>
      </c>
      <c r="T223">
        <f>IF(CALC_EEM!$B216="","",CALC_EEM!T216)</f>
      </c>
      <c r="U223">
        <f>IF(CALC_EEM!$B216="","",CALC_EEM!U216)</f>
      </c>
    </row>
    <row r="224" spans="1:24">
      <c r="A224" t="str">
        <f>IF(CALC_EEM!$B217="","",IF(CALC_EEM!A217="GLOBAL","GLOBAL",IF(CALC_EEM!C217="Total","CURSO_TOTAL",IF(CALC_EEM!C217="TotalEsp","CURSO_ESP",IF(CALC_EEM!C217="TotalNoEsp","CURSO_NOESP","CURSO_ASIG")))))</f>
      </c>
      <c r="B224" t="str">
        <f>IF(CALC_EEM!$B217="","",CALC_EEM!A217)</f>
      </c>
      <c r="C224" t="str">
        <f>IF(CALC_EEM!$B217="","",CALC_EEM!B217)</f>
      </c>
      <c r="D224">
        <f>IF(CALC_EEM!$B217="","",CALC_EEM!D217)</f>
      </c>
      <c r="E224" s="14" t="str">
        <f>IF(CALC_EEM!$B217="","",CALC_EEM!E217)</f>
      </c>
      <c r="F224" s="14" t="str">
        <f>IF(CALC_EEM!$B217="","",CALC_EEM!F217)</f>
      </c>
      <c r="G224" t="str">
        <f>IF(CALC_EEM!$B217="","",CALC_EEM!G217)</f>
      </c>
      <c r="H224" s="16" t="str">
        <f>IF(CALC_EEM!$B217="","",CALC_EEM!H217)</f>
      </c>
      <c r="I224" s="16" t="str">
        <f>IF(CALC_EEM!$B217="","",CALC_EEM!I217)</f>
      </c>
      <c r="J224" t="str">
        <f>IF(CALC_EEM!$B217="","",CALC_EEM!J217)</f>
      </c>
      <c r="K224" t="str">
        <f>IF(CALC_EEM!$B217="","",CALC_EEM!K217)</f>
      </c>
      <c r="L224">
        <f>IF(CALC_EEM!$B217="","",CALC_EEM!L217)</f>
      </c>
      <c r="M224">
        <f>IF(CALC_EEM!$B217="","",CALC_EEM!M217)</f>
      </c>
      <c r="N224">
        <f>IF(CALC_EEM!$B217="","",CALC_EEM!N217)</f>
      </c>
      <c r="O224">
        <f>IF(CALC_EEM!$B217="","",CALC_EEM!O217)</f>
      </c>
      <c r="P224">
        <f>IF(CALC_EEM!$B217="","",CALC_EEM!P217)</f>
      </c>
      <c r="Q224">
        <f>IF(CALC_EEM!$B217="","",CALC_EEM!Q217)</f>
      </c>
      <c r="R224">
        <f>IF(CALC_EEM!$B217="","",CALC_EEM!R217)</f>
      </c>
      <c r="S224">
        <f>IF(CALC_EEM!$B217="","",CALC_EEM!S217)</f>
      </c>
      <c r="T224">
        <f>IF(CALC_EEM!$B217="","",CALC_EEM!T217)</f>
      </c>
      <c r="U224">
        <f>IF(CALC_EEM!$B217="","",CALC_EEM!U217)</f>
      </c>
    </row>
    <row r="225" spans="1:24">
      <c r="A225" t="str">
        <f>IF(CALC_EEM!$B218="","",IF(CALC_EEM!A218="GLOBAL","GLOBAL",IF(CALC_EEM!C218="Total","CURSO_TOTAL",IF(CALC_EEM!C218="TotalEsp","CURSO_ESP",IF(CALC_EEM!C218="TotalNoEsp","CURSO_NOESP","CURSO_ASIG")))))</f>
      </c>
      <c r="B225" t="str">
        <f>IF(CALC_EEM!$B218="","",CALC_EEM!A218)</f>
      </c>
      <c r="C225" t="str">
        <f>IF(CALC_EEM!$B218="","",CALC_EEM!B218)</f>
      </c>
      <c r="D225">
        <f>IF(CALC_EEM!$B218="","",CALC_EEM!D218)</f>
      </c>
      <c r="E225" s="14" t="str">
        <f>IF(CALC_EEM!$B218="","",CALC_EEM!E218)</f>
      </c>
      <c r="F225" s="14" t="str">
        <f>IF(CALC_EEM!$B218="","",CALC_EEM!F218)</f>
      </c>
      <c r="G225" t="str">
        <f>IF(CALC_EEM!$B218="","",CALC_EEM!G218)</f>
      </c>
      <c r="H225" s="16" t="str">
        <f>IF(CALC_EEM!$B218="","",CALC_EEM!H218)</f>
      </c>
      <c r="I225" s="16" t="str">
        <f>IF(CALC_EEM!$B218="","",CALC_EEM!I218)</f>
      </c>
      <c r="J225" t="str">
        <f>IF(CALC_EEM!$B218="","",CALC_EEM!J218)</f>
      </c>
      <c r="K225" t="str">
        <f>IF(CALC_EEM!$B218="","",CALC_EEM!K218)</f>
      </c>
      <c r="L225">
        <f>IF(CALC_EEM!$B218="","",CALC_EEM!L218)</f>
      </c>
      <c r="M225">
        <f>IF(CALC_EEM!$B218="","",CALC_EEM!M218)</f>
      </c>
      <c r="N225">
        <f>IF(CALC_EEM!$B218="","",CALC_EEM!N218)</f>
      </c>
      <c r="O225">
        <f>IF(CALC_EEM!$B218="","",CALC_EEM!O218)</f>
      </c>
      <c r="P225">
        <f>IF(CALC_EEM!$B218="","",CALC_EEM!P218)</f>
      </c>
      <c r="Q225">
        <f>IF(CALC_EEM!$B218="","",CALC_EEM!Q218)</f>
      </c>
      <c r="R225">
        <f>IF(CALC_EEM!$B218="","",CALC_EEM!R218)</f>
      </c>
      <c r="S225">
        <f>IF(CALC_EEM!$B218="","",CALC_EEM!S218)</f>
      </c>
      <c r="T225">
        <f>IF(CALC_EEM!$B218="","",CALC_EEM!T218)</f>
      </c>
      <c r="U225">
        <f>IF(CALC_EEM!$B218="","",CALC_EEM!U218)</f>
      </c>
    </row>
    <row r="226" spans="1:24">
      <c r="A226" t="str">
        <f>IF(CALC_EEM!$B219="","",IF(CALC_EEM!A219="GLOBAL","GLOBAL",IF(CALC_EEM!C219="Total","CURSO_TOTAL",IF(CALC_EEM!C219="TotalEsp","CURSO_ESP",IF(CALC_EEM!C219="TotalNoEsp","CURSO_NOESP","CURSO_ASIG")))))</f>
      </c>
      <c r="B226" t="str">
        <f>IF(CALC_EEM!$B219="","",CALC_EEM!A219)</f>
      </c>
      <c r="C226" t="str">
        <f>IF(CALC_EEM!$B219="","",CALC_EEM!B219)</f>
      </c>
      <c r="D226">
        <f>IF(CALC_EEM!$B219="","",CALC_EEM!D219)</f>
      </c>
      <c r="E226" s="14" t="str">
        <f>IF(CALC_EEM!$B219="","",CALC_EEM!E219)</f>
      </c>
      <c r="F226" s="14" t="str">
        <f>IF(CALC_EEM!$B219="","",CALC_EEM!F219)</f>
      </c>
      <c r="G226" t="str">
        <f>IF(CALC_EEM!$B219="","",CALC_EEM!G219)</f>
      </c>
      <c r="H226" s="16" t="str">
        <f>IF(CALC_EEM!$B219="","",CALC_EEM!H219)</f>
      </c>
      <c r="I226" s="16" t="str">
        <f>IF(CALC_EEM!$B219="","",CALC_EEM!I219)</f>
      </c>
      <c r="J226" t="str">
        <f>IF(CALC_EEM!$B219="","",CALC_EEM!J219)</f>
      </c>
      <c r="K226" t="str">
        <f>IF(CALC_EEM!$B219="","",CALC_EEM!K219)</f>
      </c>
      <c r="L226">
        <f>IF(CALC_EEM!$B219="","",CALC_EEM!L219)</f>
      </c>
      <c r="M226">
        <f>IF(CALC_EEM!$B219="","",CALC_EEM!M219)</f>
      </c>
      <c r="N226">
        <f>IF(CALC_EEM!$B219="","",CALC_EEM!N219)</f>
      </c>
      <c r="O226">
        <f>IF(CALC_EEM!$B219="","",CALC_EEM!O219)</f>
      </c>
      <c r="P226">
        <f>IF(CALC_EEM!$B219="","",CALC_EEM!P219)</f>
      </c>
      <c r="Q226">
        <f>IF(CALC_EEM!$B219="","",CALC_EEM!Q219)</f>
      </c>
      <c r="R226">
        <f>IF(CALC_EEM!$B219="","",CALC_EEM!R219)</f>
      </c>
      <c r="S226">
        <f>IF(CALC_EEM!$B219="","",CALC_EEM!S219)</f>
      </c>
      <c r="T226">
        <f>IF(CALC_EEM!$B219="","",CALC_EEM!T219)</f>
      </c>
      <c r="U226">
        <f>IF(CALC_EEM!$B219="","",CALC_EEM!U219)</f>
      </c>
    </row>
    <row r="227" spans="1:24">
      <c r="A227" t="str">
        <f>IF(CALC_EEM!$B220="","",IF(CALC_EEM!A220="GLOBAL","GLOBAL",IF(CALC_EEM!C220="Total","CURSO_TOTAL",IF(CALC_EEM!C220="TotalEsp","CURSO_ESP",IF(CALC_EEM!C220="TotalNoEsp","CURSO_NOESP","CURSO_ASIG")))))</f>
      </c>
      <c r="B227" t="str">
        <f>IF(CALC_EEM!$B220="","",CALC_EEM!A220)</f>
      </c>
      <c r="C227" t="str">
        <f>IF(CALC_EEM!$B220="","",CALC_EEM!B220)</f>
      </c>
      <c r="D227">
        <f>IF(CALC_EEM!$B220="","",CALC_EEM!D220)</f>
      </c>
      <c r="E227" s="14" t="str">
        <f>IF(CALC_EEM!$B220="","",CALC_EEM!E220)</f>
      </c>
      <c r="F227" s="14" t="str">
        <f>IF(CALC_EEM!$B220="","",CALC_EEM!F220)</f>
      </c>
      <c r="G227" t="str">
        <f>IF(CALC_EEM!$B220="","",CALC_EEM!G220)</f>
      </c>
      <c r="H227" s="16" t="str">
        <f>IF(CALC_EEM!$B220="","",CALC_EEM!H220)</f>
      </c>
      <c r="I227" s="16" t="str">
        <f>IF(CALC_EEM!$B220="","",CALC_EEM!I220)</f>
      </c>
      <c r="J227" t="str">
        <f>IF(CALC_EEM!$B220="","",CALC_EEM!J220)</f>
      </c>
      <c r="K227" t="str">
        <f>IF(CALC_EEM!$B220="","",CALC_EEM!K220)</f>
      </c>
      <c r="L227">
        <f>IF(CALC_EEM!$B220="","",CALC_EEM!L220)</f>
      </c>
      <c r="M227">
        <f>IF(CALC_EEM!$B220="","",CALC_EEM!M220)</f>
      </c>
      <c r="N227">
        <f>IF(CALC_EEM!$B220="","",CALC_EEM!N220)</f>
      </c>
      <c r="O227">
        <f>IF(CALC_EEM!$B220="","",CALC_EEM!O220)</f>
      </c>
      <c r="P227">
        <f>IF(CALC_EEM!$B220="","",CALC_EEM!P220)</f>
      </c>
      <c r="Q227">
        <f>IF(CALC_EEM!$B220="","",CALC_EEM!Q220)</f>
      </c>
      <c r="R227">
        <f>IF(CALC_EEM!$B220="","",CALC_EEM!R220)</f>
      </c>
      <c r="S227">
        <f>IF(CALC_EEM!$B220="","",CALC_EEM!S220)</f>
      </c>
      <c r="T227">
        <f>IF(CALC_EEM!$B220="","",CALC_EEM!T220)</f>
      </c>
      <c r="U227">
        <f>IF(CALC_EEM!$B220="","",CALC_EEM!U220)</f>
      </c>
    </row>
    <row r="228" spans="1:24">
      <c r="A228" t="str">
        <f>IF(CALC_EEM!$B221="","",IF(CALC_EEM!A221="GLOBAL","GLOBAL",IF(CALC_EEM!C221="Total","CURSO_TOTAL",IF(CALC_EEM!C221="TotalEsp","CURSO_ESP",IF(CALC_EEM!C221="TotalNoEsp","CURSO_NOESP","CURSO_ASIG")))))</f>
      </c>
      <c r="B228" t="str">
        <f>IF(CALC_EEM!$B221="","",CALC_EEM!A221)</f>
      </c>
      <c r="C228" t="str">
        <f>IF(CALC_EEM!$B221="","",CALC_EEM!B221)</f>
      </c>
      <c r="D228">
        <f>IF(CALC_EEM!$B221="","",CALC_EEM!D221)</f>
      </c>
      <c r="E228" s="14" t="str">
        <f>IF(CALC_EEM!$B221="","",CALC_EEM!E221)</f>
      </c>
      <c r="F228" s="14" t="str">
        <f>IF(CALC_EEM!$B221="","",CALC_EEM!F221)</f>
      </c>
      <c r="G228" t="str">
        <f>IF(CALC_EEM!$B221="","",CALC_EEM!G221)</f>
      </c>
      <c r="H228" s="16" t="str">
        <f>IF(CALC_EEM!$B221="","",CALC_EEM!H221)</f>
      </c>
      <c r="I228" s="16" t="str">
        <f>IF(CALC_EEM!$B221="","",CALC_EEM!I221)</f>
      </c>
      <c r="J228" t="str">
        <f>IF(CALC_EEM!$B221="","",CALC_EEM!J221)</f>
      </c>
      <c r="K228" t="str">
        <f>IF(CALC_EEM!$B221="","",CALC_EEM!K221)</f>
      </c>
      <c r="L228">
        <f>IF(CALC_EEM!$B221="","",CALC_EEM!L221)</f>
      </c>
      <c r="M228">
        <f>IF(CALC_EEM!$B221="","",CALC_EEM!M221)</f>
      </c>
      <c r="N228">
        <f>IF(CALC_EEM!$B221="","",CALC_EEM!N221)</f>
      </c>
      <c r="O228">
        <f>IF(CALC_EEM!$B221="","",CALC_EEM!O221)</f>
      </c>
      <c r="P228">
        <f>IF(CALC_EEM!$B221="","",CALC_EEM!P221)</f>
      </c>
      <c r="Q228">
        <f>IF(CALC_EEM!$B221="","",CALC_EEM!Q221)</f>
      </c>
      <c r="R228">
        <f>IF(CALC_EEM!$B221="","",CALC_EEM!R221)</f>
      </c>
      <c r="S228">
        <f>IF(CALC_EEM!$B221="","",CALC_EEM!S221)</f>
      </c>
      <c r="T228">
        <f>IF(CALC_EEM!$B221="","",CALC_EEM!T221)</f>
      </c>
      <c r="U228">
        <f>IF(CALC_EEM!$B221="","",CALC_EEM!U221)</f>
      </c>
    </row>
    <row r="229" spans="1:24">
      <c r="A229" t="str">
        <f>IF(CALC_EEM!$B222="","",IF(CALC_EEM!A222="GLOBAL","GLOBAL",IF(CALC_EEM!C222="Total","CURSO_TOTAL",IF(CALC_EEM!C222="TotalEsp","CURSO_ESP",IF(CALC_EEM!C222="TotalNoEsp","CURSO_NOESP","CURSO_ASIG")))))</f>
      </c>
      <c r="B229" t="str">
        <f>IF(CALC_EEM!$B222="","",CALC_EEM!A222)</f>
      </c>
      <c r="C229" t="str">
        <f>IF(CALC_EEM!$B222="","",CALC_EEM!B222)</f>
      </c>
      <c r="D229">
        <f>IF(CALC_EEM!$B222="","",CALC_EEM!D222)</f>
      </c>
      <c r="E229" s="14" t="str">
        <f>IF(CALC_EEM!$B222="","",CALC_EEM!E222)</f>
      </c>
      <c r="F229" s="14" t="str">
        <f>IF(CALC_EEM!$B222="","",CALC_EEM!F222)</f>
      </c>
      <c r="G229" t="str">
        <f>IF(CALC_EEM!$B222="","",CALC_EEM!G222)</f>
      </c>
      <c r="H229" s="16" t="str">
        <f>IF(CALC_EEM!$B222="","",CALC_EEM!H222)</f>
      </c>
      <c r="I229" s="16" t="str">
        <f>IF(CALC_EEM!$B222="","",CALC_EEM!I222)</f>
      </c>
      <c r="J229" t="str">
        <f>IF(CALC_EEM!$B222="","",CALC_EEM!J222)</f>
      </c>
      <c r="K229" t="str">
        <f>IF(CALC_EEM!$B222="","",CALC_EEM!K222)</f>
      </c>
      <c r="L229">
        <f>IF(CALC_EEM!$B222="","",CALC_EEM!L222)</f>
      </c>
      <c r="M229">
        <f>IF(CALC_EEM!$B222="","",CALC_EEM!M222)</f>
      </c>
      <c r="N229">
        <f>IF(CALC_EEM!$B222="","",CALC_EEM!N222)</f>
      </c>
      <c r="O229">
        <f>IF(CALC_EEM!$B222="","",CALC_EEM!O222)</f>
      </c>
      <c r="P229">
        <f>IF(CALC_EEM!$B222="","",CALC_EEM!P222)</f>
      </c>
      <c r="Q229">
        <f>IF(CALC_EEM!$B222="","",CALC_EEM!Q222)</f>
      </c>
      <c r="R229">
        <f>IF(CALC_EEM!$B222="","",CALC_EEM!R222)</f>
      </c>
      <c r="S229">
        <f>IF(CALC_EEM!$B222="","",CALC_EEM!S222)</f>
      </c>
      <c r="T229">
        <f>IF(CALC_EEM!$B222="","",CALC_EEM!T222)</f>
      </c>
      <c r="U229">
        <f>IF(CALC_EEM!$B222="","",CALC_EEM!U222)</f>
      </c>
    </row>
    <row r="230" spans="1:24">
      <c r="A230" t="str">
        <f>IF(CALC_EEM!$B223="","",IF(CALC_EEM!A223="GLOBAL","GLOBAL",IF(CALC_EEM!C223="Total","CURSO_TOTAL",IF(CALC_EEM!C223="TotalEsp","CURSO_ESP",IF(CALC_EEM!C223="TotalNoEsp","CURSO_NOESP","CURSO_ASIG")))))</f>
      </c>
      <c r="B230" t="str">
        <f>IF(CALC_EEM!$B223="","",CALC_EEM!A223)</f>
      </c>
      <c r="C230" t="str">
        <f>IF(CALC_EEM!$B223="","",CALC_EEM!B223)</f>
      </c>
      <c r="D230">
        <f>IF(CALC_EEM!$B223="","",CALC_EEM!D223)</f>
      </c>
      <c r="E230" s="14" t="str">
        <f>IF(CALC_EEM!$B223="","",CALC_EEM!E223)</f>
      </c>
      <c r="F230" s="14" t="str">
        <f>IF(CALC_EEM!$B223="","",CALC_EEM!F223)</f>
      </c>
      <c r="G230" t="str">
        <f>IF(CALC_EEM!$B223="","",CALC_EEM!G223)</f>
      </c>
      <c r="H230" s="16" t="str">
        <f>IF(CALC_EEM!$B223="","",CALC_EEM!H223)</f>
      </c>
      <c r="I230" s="16" t="str">
        <f>IF(CALC_EEM!$B223="","",CALC_EEM!I223)</f>
      </c>
      <c r="J230" t="str">
        <f>IF(CALC_EEM!$B223="","",CALC_EEM!J223)</f>
      </c>
      <c r="K230" t="str">
        <f>IF(CALC_EEM!$B223="","",CALC_EEM!K223)</f>
      </c>
      <c r="L230">
        <f>IF(CALC_EEM!$B223="","",CALC_EEM!L223)</f>
      </c>
      <c r="M230">
        <f>IF(CALC_EEM!$B223="","",CALC_EEM!M223)</f>
      </c>
      <c r="N230">
        <f>IF(CALC_EEM!$B223="","",CALC_EEM!N223)</f>
      </c>
      <c r="O230">
        <f>IF(CALC_EEM!$B223="","",CALC_EEM!O223)</f>
      </c>
      <c r="P230">
        <f>IF(CALC_EEM!$B223="","",CALC_EEM!P223)</f>
      </c>
      <c r="Q230">
        <f>IF(CALC_EEM!$B223="","",CALC_EEM!Q223)</f>
      </c>
      <c r="R230">
        <f>IF(CALC_EEM!$B223="","",CALC_EEM!R223)</f>
      </c>
      <c r="S230">
        <f>IF(CALC_EEM!$B223="","",CALC_EEM!S223)</f>
      </c>
      <c r="T230">
        <f>IF(CALC_EEM!$B223="","",CALC_EEM!T223)</f>
      </c>
      <c r="U230">
        <f>IF(CALC_EEM!$B223="","",CALC_EEM!U223)</f>
      </c>
    </row>
    <row r="231" spans="1:24">
      <c r="A231" t="str">
        <f>IF(CALC_EEM!$B224="","",IF(CALC_EEM!A224="GLOBAL","GLOBAL",IF(CALC_EEM!C224="Total","CURSO_TOTAL",IF(CALC_EEM!C224="TotalEsp","CURSO_ESP",IF(CALC_EEM!C224="TotalNoEsp","CURSO_NOESP","CURSO_ASIG")))))</f>
      </c>
      <c r="B231" t="str">
        <f>IF(CALC_EEM!$B224="","",CALC_EEM!A224)</f>
      </c>
      <c r="C231" t="str">
        <f>IF(CALC_EEM!$B224="","",CALC_EEM!B224)</f>
      </c>
      <c r="D231">
        <f>IF(CALC_EEM!$B224="","",CALC_EEM!D224)</f>
      </c>
      <c r="E231" s="14" t="str">
        <f>IF(CALC_EEM!$B224="","",CALC_EEM!E224)</f>
      </c>
      <c r="F231" s="14" t="str">
        <f>IF(CALC_EEM!$B224="","",CALC_EEM!F224)</f>
      </c>
      <c r="G231" t="str">
        <f>IF(CALC_EEM!$B224="","",CALC_EEM!G224)</f>
      </c>
      <c r="H231" s="16" t="str">
        <f>IF(CALC_EEM!$B224="","",CALC_EEM!H224)</f>
      </c>
      <c r="I231" s="16" t="str">
        <f>IF(CALC_EEM!$B224="","",CALC_EEM!I224)</f>
      </c>
      <c r="J231" t="str">
        <f>IF(CALC_EEM!$B224="","",CALC_EEM!J224)</f>
      </c>
      <c r="K231" t="str">
        <f>IF(CALC_EEM!$B224="","",CALC_EEM!K224)</f>
      </c>
      <c r="L231">
        <f>IF(CALC_EEM!$B224="","",CALC_EEM!L224)</f>
      </c>
      <c r="M231">
        <f>IF(CALC_EEM!$B224="","",CALC_EEM!M224)</f>
      </c>
      <c r="N231">
        <f>IF(CALC_EEM!$B224="","",CALC_EEM!N224)</f>
      </c>
      <c r="O231">
        <f>IF(CALC_EEM!$B224="","",CALC_EEM!O224)</f>
      </c>
      <c r="P231">
        <f>IF(CALC_EEM!$B224="","",CALC_EEM!P224)</f>
      </c>
      <c r="Q231">
        <f>IF(CALC_EEM!$B224="","",CALC_EEM!Q224)</f>
      </c>
      <c r="R231">
        <f>IF(CALC_EEM!$B224="","",CALC_EEM!R224)</f>
      </c>
      <c r="S231">
        <f>IF(CALC_EEM!$B224="","",CALC_EEM!S224)</f>
      </c>
      <c r="T231">
        <f>IF(CALC_EEM!$B224="","",CALC_EEM!T224)</f>
      </c>
      <c r="U231">
        <f>IF(CALC_EEM!$B224="","",CALC_EEM!U224)</f>
      </c>
    </row>
    <row r="232" spans="1:24">
      <c r="A232" t="str">
        <f>IF(CALC_EEM!$B225="","",IF(CALC_EEM!A225="GLOBAL","GLOBAL",IF(CALC_EEM!C225="Total","CURSO_TOTAL",IF(CALC_EEM!C225="TotalEsp","CURSO_ESP",IF(CALC_EEM!C225="TotalNoEsp","CURSO_NOESP","CURSO_ASIG")))))</f>
      </c>
      <c r="B232" t="str">
        <f>IF(CALC_EEM!$B225="","",CALC_EEM!A225)</f>
      </c>
      <c r="C232" t="str">
        <f>IF(CALC_EEM!$B225="","",CALC_EEM!B225)</f>
      </c>
      <c r="D232">
        <f>IF(CALC_EEM!$B225="","",CALC_EEM!D225)</f>
      </c>
      <c r="E232" s="14" t="str">
        <f>IF(CALC_EEM!$B225="","",CALC_EEM!E225)</f>
      </c>
      <c r="F232" s="14" t="str">
        <f>IF(CALC_EEM!$B225="","",CALC_EEM!F225)</f>
      </c>
      <c r="G232" t="str">
        <f>IF(CALC_EEM!$B225="","",CALC_EEM!G225)</f>
      </c>
      <c r="H232" s="16" t="str">
        <f>IF(CALC_EEM!$B225="","",CALC_EEM!H225)</f>
      </c>
      <c r="I232" s="16" t="str">
        <f>IF(CALC_EEM!$B225="","",CALC_EEM!I225)</f>
      </c>
      <c r="J232" t="str">
        <f>IF(CALC_EEM!$B225="","",CALC_EEM!J225)</f>
      </c>
      <c r="K232" t="str">
        <f>IF(CALC_EEM!$B225="","",CALC_EEM!K225)</f>
      </c>
      <c r="L232">
        <f>IF(CALC_EEM!$B225="","",CALC_EEM!L225)</f>
      </c>
      <c r="M232">
        <f>IF(CALC_EEM!$B225="","",CALC_EEM!M225)</f>
      </c>
      <c r="N232">
        <f>IF(CALC_EEM!$B225="","",CALC_EEM!N225)</f>
      </c>
      <c r="O232">
        <f>IF(CALC_EEM!$B225="","",CALC_EEM!O225)</f>
      </c>
      <c r="P232">
        <f>IF(CALC_EEM!$B225="","",CALC_EEM!P225)</f>
      </c>
      <c r="Q232">
        <f>IF(CALC_EEM!$B225="","",CALC_EEM!Q225)</f>
      </c>
      <c r="R232">
        <f>IF(CALC_EEM!$B225="","",CALC_EEM!R225)</f>
      </c>
      <c r="S232">
        <f>IF(CALC_EEM!$B225="","",CALC_EEM!S225)</f>
      </c>
      <c r="T232">
        <f>IF(CALC_EEM!$B225="","",CALC_EEM!T225)</f>
      </c>
      <c r="U232">
        <f>IF(CALC_EEM!$B225="","",CALC_EEM!U225)</f>
      </c>
    </row>
    <row r="233" spans="1:24">
      <c r="A233" t="str">
        <f>IF(CALC_EEM!$B226="","",IF(CALC_EEM!A226="GLOBAL","GLOBAL",IF(CALC_EEM!C226="Total","CURSO_TOTAL",IF(CALC_EEM!C226="TotalEsp","CURSO_ESP",IF(CALC_EEM!C226="TotalNoEsp","CURSO_NOESP","CURSO_ASIG")))))</f>
      </c>
      <c r="B233" t="str">
        <f>IF(CALC_EEM!$B226="","",CALC_EEM!A226)</f>
      </c>
      <c r="C233" t="str">
        <f>IF(CALC_EEM!$B226="","",CALC_EEM!B226)</f>
      </c>
      <c r="D233">
        <f>IF(CALC_EEM!$B226="","",CALC_EEM!D226)</f>
      </c>
      <c r="E233" s="14" t="str">
        <f>IF(CALC_EEM!$B226="","",CALC_EEM!E226)</f>
      </c>
      <c r="F233" s="14" t="str">
        <f>IF(CALC_EEM!$B226="","",CALC_EEM!F226)</f>
      </c>
      <c r="G233" t="str">
        <f>IF(CALC_EEM!$B226="","",CALC_EEM!G226)</f>
      </c>
      <c r="H233" s="16" t="str">
        <f>IF(CALC_EEM!$B226="","",CALC_EEM!H226)</f>
      </c>
      <c r="I233" s="16" t="str">
        <f>IF(CALC_EEM!$B226="","",CALC_EEM!I226)</f>
      </c>
      <c r="J233" t="str">
        <f>IF(CALC_EEM!$B226="","",CALC_EEM!J226)</f>
      </c>
      <c r="K233" t="str">
        <f>IF(CALC_EEM!$B226="","",CALC_EEM!K226)</f>
      </c>
      <c r="L233">
        <f>IF(CALC_EEM!$B226="","",CALC_EEM!L226)</f>
      </c>
      <c r="M233">
        <f>IF(CALC_EEM!$B226="","",CALC_EEM!M226)</f>
      </c>
      <c r="N233">
        <f>IF(CALC_EEM!$B226="","",CALC_EEM!N226)</f>
      </c>
      <c r="O233">
        <f>IF(CALC_EEM!$B226="","",CALC_EEM!O226)</f>
      </c>
      <c r="P233">
        <f>IF(CALC_EEM!$B226="","",CALC_EEM!P226)</f>
      </c>
      <c r="Q233">
        <f>IF(CALC_EEM!$B226="","",CALC_EEM!Q226)</f>
      </c>
      <c r="R233">
        <f>IF(CALC_EEM!$B226="","",CALC_EEM!R226)</f>
      </c>
      <c r="S233">
        <f>IF(CALC_EEM!$B226="","",CALC_EEM!S226)</f>
      </c>
      <c r="T233">
        <f>IF(CALC_EEM!$B226="","",CALC_EEM!T226)</f>
      </c>
      <c r="U233">
        <f>IF(CALC_EEM!$B226="","",CALC_EEM!U226)</f>
      </c>
    </row>
    <row r="234" spans="1:24">
      <c r="A234" t="str">
        <f>IF(CALC_EEM!$B227="","",IF(CALC_EEM!A227="GLOBAL","GLOBAL",IF(CALC_EEM!C227="Total","CURSO_TOTAL",IF(CALC_EEM!C227="TotalEsp","CURSO_ESP",IF(CALC_EEM!C227="TotalNoEsp","CURSO_NOESP","CURSO_ASIG")))))</f>
      </c>
      <c r="B234" t="str">
        <f>IF(CALC_EEM!$B227="","",CALC_EEM!A227)</f>
      </c>
      <c r="C234" t="str">
        <f>IF(CALC_EEM!$B227="","",CALC_EEM!B227)</f>
      </c>
      <c r="D234">
        <f>IF(CALC_EEM!$B227="","",CALC_EEM!D227)</f>
      </c>
      <c r="E234" s="14" t="str">
        <f>IF(CALC_EEM!$B227="","",CALC_EEM!E227)</f>
      </c>
      <c r="F234" s="14" t="str">
        <f>IF(CALC_EEM!$B227="","",CALC_EEM!F227)</f>
      </c>
      <c r="G234" t="str">
        <f>IF(CALC_EEM!$B227="","",CALC_EEM!G227)</f>
      </c>
      <c r="H234" s="16" t="str">
        <f>IF(CALC_EEM!$B227="","",CALC_EEM!H227)</f>
      </c>
      <c r="I234" s="16" t="str">
        <f>IF(CALC_EEM!$B227="","",CALC_EEM!I227)</f>
      </c>
      <c r="J234" t="str">
        <f>IF(CALC_EEM!$B227="","",CALC_EEM!J227)</f>
      </c>
      <c r="K234" t="str">
        <f>IF(CALC_EEM!$B227="","",CALC_EEM!K227)</f>
      </c>
      <c r="L234">
        <f>IF(CALC_EEM!$B227="","",CALC_EEM!L227)</f>
      </c>
      <c r="M234">
        <f>IF(CALC_EEM!$B227="","",CALC_EEM!M227)</f>
      </c>
      <c r="N234">
        <f>IF(CALC_EEM!$B227="","",CALC_EEM!N227)</f>
      </c>
      <c r="O234">
        <f>IF(CALC_EEM!$B227="","",CALC_EEM!O227)</f>
      </c>
      <c r="P234">
        <f>IF(CALC_EEM!$B227="","",CALC_EEM!P227)</f>
      </c>
      <c r="Q234">
        <f>IF(CALC_EEM!$B227="","",CALC_EEM!Q227)</f>
      </c>
      <c r="R234">
        <f>IF(CALC_EEM!$B227="","",CALC_EEM!R227)</f>
      </c>
      <c r="S234">
        <f>IF(CALC_EEM!$B227="","",CALC_EEM!S227)</f>
      </c>
      <c r="T234">
        <f>IF(CALC_EEM!$B227="","",CALC_EEM!T227)</f>
      </c>
      <c r="U234">
        <f>IF(CALC_EEM!$B227="","",CALC_EEM!U227)</f>
      </c>
    </row>
    <row r="235" spans="1:24">
      <c r="A235" t="str">
        <f>IF(CALC_EEM!$B228="","",IF(CALC_EEM!A228="GLOBAL","GLOBAL",IF(CALC_EEM!C228="Total","CURSO_TOTAL",IF(CALC_EEM!C228="TotalEsp","CURSO_ESP",IF(CALC_EEM!C228="TotalNoEsp","CURSO_NOESP","CURSO_ASIG")))))</f>
      </c>
      <c r="B235" t="str">
        <f>IF(CALC_EEM!$B228="","",CALC_EEM!A228)</f>
      </c>
      <c r="C235" t="str">
        <f>IF(CALC_EEM!$B228="","",CALC_EEM!B228)</f>
      </c>
      <c r="D235">
        <f>IF(CALC_EEM!$B228="","",CALC_EEM!D228)</f>
      </c>
      <c r="E235" s="14" t="str">
        <f>IF(CALC_EEM!$B228="","",CALC_EEM!E228)</f>
      </c>
      <c r="F235" s="14" t="str">
        <f>IF(CALC_EEM!$B228="","",CALC_EEM!F228)</f>
      </c>
      <c r="G235" t="str">
        <f>IF(CALC_EEM!$B228="","",CALC_EEM!G228)</f>
      </c>
      <c r="H235" s="16" t="str">
        <f>IF(CALC_EEM!$B228="","",CALC_EEM!H228)</f>
      </c>
      <c r="I235" s="16" t="str">
        <f>IF(CALC_EEM!$B228="","",CALC_EEM!I228)</f>
      </c>
      <c r="J235" t="str">
        <f>IF(CALC_EEM!$B228="","",CALC_EEM!J228)</f>
      </c>
      <c r="K235" t="str">
        <f>IF(CALC_EEM!$B228="","",CALC_EEM!K228)</f>
      </c>
      <c r="L235">
        <f>IF(CALC_EEM!$B228="","",CALC_EEM!L228)</f>
      </c>
      <c r="M235">
        <f>IF(CALC_EEM!$B228="","",CALC_EEM!M228)</f>
      </c>
      <c r="N235">
        <f>IF(CALC_EEM!$B228="","",CALC_EEM!N228)</f>
      </c>
      <c r="O235">
        <f>IF(CALC_EEM!$B228="","",CALC_EEM!O228)</f>
      </c>
      <c r="P235">
        <f>IF(CALC_EEM!$B228="","",CALC_EEM!P228)</f>
      </c>
      <c r="Q235">
        <f>IF(CALC_EEM!$B228="","",CALC_EEM!Q228)</f>
      </c>
      <c r="R235">
        <f>IF(CALC_EEM!$B228="","",CALC_EEM!R228)</f>
      </c>
      <c r="S235">
        <f>IF(CALC_EEM!$B228="","",CALC_EEM!S228)</f>
      </c>
      <c r="T235">
        <f>IF(CALC_EEM!$B228="","",CALC_EEM!T228)</f>
      </c>
      <c r="U235">
        <f>IF(CALC_EEM!$B228="","",CALC_EEM!U228)</f>
      </c>
    </row>
    <row r="236" spans="1:24">
      <c r="A236" t="str">
        <f>IF(CALC_EEM!$B229="","",IF(CALC_EEM!A229="GLOBAL","GLOBAL",IF(CALC_EEM!C229="Total","CURSO_TOTAL",IF(CALC_EEM!C229="TotalEsp","CURSO_ESP",IF(CALC_EEM!C229="TotalNoEsp","CURSO_NOESP","CURSO_ASIG")))))</f>
      </c>
      <c r="B236" t="str">
        <f>IF(CALC_EEM!$B229="","",CALC_EEM!A229)</f>
      </c>
      <c r="C236" t="str">
        <f>IF(CALC_EEM!$B229="","",CALC_EEM!B229)</f>
      </c>
      <c r="D236">
        <f>IF(CALC_EEM!$B229="","",CALC_EEM!D229)</f>
      </c>
      <c r="E236" s="14" t="str">
        <f>IF(CALC_EEM!$B229="","",CALC_EEM!E229)</f>
      </c>
      <c r="F236" s="14" t="str">
        <f>IF(CALC_EEM!$B229="","",CALC_EEM!F229)</f>
      </c>
      <c r="G236" t="str">
        <f>IF(CALC_EEM!$B229="","",CALC_EEM!G229)</f>
      </c>
      <c r="H236" s="16" t="str">
        <f>IF(CALC_EEM!$B229="","",CALC_EEM!H229)</f>
      </c>
      <c r="I236" s="16" t="str">
        <f>IF(CALC_EEM!$B229="","",CALC_EEM!I229)</f>
      </c>
      <c r="J236" t="str">
        <f>IF(CALC_EEM!$B229="","",CALC_EEM!J229)</f>
      </c>
      <c r="K236" t="str">
        <f>IF(CALC_EEM!$B229="","",CALC_EEM!K229)</f>
      </c>
      <c r="L236">
        <f>IF(CALC_EEM!$B229="","",CALC_EEM!L229)</f>
      </c>
      <c r="M236">
        <f>IF(CALC_EEM!$B229="","",CALC_EEM!M229)</f>
      </c>
      <c r="N236">
        <f>IF(CALC_EEM!$B229="","",CALC_EEM!N229)</f>
      </c>
      <c r="O236">
        <f>IF(CALC_EEM!$B229="","",CALC_EEM!O229)</f>
      </c>
      <c r="P236">
        <f>IF(CALC_EEM!$B229="","",CALC_EEM!P229)</f>
      </c>
      <c r="Q236">
        <f>IF(CALC_EEM!$B229="","",CALC_EEM!Q229)</f>
      </c>
      <c r="R236">
        <f>IF(CALC_EEM!$B229="","",CALC_EEM!R229)</f>
      </c>
      <c r="S236">
        <f>IF(CALC_EEM!$B229="","",CALC_EEM!S229)</f>
      </c>
      <c r="T236">
        <f>IF(CALC_EEM!$B229="","",CALC_EEM!T229)</f>
      </c>
      <c r="U236">
        <f>IF(CALC_EEM!$B229="","",CALC_EEM!U229)</f>
      </c>
    </row>
    <row r="237" spans="1:24">
      <c r="A237" t="str">
        <f>IF(CALC_EEM!$B230="","",IF(CALC_EEM!A230="GLOBAL","GLOBAL",IF(CALC_EEM!C230="Total","CURSO_TOTAL",IF(CALC_EEM!C230="TotalEsp","CURSO_ESP",IF(CALC_EEM!C230="TotalNoEsp","CURSO_NOESP","CURSO_ASIG")))))</f>
      </c>
      <c r="B237" t="str">
        <f>IF(CALC_EEM!$B230="","",CALC_EEM!A230)</f>
      </c>
      <c r="C237" t="str">
        <f>IF(CALC_EEM!$B230="","",CALC_EEM!B230)</f>
      </c>
      <c r="D237">
        <f>IF(CALC_EEM!$B230="","",CALC_EEM!D230)</f>
      </c>
      <c r="E237" s="14" t="str">
        <f>IF(CALC_EEM!$B230="","",CALC_EEM!E230)</f>
      </c>
      <c r="F237" s="14" t="str">
        <f>IF(CALC_EEM!$B230="","",CALC_EEM!F230)</f>
      </c>
      <c r="G237" t="str">
        <f>IF(CALC_EEM!$B230="","",CALC_EEM!G230)</f>
      </c>
      <c r="H237" s="16" t="str">
        <f>IF(CALC_EEM!$B230="","",CALC_EEM!H230)</f>
      </c>
      <c r="I237" s="16" t="str">
        <f>IF(CALC_EEM!$B230="","",CALC_EEM!I230)</f>
      </c>
      <c r="J237" t="str">
        <f>IF(CALC_EEM!$B230="","",CALC_EEM!J230)</f>
      </c>
      <c r="K237" t="str">
        <f>IF(CALC_EEM!$B230="","",CALC_EEM!K230)</f>
      </c>
      <c r="L237">
        <f>IF(CALC_EEM!$B230="","",CALC_EEM!L230)</f>
      </c>
      <c r="M237">
        <f>IF(CALC_EEM!$B230="","",CALC_EEM!M230)</f>
      </c>
      <c r="N237">
        <f>IF(CALC_EEM!$B230="","",CALC_EEM!N230)</f>
      </c>
      <c r="O237">
        <f>IF(CALC_EEM!$B230="","",CALC_EEM!O230)</f>
      </c>
      <c r="P237">
        <f>IF(CALC_EEM!$B230="","",CALC_EEM!P230)</f>
      </c>
      <c r="Q237">
        <f>IF(CALC_EEM!$B230="","",CALC_EEM!Q230)</f>
      </c>
      <c r="R237">
        <f>IF(CALC_EEM!$B230="","",CALC_EEM!R230)</f>
      </c>
      <c r="S237">
        <f>IF(CALC_EEM!$B230="","",CALC_EEM!S230)</f>
      </c>
      <c r="T237">
        <f>IF(CALC_EEM!$B230="","",CALC_EEM!T230)</f>
      </c>
      <c r="U237">
        <f>IF(CALC_EEM!$B230="","",CALC_EEM!U230)</f>
      </c>
    </row>
    <row r="238" spans="1:24">
      <c r="A238" t="str">
        <f>IF(CALC_EEM!$B231="","",IF(CALC_EEM!A231="GLOBAL","GLOBAL",IF(CALC_EEM!C231="Total","CURSO_TOTAL",IF(CALC_EEM!C231="TotalEsp","CURSO_ESP",IF(CALC_EEM!C231="TotalNoEsp","CURSO_NOESP","CURSO_ASIG")))))</f>
      </c>
      <c r="B238" t="str">
        <f>IF(CALC_EEM!$B231="","",CALC_EEM!A231)</f>
      </c>
      <c r="C238" t="str">
        <f>IF(CALC_EEM!$B231="","",CALC_EEM!B231)</f>
      </c>
      <c r="D238">
        <f>IF(CALC_EEM!$B231="","",CALC_EEM!D231)</f>
      </c>
      <c r="E238" s="14" t="str">
        <f>IF(CALC_EEM!$B231="","",CALC_EEM!E231)</f>
      </c>
      <c r="F238" s="14" t="str">
        <f>IF(CALC_EEM!$B231="","",CALC_EEM!F231)</f>
      </c>
      <c r="G238" t="str">
        <f>IF(CALC_EEM!$B231="","",CALC_EEM!G231)</f>
      </c>
      <c r="H238" s="16" t="str">
        <f>IF(CALC_EEM!$B231="","",CALC_EEM!H231)</f>
      </c>
      <c r="I238" s="16" t="str">
        <f>IF(CALC_EEM!$B231="","",CALC_EEM!I231)</f>
      </c>
      <c r="J238" t="str">
        <f>IF(CALC_EEM!$B231="","",CALC_EEM!J231)</f>
      </c>
      <c r="K238" t="str">
        <f>IF(CALC_EEM!$B231="","",CALC_EEM!K231)</f>
      </c>
      <c r="L238">
        <f>IF(CALC_EEM!$B231="","",CALC_EEM!L231)</f>
      </c>
      <c r="M238">
        <f>IF(CALC_EEM!$B231="","",CALC_EEM!M231)</f>
      </c>
      <c r="N238">
        <f>IF(CALC_EEM!$B231="","",CALC_EEM!N231)</f>
      </c>
      <c r="O238">
        <f>IF(CALC_EEM!$B231="","",CALC_EEM!O231)</f>
      </c>
      <c r="P238">
        <f>IF(CALC_EEM!$B231="","",CALC_EEM!P231)</f>
      </c>
      <c r="Q238">
        <f>IF(CALC_EEM!$B231="","",CALC_EEM!Q231)</f>
      </c>
      <c r="R238">
        <f>IF(CALC_EEM!$B231="","",CALC_EEM!R231)</f>
      </c>
      <c r="S238">
        <f>IF(CALC_EEM!$B231="","",CALC_EEM!S231)</f>
      </c>
      <c r="T238">
        <f>IF(CALC_EEM!$B231="","",CALC_EEM!T231)</f>
      </c>
      <c r="U238">
        <f>IF(CALC_EEM!$B231="","",CALC_EEM!U231)</f>
      </c>
    </row>
    <row r="239" spans="1:24">
      <c r="A239" t="str">
        <f>IF(CALC_EEM!$B232="","",IF(CALC_EEM!A232="GLOBAL","GLOBAL",IF(CALC_EEM!C232="Total","CURSO_TOTAL",IF(CALC_EEM!C232="TotalEsp","CURSO_ESP",IF(CALC_EEM!C232="TotalNoEsp","CURSO_NOESP","CURSO_ASIG")))))</f>
      </c>
      <c r="B239" t="str">
        <f>IF(CALC_EEM!$B232="","",CALC_EEM!A232)</f>
      </c>
      <c r="C239" t="str">
        <f>IF(CALC_EEM!$B232="","",CALC_EEM!B232)</f>
      </c>
      <c r="D239">
        <f>IF(CALC_EEM!$B232="","",CALC_EEM!D232)</f>
      </c>
      <c r="E239" s="14" t="str">
        <f>IF(CALC_EEM!$B232="","",CALC_EEM!E232)</f>
      </c>
      <c r="F239" s="14" t="str">
        <f>IF(CALC_EEM!$B232="","",CALC_EEM!F232)</f>
      </c>
      <c r="G239" t="str">
        <f>IF(CALC_EEM!$B232="","",CALC_EEM!G232)</f>
      </c>
      <c r="H239" s="16" t="str">
        <f>IF(CALC_EEM!$B232="","",CALC_EEM!H232)</f>
      </c>
      <c r="I239" s="16" t="str">
        <f>IF(CALC_EEM!$B232="","",CALC_EEM!I232)</f>
      </c>
      <c r="J239" t="str">
        <f>IF(CALC_EEM!$B232="","",CALC_EEM!J232)</f>
      </c>
      <c r="K239" t="str">
        <f>IF(CALC_EEM!$B232="","",CALC_EEM!K232)</f>
      </c>
      <c r="L239">
        <f>IF(CALC_EEM!$B232="","",CALC_EEM!L232)</f>
      </c>
      <c r="M239">
        <f>IF(CALC_EEM!$B232="","",CALC_EEM!M232)</f>
      </c>
      <c r="N239">
        <f>IF(CALC_EEM!$B232="","",CALC_EEM!N232)</f>
      </c>
      <c r="O239">
        <f>IF(CALC_EEM!$B232="","",CALC_EEM!O232)</f>
      </c>
      <c r="P239">
        <f>IF(CALC_EEM!$B232="","",CALC_EEM!P232)</f>
      </c>
      <c r="Q239">
        <f>IF(CALC_EEM!$B232="","",CALC_EEM!Q232)</f>
      </c>
      <c r="R239">
        <f>IF(CALC_EEM!$B232="","",CALC_EEM!R232)</f>
      </c>
      <c r="S239">
        <f>IF(CALC_EEM!$B232="","",CALC_EEM!S232)</f>
      </c>
      <c r="T239">
        <f>IF(CALC_EEM!$B232="","",CALC_EEM!T232)</f>
      </c>
      <c r="U239">
        <f>IF(CALC_EEM!$B232="","",CALC_EEM!U232)</f>
      </c>
    </row>
    <row r="240" spans="1:24">
      <c r="A240" t="str">
        <f>IF(CALC_EEM!$B233="","",IF(CALC_EEM!A233="GLOBAL","GLOBAL",IF(CALC_EEM!C233="Total","CURSO_TOTAL",IF(CALC_EEM!C233="TotalEsp","CURSO_ESP",IF(CALC_EEM!C233="TotalNoEsp","CURSO_NOESP","CURSO_ASIG")))))</f>
      </c>
      <c r="B240" t="str">
        <f>IF(CALC_EEM!$B233="","",CALC_EEM!A233)</f>
      </c>
      <c r="C240" t="str">
        <f>IF(CALC_EEM!$B233="","",CALC_EEM!B233)</f>
      </c>
      <c r="D240">
        <f>IF(CALC_EEM!$B233="","",CALC_EEM!D233)</f>
      </c>
      <c r="E240" s="14" t="str">
        <f>IF(CALC_EEM!$B233="","",CALC_EEM!E233)</f>
      </c>
      <c r="F240" s="14" t="str">
        <f>IF(CALC_EEM!$B233="","",CALC_EEM!F233)</f>
      </c>
      <c r="G240" t="str">
        <f>IF(CALC_EEM!$B233="","",CALC_EEM!G233)</f>
      </c>
      <c r="H240" s="16" t="str">
        <f>IF(CALC_EEM!$B233="","",CALC_EEM!H233)</f>
      </c>
      <c r="I240" s="16" t="str">
        <f>IF(CALC_EEM!$B233="","",CALC_EEM!I233)</f>
      </c>
      <c r="J240" t="str">
        <f>IF(CALC_EEM!$B233="","",CALC_EEM!J233)</f>
      </c>
      <c r="K240" t="str">
        <f>IF(CALC_EEM!$B233="","",CALC_EEM!K233)</f>
      </c>
      <c r="L240">
        <f>IF(CALC_EEM!$B233="","",CALC_EEM!L233)</f>
      </c>
      <c r="M240">
        <f>IF(CALC_EEM!$B233="","",CALC_EEM!M233)</f>
      </c>
      <c r="N240">
        <f>IF(CALC_EEM!$B233="","",CALC_EEM!N233)</f>
      </c>
      <c r="O240">
        <f>IF(CALC_EEM!$B233="","",CALC_EEM!O233)</f>
      </c>
      <c r="P240">
        <f>IF(CALC_EEM!$B233="","",CALC_EEM!P233)</f>
      </c>
      <c r="Q240">
        <f>IF(CALC_EEM!$B233="","",CALC_EEM!Q233)</f>
      </c>
      <c r="R240">
        <f>IF(CALC_EEM!$B233="","",CALC_EEM!R233)</f>
      </c>
      <c r="S240">
        <f>IF(CALC_EEM!$B233="","",CALC_EEM!S233)</f>
      </c>
      <c r="T240">
        <f>IF(CALC_EEM!$B233="","",CALC_EEM!T233)</f>
      </c>
      <c r="U240">
        <f>IF(CALC_EEM!$B233="","",CALC_EEM!U233)</f>
      </c>
    </row>
    <row r="241" spans="1:24">
      <c r="A241" t="str">
        <f>IF(CALC_EEM!$B234="","",IF(CALC_EEM!A234="GLOBAL","GLOBAL",IF(CALC_EEM!C234="Total","CURSO_TOTAL",IF(CALC_EEM!C234="TotalEsp","CURSO_ESP",IF(CALC_EEM!C234="TotalNoEsp","CURSO_NOESP","CURSO_ASIG")))))</f>
      </c>
      <c r="B241" t="str">
        <f>IF(CALC_EEM!$B234="","",CALC_EEM!A234)</f>
      </c>
      <c r="C241" t="str">
        <f>IF(CALC_EEM!$B234="","",CALC_EEM!B234)</f>
      </c>
      <c r="D241">
        <f>IF(CALC_EEM!$B234="","",CALC_EEM!D234)</f>
      </c>
      <c r="E241" s="14" t="str">
        <f>IF(CALC_EEM!$B234="","",CALC_EEM!E234)</f>
      </c>
      <c r="F241" s="14" t="str">
        <f>IF(CALC_EEM!$B234="","",CALC_EEM!F234)</f>
      </c>
      <c r="G241" t="str">
        <f>IF(CALC_EEM!$B234="","",CALC_EEM!G234)</f>
      </c>
      <c r="H241" s="16" t="str">
        <f>IF(CALC_EEM!$B234="","",CALC_EEM!H234)</f>
      </c>
      <c r="I241" s="16" t="str">
        <f>IF(CALC_EEM!$B234="","",CALC_EEM!I234)</f>
      </c>
      <c r="J241" t="str">
        <f>IF(CALC_EEM!$B234="","",CALC_EEM!J234)</f>
      </c>
      <c r="K241" t="str">
        <f>IF(CALC_EEM!$B234="","",CALC_EEM!K234)</f>
      </c>
      <c r="L241">
        <f>IF(CALC_EEM!$B234="","",CALC_EEM!L234)</f>
      </c>
      <c r="M241">
        <f>IF(CALC_EEM!$B234="","",CALC_EEM!M234)</f>
      </c>
      <c r="N241">
        <f>IF(CALC_EEM!$B234="","",CALC_EEM!N234)</f>
      </c>
      <c r="O241">
        <f>IF(CALC_EEM!$B234="","",CALC_EEM!O234)</f>
      </c>
      <c r="P241">
        <f>IF(CALC_EEM!$B234="","",CALC_EEM!P234)</f>
      </c>
      <c r="Q241">
        <f>IF(CALC_EEM!$B234="","",CALC_EEM!Q234)</f>
      </c>
      <c r="R241">
        <f>IF(CALC_EEM!$B234="","",CALC_EEM!R234)</f>
      </c>
      <c r="S241">
        <f>IF(CALC_EEM!$B234="","",CALC_EEM!S234)</f>
      </c>
      <c r="T241">
        <f>IF(CALC_EEM!$B234="","",CALC_EEM!T234)</f>
      </c>
      <c r="U241">
        <f>IF(CALC_EEM!$B234="","",CALC_EEM!U234)</f>
      </c>
    </row>
    <row r="242" spans="1:24">
      <c r="A242" t="str">
        <f>IF(CALC_EEM!$B235="","",IF(CALC_EEM!A235="GLOBAL","GLOBAL",IF(CALC_EEM!C235="Total","CURSO_TOTAL",IF(CALC_EEM!C235="TotalEsp","CURSO_ESP",IF(CALC_EEM!C235="TotalNoEsp","CURSO_NOESP","CURSO_ASIG")))))</f>
      </c>
      <c r="B242" t="str">
        <f>IF(CALC_EEM!$B235="","",CALC_EEM!A235)</f>
      </c>
      <c r="C242" t="str">
        <f>IF(CALC_EEM!$B235="","",CALC_EEM!B235)</f>
      </c>
      <c r="D242">
        <f>IF(CALC_EEM!$B235="","",CALC_EEM!D235)</f>
      </c>
      <c r="E242" s="14" t="str">
        <f>IF(CALC_EEM!$B235="","",CALC_EEM!E235)</f>
      </c>
      <c r="F242" s="14" t="str">
        <f>IF(CALC_EEM!$B235="","",CALC_EEM!F235)</f>
      </c>
      <c r="G242" t="str">
        <f>IF(CALC_EEM!$B235="","",CALC_EEM!G235)</f>
      </c>
      <c r="H242" s="16" t="str">
        <f>IF(CALC_EEM!$B235="","",CALC_EEM!H235)</f>
      </c>
      <c r="I242" s="16" t="str">
        <f>IF(CALC_EEM!$B235="","",CALC_EEM!I235)</f>
      </c>
      <c r="J242" t="str">
        <f>IF(CALC_EEM!$B235="","",CALC_EEM!J235)</f>
      </c>
      <c r="K242" t="str">
        <f>IF(CALC_EEM!$B235="","",CALC_EEM!K235)</f>
      </c>
      <c r="L242">
        <f>IF(CALC_EEM!$B235="","",CALC_EEM!L235)</f>
      </c>
      <c r="M242">
        <f>IF(CALC_EEM!$B235="","",CALC_EEM!M235)</f>
      </c>
      <c r="N242">
        <f>IF(CALC_EEM!$B235="","",CALC_EEM!N235)</f>
      </c>
      <c r="O242">
        <f>IF(CALC_EEM!$B235="","",CALC_EEM!O235)</f>
      </c>
      <c r="P242">
        <f>IF(CALC_EEM!$B235="","",CALC_EEM!P235)</f>
      </c>
      <c r="Q242">
        <f>IF(CALC_EEM!$B235="","",CALC_EEM!Q235)</f>
      </c>
      <c r="R242">
        <f>IF(CALC_EEM!$B235="","",CALC_EEM!R235)</f>
      </c>
      <c r="S242">
        <f>IF(CALC_EEM!$B235="","",CALC_EEM!S235)</f>
      </c>
      <c r="T242">
        <f>IF(CALC_EEM!$B235="","",CALC_EEM!T235)</f>
      </c>
      <c r="U242">
        <f>IF(CALC_EEM!$B235="","",CALC_EEM!U235)</f>
      </c>
    </row>
    <row r="243" spans="1:24">
      <c r="A243" t="str">
        <f>IF(CALC_EEM!$B236="","",IF(CALC_EEM!A236="GLOBAL","GLOBAL",IF(CALC_EEM!C236="Total","CURSO_TOTAL",IF(CALC_EEM!C236="TotalEsp","CURSO_ESP",IF(CALC_EEM!C236="TotalNoEsp","CURSO_NOESP","CURSO_ASIG")))))</f>
      </c>
      <c r="B243" t="str">
        <f>IF(CALC_EEM!$B236="","",CALC_EEM!A236)</f>
      </c>
      <c r="C243" t="str">
        <f>IF(CALC_EEM!$B236="","",CALC_EEM!B236)</f>
      </c>
      <c r="D243">
        <f>IF(CALC_EEM!$B236="","",CALC_EEM!D236)</f>
      </c>
      <c r="E243" s="14" t="str">
        <f>IF(CALC_EEM!$B236="","",CALC_EEM!E236)</f>
      </c>
      <c r="F243" s="14" t="str">
        <f>IF(CALC_EEM!$B236="","",CALC_EEM!F236)</f>
      </c>
      <c r="G243" t="str">
        <f>IF(CALC_EEM!$B236="","",CALC_EEM!G236)</f>
      </c>
      <c r="H243" s="16" t="str">
        <f>IF(CALC_EEM!$B236="","",CALC_EEM!H236)</f>
      </c>
      <c r="I243" s="16" t="str">
        <f>IF(CALC_EEM!$B236="","",CALC_EEM!I236)</f>
      </c>
      <c r="J243" t="str">
        <f>IF(CALC_EEM!$B236="","",CALC_EEM!J236)</f>
      </c>
      <c r="K243" t="str">
        <f>IF(CALC_EEM!$B236="","",CALC_EEM!K236)</f>
      </c>
      <c r="L243">
        <f>IF(CALC_EEM!$B236="","",CALC_EEM!L236)</f>
      </c>
      <c r="M243">
        <f>IF(CALC_EEM!$B236="","",CALC_EEM!M236)</f>
      </c>
      <c r="N243">
        <f>IF(CALC_EEM!$B236="","",CALC_EEM!N236)</f>
      </c>
      <c r="O243">
        <f>IF(CALC_EEM!$B236="","",CALC_EEM!O236)</f>
      </c>
      <c r="P243">
        <f>IF(CALC_EEM!$B236="","",CALC_EEM!P236)</f>
      </c>
      <c r="Q243">
        <f>IF(CALC_EEM!$B236="","",CALC_EEM!Q236)</f>
      </c>
      <c r="R243">
        <f>IF(CALC_EEM!$B236="","",CALC_EEM!R236)</f>
      </c>
      <c r="S243">
        <f>IF(CALC_EEM!$B236="","",CALC_EEM!S236)</f>
      </c>
      <c r="T243">
        <f>IF(CALC_EEM!$B236="","",CALC_EEM!T236)</f>
      </c>
      <c r="U243">
        <f>IF(CALC_EEM!$B236="","",CALC_EEM!U236)</f>
      </c>
    </row>
    <row r="244" spans="1:24">
      <c r="A244" t="str">
        <f>IF(CALC_EEM!$B237="","",IF(CALC_EEM!A237="GLOBAL","GLOBAL",IF(CALC_EEM!C237="Total","CURSO_TOTAL",IF(CALC_EEM!C237="TotalEsp","CURSO_ESP",IF(CALC_EEM!C237="TotalNoEsp","CURSO_NOESP","CURSO_ASIG")))))</f>
      </c>
      <c r="B244" t="str">
        <f>IF(CALC_EEM!$B237="","",CALC_EEM!A237)</f>
      </c>
      <c r="C244" t="str">
        <f>IF(CALC_EEM!$B237="","",CALC_EEM!B237)</f>
      </c>
      <c r="D244">
        <f>IF(CALC_EEM!$B237="","",CALC_EEM!D237)</f>
      </c>
      <c r="E244" s="14" t="str">
        <f>IF(CALC_EEM!$B237="","",CALC_EEM!E237)</f>
      </c>
      <c r="F244" s="14" t="str">
        <f>IF(CALC_EEM!$B237="","",CALC_EEM!F237)</f>
      </c>
      <c r="G244" t="str">
        <f>IF(CALC_EEM!$B237="","",CALC_EEM!G237)</f>
      </c>
      <c r="H244" s="16" t="str">
        <f>IF(CALC_EEM!$B237="","",CALC_EEM!H237)</f>
      </c>
      <c r="I244" s="16" t="str">
        <f>IF(CALC_EEM!$B237="","",CALC_EEM!I237)</f>
      </c>
      <c r="J244" t="str">
        <f>IF(CALC_EEM!$B237="","",CALC_EEM!J237)</f>
      </c>
      <c r="K244" t="str">
        <f>IF(CALC_EEM!$B237="","",CALC_EEM!K237)</f>
      </c>
      <c r="L244">
        <f>IF(CALC_EEM!$B237="","",CALC_EEM!L237)</f>
      </c>
      <c r="M244">
        <f>IF(CALC_EEM!$B237="","",CALC_EEM!M237)</f>
      </c>
      <c r="N244">
        <f>IF(CALC_EEM!$B237="","",CALC_EEM!N237)</f>
      </c>
      <c r="O244">
        <f>IF(CALC_EEM!$B237="","",CALC_EEM!O237)</f>
      </c>
      <c r="P244">
        <f>IF(CALC_EEM!$B237="","",CALC_EEM!P237)</f>
      </c>
      <c r="Q244">
        <f>IF(CALC_EEM!$B237="","",CALC_EEM!Q237)</f>
      </c>
      <c r="R244">
        <f>IF(CALC_EEM!$B237="","",CALC_EEM!R237)</f>
      </c>
      <c r="S244">
        <f>IF(CALC_EEM!$B237="","",CALC_EEM!S237)</f>
      </c>
      <c r="T244">
        <f>IF(CALC_EEM!$B237="","",CALC_EEM!T237)</f>
      </c>
      <c r="U244">
        <f>IF(CALC_EEM!$B237="","",CALC_EEM!U237)</f>
      </c>
    </row>
    <row r="245" spans="1:24">
      <c r="A245" t="str">
        <f>IF(CALC_EEM!$B238="","",IF(CALC_EEM!A238="GLOBAL","GLOBAL",IF(CALC_EEM!C238="Total","CURSO_TOTAL",IF(CALC_EEM!C238="TotalEsp","CURSO_ESP",IF(CALC_EEM!C238="TotalNoEsp","CURSO_NOESP","CURSO_ASIG")))))</f>
      </c>
      <c r="B245" t="str">
        <f>IF(CALC_EEM!$B238="","",CALC_EEM!A238)</f>
      </c>
      <c r="C245" t="str">
        <f>IF(CALC_EEM!$B238="","",CALC_EEM!B238)</f>
      </c>
      <c r="D245">
        <f>IF(CALC_EEM!$B238="","",CALC_EEM!D238)</f>
      </c>
      <c r="E245" s="14" t="str">
        <f>IF(CALC_EEM!$B238="","",CALC_EEM!E238)</f>
      </c>
      <c r="F245" s="14" t="str">
        <f>IF(CALC_EEM!$B238="","",CALC_EEM!F238)</f>
      </c>
      <c r="G245" t="str">
        <f>IF(CALC_EEM!$B238="","",CALC_EEM!G238)</f>
      </c>
      <c r="H245" s="16" t="str">
        <f>IF(CALC_EEM!$B238="","",CALC_EEM!H238)</f>
      </c>
      <c r="I245" s="16" t="str">
        <f>IF(CALC_EEM!$B238="","",CALC_EEM!I238)</f>
      </c>
      <c r="J245" t="str">
        <f>IF(CALC_EEM!$B238="","",CALC_EEM!J238)</f>
      </c>
      <c r="K245" t="str">
        <f>IF(CALC_EEM!$B238="","",CALC_EEM!K238)</f>
      </c>
      <c r="L245">
        <f>IF(CALC_EEM!$B238="","",CALC_EEM!L238)</f>
      </c>
      <c r="M245">
        <f>IF(CALC_EEM!$B238="","",CALC_EEM!M238)</f>
      </c>
      <c r="N245">
        <f>IF(CALC_EEM!$B238="","",CALC_EEM!N238)</f>
      </c>
      <c r="O245">
        <f>IF(CALC_EEM!$B238="","",CALC_EEM!O238)</f>
      </c>
      <c r="P245">
        <f>IF(CALC_EEM!$B238="","",CALC_EEM!P238)</f>
      </c>
      <c r="Q245">
        <f>IF(CALC_EEM!$B238="","",CALC_EEM!Q238)</f>
      </c>
      <c r="R245">
        <f>IF(CALC_EEM!$B238="","",CALC_EEM!R238)</f>
      </c>
      <c r="S245">
        <f>IF(CALC_EEM!$B238="","",CALC_EEM!S238)</f>
      </c>
      <c r="T245">
        <f>IF(CALC_EEM!$B238="","",CALC_EEM!T238)</f>
      </c>
      <c r="U245">
        <f>IF(CALC_EEM!$B238="","",CALC_EEM!U238)</f>
      </c>
    </row>
    <row r="246" spans="1:24">
      <c r="A246" t="str">
        <f>IF(CALC_EEM!$B239="","",IF(CALC_EEM!A239="GLOBAL","GLOBAL",IF(CALC_EEM!C239="Total","CURSO_TOTAL",IF(CALC_EEM!C239="TotalEsp","CURSO_ESP",IF(CALC_EEM!C239="TotalNoEsp","CURSO_NOESP","CURSO_ASIG")))))</f>
      </c>
      <c r="B246" t="str">
        <f>IF(CALC_EEM!$B239="","",CALC_EEM!A239)</f>
      </c>
      <c r="C246" t="str">
        <f>IF(CALC_EEM!$B239="","",CALC_EEM!B239)</f>
      </c>
      <c r="D246">
        <f>IF(CALC_EEM!$B239="","",CALC_EEM!D239)</f>
      </c>
      <c r="E246" s="14" t="str">
        <f>IF(CALC_EEM!$B239="","",CALC_EEM!E239)</f>
      </c>
      <c r="F246" s="14" t="str">
        <f>IF(CALC_EEM!$B239="","",CALC_EEM!F239)</f>
      </c>
      <c r="G246" t="str">
        <f>IF(CALC_EEM!$B239="","",CALC_EEM!G239)</f>
      </c>
      <c r="H246" s="16" t="str">
        <f>IF(CALC_EEM!$B239="","",CALC_EEM!H239)</f>
      </c>
      <c r="I246" s="16" t="str">
        <f>IF(CALC_EEM!$B239="","",CALC_EEM!I239)</f>
      </c>
      <c r="J246" t="str">
        <f>IF(CALC_EEM!$B239="","",CALC_EEM!J239)</f>
      </c>
      <c r="K246" t="str">
        <f>IF(CALC_EEM!$B239="","",CALC_EEM!K239)</f>
      </c>
      <c r="L246">
        <f>IF(CALC_EEM!$B239="","",CALC_EEM!L239)</f>
      </c>
      <c r="M246">
        <f>IF(CALC_EEM!$B239="","",CALC_EEM!M239)</f>
      </c>
      <c r="N246">
        <f>IF(CALC_EEM!$B239="","",CALC_EEM!N239)</f>
      </c>
      <c r="O246">
        <f>IF(CALC_EEM!$B239="","",CALC_EEM!O239)</f>
      </c>
      <c r="P246">
        <f>IF(CALC_EEM!$B239="","",CALC_EEM!P239)</f>
      </c>
      <c r="Q246">
        <f>IF(CALC_EEM!$B239="","",CALC_EEM!Q239)</f>
      </c>
      <c r="R246">
        <f>IF(CALC_EEM!$B239="","",CALC_EEM!R239)</f>
      </c>
      <c r="S246">
        <f>IF(CALC_EEM!$B239="","",CALC_EEM!S239)</f>
      </c>
      <c r="T246">
        <f>IF(CALC_EEM!$B239="","",CALC_EEM!T239)</f>
      </c>
      <c r="U246">
        <f>IF(CALC_EEM!$B239="","",CALC_EEM!U239)</f>
      </c>
    </row>
    <row r="247" spans="1:24">
      <c r="A247" t="str">
        <f>IF(CALC_EEM!$B240="","",IF(CALC_EEM!A240="GLOBAL","GLOBAL",IF(CALC_EEM!C240="Total","CURSO_TOTAL",IF(CALC_EEM!C240="TotalEsp","CURSO_ESP",IF(CALC_EEM!C240="TotalNoEsp","CURSO_NOESP","CURSO_ASIG")))))</f>
      </c>
      <c r="B247" t="str">
        <f>IF(CALC_EEM!$B240="","",CALC_EEM!A240)</f>
      </c>
      <c r="C247" t="str">
        <f>IF(CALC_EEM!$B240="","",CALC_EEM!B240)</f>
      </c>
      <c r="D247">
        <f>IF(CALC_EEM!$B240="","",CALC_EEM!D240)</f>
      </c>
      <c r="E247" s="14" t="str">
        <f>IF(CALC_EEM!$B240="","",CALC_EEM!E240)</f>
      </c>
      <c r="F247" s="14" t="str">
        <f>IF(CALC_EEM!$B240="","",CALC_EEM!F240)</f>
      </c>
      <c r="G247" t="str">
        <f>IF(CALC_EEM!$B240="","",CALC_EEM!G240)</f>
      </c>
      <c r="H247" s="16" t="str">
        <f>IF(CALC_EEM!$B240="","",CALC_EEM!H240)</f>
      </c>
      <c r="I247" s="16" t="str">
        <f>IF(CALC_EEM!$B240="","",CALC_EEM!I240)</f>
      </c>
      <c r="J247" t="str">
        <f>IF(CALC_EEM!$B240="","",CALC_EEM!J240)</f>
      </c>
      <c r="K247" t="str">
        <f>IF(CALC_EEM!$B240="","",CALC_EEM!K240)</f>
      </c>
      <c r="L247">
        <f>IF(CALC_EEM!$B240="","",CALC_EEM!L240)</f>
      </c>
      <c r="M247">
        <f>IF(CALC_EEM!$B240="","",CALC_EEM!M240)</f>
      </c>
      <c r="N247">
        <f>IF(CALC_EEM!$B240="","",CALC_EEM!N240)</f>
      </c>
      <c r="O247">
        <f>IF(CALC_EEM!$B240="","",CALC_EEM!O240)</f>
      </c>
      <c r="P247">
        <f>IF(CALC_EEM!$B240="","",CALC_EEM!P240)</f>
      </c>
      <c r="Q247">
        <f>IF(CALC_EEM!$B240="","",CALC_EEM!Q240)</f>
      </c>
      <c r="R247">
        <f>IF(CALC_EEM!$B240="","",CALC_EEM!R240)</f>
      </c>
      <c r="S247">
        <f>IF(CALC_EEM!$B240="","",CALC_EEM!S240)</f>
      </c>
      <c r="T247">
        <f>IF(CALC_EEM!$B240="","",CALC_EEM!T240)</f>
      </c>
      <c r="U247">
        <f>IF(CALC_EEM!$B240="","",CALC_EEM!U240)</f>
      </c>
    </row>
    <row r="248" spans="1:24">
      <c r="A248" t="str">
        <f>IF(CALC_EEM!$B241="","",IF(CALC_EEM!A241="GLOBAL","GLOBAL",IF(CALC_EEM!C241="Total","CURSO_TOTAL",IF(CALC_EEM!C241="TotalEsp","CURSO_ESP",IF(CALC_EEM!C241="TotalNoEsp","CURSO_NOESP","CURSO_ASIG")))))</f>
      </c>
      <c r="B248" t="str">
        <f>IF(CALC_EEM!$B241="","",CALC_EEM!A241)</f>
      </c>
      <c r="C248" t="str">
        <f>IF(CALC_EEM!$B241="","",CALC_EEM!B241)</f>
      </c>
      <c r="D248">
        <f>IF(CALC_EEM!$B241="","",CALC_EEM!D241)</f>
      </c>
      <c r="E248" s="14" t="str">
        <f>IF(CALC_EEM!$B241="","",CALC_EEM!E241)</f>
      </c>
      <c r="F248" s="14" t="str">
        <f>IF(CALC_EEM!$B241="","",CALC_EEM!F241)</f>
      </c>
      <c r="G248" t="str">
        <f>IF(CALC_EEM!$B241="","",CALC_EEM!G241)</f>
      </c>
      <c r="H248" s="16" t="str">
        <f>IF(CALC_EEM!$B241="","",CALC_EEM!H241)</f>
      </c>
      <c r="I248" s="16" t="str">
        <f>IF(CALC_EEM!$B241="","",CALC_EEM!I241)</f>
      </c>
      <c r="J248" t="str">
        <f>IF(CALC_EEM!$B241="","",CALC_EEM!J241)</f>
      </c>
      <c r="K248" t="str">
        <f>IF(CALC_EEM!$B241="","",CALC_EEM!K241)</f>
      </c>
      <c r="L248">
        <f>IF(CALC_EEM!$B241="","",CALC_EEM!L241)</f>
      </c>
      <c r="M248">
        <f>IF(CALC_EEM!$B241="","",CALC_EEM!M241)</f>
      </c>
      <c r="N248">
        <f>IF(CALC_EEM!$B241="","",CALC_EEM!N241)</f>
      </c>
      <c r="O248">
        <f>IF(CALC_EEM!$B241="","",CALC_EEM!O241)</f>
      </c>
      <c r="P248">
        <f>IF(CALC_EEM!$B241="","",CALC_EEM!P241)</f>
      </c>
      <c r="Q248">
        <f>IF(CALC_EEM!$B241="","",CALC_EEM!Q241)</f>
      </c>
      <c r="R248">
        <f>IF(CALC_EEM!$B241="","",CALC_EEM!R241)</f>
      </c>
      <c r="S248">
        <f>IF(CALC_EEM!$B241="","",CALC_EEM!S241)</f>
      </c>
      <c r="T248">
        <f>IF(CALC_EEM!$B241="","",CALC_EEM!T241)</f>
      </c>
      <c r="U248">
        <f>IF(CALC_EEM!$B241="","",CALC_EEM!U241)</f>
      </c>
    </row>
    <row r="249" spans="1:24">
      <c r="A249" t="str">
        <f>IF(CALC_EEM!$B242="","",IF(CALC_EEM!A242="GLOBAL","GLOBAL",IF(CALC_EEM!C242="Total","CURSO_TOTAL",IF(CALC_EEM!C242="TotalEsp","CURSO_ESP",IF(CALC_EEM!C242="TotalNoEsp","CURSO_NOESP","CURSO_ASIG")))))</f>
      </c>
      <c r="B249" t="str">
        <f>IF(CALC_EEM!$B242="","",CALC_EEM!A242)</f>
      </c>
      <c r="C249" t="str">
        <f>IF(CALC_EEM!$B242="","",CALC_EEM!B242)</f>
      </c>
      <c r="D249">
        <f>IF(CALC_EEM!$B242="","",CALC_EEM!D242)</f>
      </c>
      <c r="E249" s="14" t="str">
        <f>IF(CALC_EEM!$B242="","",CALC_EEM!E242)</f>
      </c>
      <c r="F249" s="14" t="str">
        <f>IF(CALC_EEM!$B242="","",CALC_EEM!F242)</f>
      </c>
      <c r="G249" t="str">
        <f>IF(CALC_EEM!$B242="","",CALC_EEM!G242)</f>
      </c>
      <c r="H249" s="16" t="str">
        <f>IF(CALC_EEM!$B242="","",CALC_EEM!H242)</f>
      </c>
      <c r="I249" s="16" t="str">
        <f>IF(CALC_EEM!$B242="","",CALC_EEM!I242)</f>
      </c>
      <c r="J249" t="str">
        <f>IF(CALC_EEM!$B242="","",CALC_EEM!J242)</f>
      </c>
      <c r="K249" t="str">
        <f>IF(CALC_EEM!$B242="","",CALC_EEM!K242)</f>
      </c>
      <c r="L249">
        <f>IF(CALC_EEM!$B242="","",CALC_EEM!L242)</f>
      </c>
      <c r="M249">
        <f>IF(CALC_EEM!$B242="","",CALC_EEM!M242)</f>
      </c>
      <c r="N249">
        <f>IF(CALC_EEM!$B242="","",CALC_EEM!N242)</f>
      </c>
      <c r="O249">
        <f>IF(CALC_EEM!$B242="","",CALC_EEM!O242)</f>
      </c>
      <c r="P249">
        <f>IF(CALC_EEM!$B242="","",CALC_EEM!P242)</f>
      </c>
      <c r="Q249">
        <f>IF(CALC_EEM!$B242="","",CALC_EEM!Q242)</f>
      </c>
      <c r="R249">
        <f>IF(CALC_EEM!$B242="","",CALC_EEM!R242)</f>
      </c>
      <c r="S249">
        <f>IF(CALC_EEM!$B242="","",CALC_EEM!S242)</f>
      </c>
      <c r="T249">
        <f>IF(CALC_EEM!$B242="","",CALC_EEM!T242)</f>
      </c>
      <c r="U249">
        <f>IF(CALC_EEM!$B242="","",CALC_EEM!U242)</f>
      </c>
    </row>
    <row r="250" spans="1:24">
      <c r="A250" t="str">
        <f>IF(CALC_EEM!$B243="","",IF(CALC_EEM!A243="GLOBAL","GLOBAL",IF(CALC_EEM!C243="Total","CURSO_TOTAL",IF(CALC_EEM!C243="TotalEsp","CURSO_ESP",IF(CALC_EEM!C243="TotalNoEsp","CURSO_NOESP","CURSO_ASIG")))))</f>
      </c>
      <c r="B250" t="str">
        <f>IF(CALC_EEM!$B243="","",CALC_EEM!A243)</f>
      </c>
      <c r="C250" t="str">
        <f>IF(CALC_EEM!$B243="","",CALC_EEM!B243)</f>
      </c>
      <c r="D250">
        <f>IF(CALC_EEM!$B243="","",CALC_EEM!D243)</f>
      </c>
      <c r="E250" s="14" t="str">
        <f>IF(CALC_EEM!$B243="","",CALC_EEM!E243)</f>
      </c>
      <c r="F250" s="14" t="str">
        <f>IF(CALC_EEM!$B243="","",CALC_EEM!F243)</f>
      </c>
      <c r="G250" t="str">
        <f>IF(CALC_EEM!$B243="","",CALC_EEM!G243)</f>
      </c>
      <c r="H250" s="16" t="str">
        <f>IF(CALC_EEM!$B243="","",CALC_EEM!H243)</f>
      </c>
      <c r="I250" s="16" t="str">
        <f>IF(CALC_EEM!$B243="","",CALC_EEM!I243)</f>
      </c>
      <c r="J250" t="str">
        <f>IF(CALC_EEM!$B243="","",CALC_EEM!J243)</f>
      </c>
      <c r="K250" t="str">
        <f>IF(CALC_EEM!$B243="","",CALC_EEM!K243)</f>
      </c>
      <c r="L250">
        <f>IF(CALC_EEM!$B243="","",CALC_EEM!L243)</f>
      </c>
      <c r="M250">
        <f>IF(CALC_EEM!$B243="","",CALC_EEM!M243)</f>
      </c>
      <c r="N250">
        <f>IF(CALC_EEM!$B243="","",CALC_EEM!N243)</f>
      </c>
      <c r="O250">
        <f>IF(CALC_EEM!$B243="","",CALC_EEM!O243)</f>
      </c>
      <c r="P250">
        <f>IF(CALC_EEM!$B243="","",CALC_EEM!P243)</f>
      </c>
      <c r="Q250">
        <f>IF(CALC_EEM!$B243="","",CALC_EEM!Q243)</f>
      </c>
      <c r="R250">
        <f>IF(CALC_EEM!$B243="","",CALC_EEM!R243)</f>
      </c>
      <c r="S250">
        <f>IF(CALC_EEM!$B243="","",CALC_EEM!S243)</f>
      </c>
      <c r="T250">
        <f>IF(CALC_EEM!$B243="","",CALC_EEM!T243)</f>
      </c>
      <c r="U250">
        <f>IF(CALC_EEM!$B243="","",CALC_EEM!U243)</f>
      </c>
    </row>
    <row r="251" spans="1:24">
      <c r="A251" t="str">
        <f>IF(CALC_EEM!$B244="","",IF(CALC_EEM!A244="GLOBAL","GLOBAL",IF(CALC_EEM!C244="Total","CURSO_TOTAL",IF(CALC_EEM!C244="TotalEsp","CURSO_ESP",IF(CALC_EEM!C244="TotalNoEsp","CURSO_NOESP","CURSO_ASIG")))))</f>
      </c>
      <c r="B251" t="str">
        <f>IF(CALC_EEM!$B244="","",CALC_EEM!A244)</f>
      </c>
      <c r="C251" t="str">
        <f>IF(CALC_EEM!$B244="","",CALC_EEM!B244)</f>
      </c>
      <c r="D251">
        <f>IF(CALC_EEM!$B244="","",CALC_EEM!D244)</f>
      </c>
      <c r="E251" s="14" t="str">
        <f>IF(CALC_EEM!$B244="","",CALC_EEM!E244)</f>
      </c>
      <c r="F251" s="14" t="str">
        <f>IF(CALC_EEM!$B244="","",CALC_EEM!F244)</f>
      </c>
      <c r="G251" t="str">
        <f>IF(CALC_EEM!$B244="","",CALC_EEM!G244)</f>
      </c>
      <c r="H251" s="16" t="str">
        <f>IF(CALC_EEM!$B244="","",CALC_EEM!H244)</f>
      </c>
      <c r="I251" s="16" t="str">
        <f>IF(CALC_EEM!$B244="","",CALC_EEM!I244)</f>
      </c>
      <c r="J251" t="str">
        <f>IF(CALC_EEM!$B244="","",CALC_EEM!J244)</f>
      </c>
      <c r="K251" t="str">
        <f>IF(CALC_EEM!$B244="","",CALC_EEM!K244)</f>
      </c>
      <c r="L251">
        <f>IF(CALC_EEM!$B244="","",CALC_EEM!L244)</f>
      </c>
      <c r="M251">
        <f>IF(CALC_EEM!$B244="","",CALC_EEM!M244)</f>
      </c>
      <c r="N251">
        <f>IF(CALC_EEM!$B244="","",CALC_EEM!N244)</f>
      </c>
      <c r="O251">
        <f>IF(CALC_EEM!$B244="","",CALC_EEM!O244)</f>
      </c>
      <c r="P251">
        <f>IF(CALC_EEM!$B244="","",CALC_EEM!P244)</f>
      </c>
      <c r="Q251">
        <f>IF(CALC_EEM!$B244="","",CALC_EEM!Q244)</f>
      </c>
      <c r="R251">
        <f>IF(CALC_EEM!$B244="","",CALC_EEM!R244)</f>
      </c>
      <c r="S251">
        <f>IF(CALC_EEM!$B244="","",CALC_EEM!S244)</f>
      </c>
      <c r="T251">
        <f>IF(CALC_EEM!$B244="","",CALC_EEM!T244)</f>
      </c>
      <c r="U251">
        <f>IF(CALC_EEM!$B244="","",CALC_EEM!U244)</f>
      </c>
    </row>
    <row r="252" spans="1:24">
      <c r="A252" t="str">
        <f>IF(CALC_EEM!$B245="","",IF(CALC_EEM!A245="GLOBAL","GLOBAL",IF(CALC_EEM!C245="Total","CURSO_TOTAL",IF(CALC_EEM!C245="TotalEsp","CURSO_ESP",IF(CALC_EEM!C245="TotalNoEsp","CURSO_NOESP","CURSO_ASIG")))))</f>
      </c>
      <c r="B252" t="str">
        <f>IF(CALC_EEM!$B245="","",CALC_EEM!A245)</f>
      </c>
      <c r="C252" t="str">
        <f>IF(CALC_EEM!$B245="","",CALC_EEM!B245)</f>
      </c>
      <c r="D252">
        <f>IF(CALC_EEM!$B245="","",CALC_EEM!D245)</f>
      </c>
      <c r="E252" s="14" t="str">
        <f>IF(CALC_EEM!$B245="","",CALC_EEM!E245)</f>
      </c>
      <c r="F252" s="14" t="str">
        <f>IF(CALC_EEM!$B245="","",CALC_EEM!F245)</f>
      </c>
      <c r="G252" t="str">
        <f>IF(CALC_EEM!$B245="","",CALC_EEM!G245)</f>
      </c>
      <c r="H252" s="16" t="str">
        <f>IF(CALC_EEM!$B245="","",CALC_EEM!H245)</f>
      </c>
      <c r="I252" s="16" t="str">
        <f>IF(CALC_EEM!$B245="","",CALC_EEM!I245)</f>
      </c>
      <c r="J252" t="str">
        <f>IF(CALC_EEM!$B245="","",CALC_EEM!J245)</f>
      </c>
      <c r="K252" t="str">
        <f>IF(CALC_EEM!$B245="","",CALC_EEM!K245)</f>
      </c>
      <c r="L252">
        <f>IF(CALC_EEM!$B245="","",CALC_EEM!L245)</f>
      </c>
      <c r="M252">
        <f>IF(CALC_EEM!$B245="","",CALC_EEM!M245)</f>
      </c>
      <c r="N252">
        <f>IF(CALC_EEM!$B245="","",CALC_EEM!N245)</f>
      </c>
      <c r="O252">
        <f>IF(CALC_EEM!$B245="","",CALC_EEM!O245)</f>
      </c>
      <c r="P252">
        <f>IF(CALC_EEM!$B245="","",CALC_EEM!P245)</f>
      </c>
      <c r="Q252">
        <f>IF(CALC_EEM!$B245="","",CALC_EEM!Q245)</f>
      </c>
      <c r="R252">
        <f>IF(CALC_EEM!$B245="","",CALC_EEM!R245)</f>
      </c>
      <c r="S252">
        <f>IF(CALC_EEM!$B245="","",CALC_EEM!S245)</f>
      </c>
      <c r="T252">
        <f>IF(CALC_EEM!$B245="","",CALC_EEM!T245)</f>
      </c>
      <c r="U252">
        <f>IF(CALC_EEM!$B245="","",CALC_EEM!U245)</f>
      </c>
    </row>
    <row r="253" spans="1:24">
      <c r="A253" t="str">
        <f>IF(CALC_EEM!$B246="","",IF(CALC_EEM!A246="GLOBAL","GLOBAL",IF(CALC_EEM!C246="Total","CURSO_TOTAL",IF(CALC_EEM!C246="TotalEsp","CURSO_ESP",IF(CALC_EEM!C246="TotalNoEsp","CURSO_NOESP","CURSO_ASIG")))))</f>
      </c>
      <c r="B253" t="str">
        <f>IF(CALC_EEM!$B246="","",CALC_EEM!A246)</f>
      </c>
      <c r="C253" t="str">
        <f>IF(CALC_EEM!$B246="","",CALC_EEM!B246)</f>
      </c>
      <c r="D253">
        <f>IF(CALC_EEM!$B246="","",CALC_EEM!D246)</f>
      </c>
      <c r="E253" s="14" t="str">
        <f>IF(CALC_EEM!$B246="","",CALC_EEM!E246)</f>
      </c>
      <c r="F253" s="14" t="str">
        <f>IF(CALC_EEM!$B246="","",CALC_EEM!F246)</f>
      </c>
      <c r="G253" t="str">
        <f>IF(CALC_EEM!$B246="","",CALC_EEM!G246)</f>
      </c>
      <c r="H253" s="16" t="str">
        <f>IF(CALC_EEM!$B246="","",CALC_EEM!H246)</f>
      </c>
      <c r="I253" s="16" t="str">
        <f>IF(CALC_EEM!$B246="","",CALC_EEM!I246)</f>
      </c>
      <c r="J253" t="str">
        <f>IF(CALC_EEM!$B246="","",CALC_EEM!J246)</f>
      </c>
      <c r="K253" t="str">
        <f>IF(CALC_EEM!$B246="","",CALC_EEM!K246)</f>
      </c>
      <c r="L253">
        <f>IF(CALC_EEM!$B246="","",CALC_EEM!L246)</f>
      </c>
      <c r="M253">
        <f>IF(CALC_EEM!$B246="","",CALC_EEM!M246)</f>
      </c>
      <c r="N253">
        <f>IF(CALC_EEM!$B246="","",CALC_EEM!N246)</f>
      </c>
      <c r="O253">
        <f>IF(CALC_EEM!$B246="","",CALC_EEM!O246)</f>
      </c>
      <c r="P253">
        <f>IF(CALC_EEM!$B246="","",CALC_EEM!P246)</f>
      </c>
      <c r="Q253">
        <f>IF(CALC_EEM!$B246="","",CALC_EEM!Q246)</f>
      </c>
      <c r="R253">
        <f>IF(CALC_EEM!$B246="","",CALC_EEM!R246)</f>
      </c>
      <c r="S253">
        <f>IF(CALC_EEM!$B246="","",CALC_EEM!S246)</f>
      </c>
      <c r="T253">
        <f>IF(CALC_EEM!$B246="","",CALC_EEM!T246)</f>
      </c>
      <c r="U253">
        <f>IF(CALC_EEM!$B246="","",CALC_EEM!U246)</f>
      </c>
    </row>
    <row r="254" spans="1:24">
      <c r="A254" t="str">
        <f>IF(CALC_EEM!$B247="","",IF(CALC_EEM!A247="GLOBAL","GLOBAL",IF(CALC_EEM!C247="Total","CURSO_TOTAL",IF(CALC_EEM!C247="TotalEsp","CURSO_ESP",IF(CALC_EEM!C247="TotalNoEsp","CURSO_NOESP","CURSO_ASIG")))))</f>
      </c>
      <c r="B254" t="str">
        <f>IF(CALC_EEM!$B247="","",CALC_EEM!A247)</f>
      </c>
      <c r="C254" t="str">
        <f>IF(CALC_EEM!$B247="","",CALC_EEM!B247)</f>
      </c>
      <c r="D254">
        <f>IF(CALC_EEM!$B247="","",CALC_EEM!D247)</f>
      </c>
      <c r="E254" s="14" t="str">
        <f>IF(CALC_EEM!$B247="","",CALC_EEM!E247)</f>
      </c>
      <c r="F254" s="14" t="str">
        <f>IF(CALC_EEM!$B247="","",CALC_EEM!F247)</f>
      </c>
      <c r="G254" t="str">
        <f>IF(CALC_EEM!$B247="","",CALC_EEM!G247)</f>
      </c>
      <c r="H254" s="16" t="str">
        <f>IF(CALC_EEM!$B247="","",CALC_EEM!H247)</f>
      </c>
      <c r="I254" s="16" t="str">
        <f>IF(CALC_EEM!$B247="","",CALC_EEM!I247)</f>
      </c>
      <c r="J254" t="str">
        <f>IF(CALC_EEM!$B247="","",CALC_EEM!J247)</f>
      </c>
      <c r="K254" t="str">
        <f>IF(CALC_EEM!$B247="","",CALC_EEM!K247)</f>
      </c>
      <c r="L254">
        <f>IF(CALC_EEM!$B247="","",CALC_EEM!L247)</f>
      </c>
      <c r="M254">
        <f>IF(CALC_EEM!$B247="","",CALC_EEM!M247)</f>
      </c>
      <c r="N254">
        <f>IF(CALC_EEM!$B247="","",CALC_EEM!N247)</f>
      </c>
      <c r="O254">
        <f>IF(CALC_EEM!$B247="","",CALC_EEM!O247)</f>
      </c>
      <c r="P254">
        <f>IF(CALC_EEM!$B247="","",CALC_EEM!P247)</f>
      </c>
      <c r="Q254">
        <f>IF(CALC_EEM!$B247="","",CALC_EEM!Q247)</f>
      </c>
      <c r="R254">
        <f>IF(CALC_EEM!$B247="","",CALC_EEM!R247)</f>
      </c>
      <c r="S254">
        <f>IF(CALC_EEM!$B247="","",CALC_EEM!S247)</f>
      </c>
      <c r="T254">
        <f>IF(CALC_EEM!$B247="","",CALC_EEM!T247)</f>
      </c>
      <c r="U254">
        <f>IF(CALC_EEM!$B247="","",CALC_EEM!U247)</f>
      </c>
    </row>
    <row r="255" spans="1:24">
      <c r="A255" t="str">
        <f>IF(CALC_EEM!$B248="","",IF(CALC_EEM!A248="GLOBAL","GLOBAL",IF(CALC_EEM!C248="Total","CURSO_TOTAL",IF(CALC_EEM!C248="TotalEsp","CURSO_ESP",IF(CALC_EEM!C248="TotalNoEsp","CURSO_NOESP","CURSO_ASIG")))))</f>
      </c>
      <c r="B255" t="str">
        <f>IF(CALC_EEM!$B248="","",CALC_EEM!A248)</f>
      </c>
      <c r="C255" t="str">
        <f>IF(CALC_EEM!$B248="","",CALC_EEM!B248)</f>
      </c>
      <c r="D255">
        <f>IF(CALC_EEM!$B248="","",CALC_EEM!D248)</f>
      </c>
      <c r="E255" s="14" t="str">
        <f>IF(CALC_EEM!$B248="","",CALC_EEM!E248)</f>
      </c>
      <c r="F255" s="14" t="str">
        <f>IF(CALC_EEM!$B248="","",CALC_EEM!F248)</f>
      </c>
      <c r="G255" t="str">
        <f>IF(CALC_EEM!$B248="","",CALC_EEM!G248)</f>
      </c>
      <c r="H255" s="16" t="str">
        <f>IF(CALC_EEM!$B248="","",CALC_EEM!H248)</f>
      </c>
      <c r="I255" s="16" t="str">
        <f>IF(CALC_EEM!$B248="","",CALC_EEM!I248)</f>
      </c>
      <c r="J255" t="str">
        <f>IF(CALC_EEM!$B248="","",CALC_EEM!J248)</f>
      </c>
      <c r="K255" t="str">
        <f>IF(CALC_EEM!$B248="","",CALC_EEM!K248)</f>
      </c>
      <c r="L255">
        <f>IF(CALC_EEM!$B248="","",CALC_EEM!L248)</f>
      </c>
      <c r="M255">
        <f>IF(CALC_EEM!$B248="","",CALC_EEM!M248)</f>
      </c>
      <c r="N255">
        <f>IF(CALC_EEM!$B248="","",CALC_EEM!N248)</f>
      </c>
      <c r="O255">
        <f>IF(CALC_EEM!$B248="","",CALC_EEM!O248)</f>
      </c>
      <c r="P255">
        <f>IF(CALC_EEM!$B248="","",CALC_EEM!P248)</f>
      </c>
      <c r="Q255">
        <f>IF(CALC_EEM!$B248="","",CALC_EEM!Q248)</f>
      </c>
      <c r="R255">
        <f>IF(CALC_EEM!$B248="","",CALC_EEM!R248)</f>
      </c>
      <c r="S255">
        <f>IF(CALC_EEM!$B248="","",CALC_EEM!S248)</f>
      </c>
      <c r="T255">
        <f>IF(CALC_EEM!$B248="","",CALC_EEM!T248)</f>
      </c>
      <c r="U255">
        <f>IF(CALC_EEM!$B248="","",CALC_EEM!U248)</f>
      </c>
    </row>
    <row r="256" spans="1:24">
      <c r="A256" t="str">
        <f>IF(CALC_EEM!$B249="","",IF(CALC_EEM!A249="GLOBAL","GLOBAL",IF(CALC_EEM!C249="Total","CURSO_TOTAL",IF(CALC_EEM!C249="TotalEsp","CURSO_ESP",IF(CALC_EEM!C249="TotalNoEsp","CURSO_NOESP","CURSO_ASIG")))))</f>
      </c>
      <c r="B256" t="str">
        <f>IF(CALC_EEM!$B249="","",CALC_EEM!A249)</f>
      </c>
      <c r="C256" t="str">
        <f>IF(CALC_EEM!$B249="","",CALC_EEM!B249)</f>
      </c>
      <c r="D256">
        <f>IF(CALC_EEM!$B249="","",CALC_EEM!D249)</f>
      </c>
      <c r="E256" s="14" t="str">
        <f>IF(CALC_EEM!$B249="","",CALC_EEM!E249)</f>
      </c>
      <c r="F256" s="14" t="str">
        <f>IF(CALC_EEM!$B249="","",CALC_EEM!F249)</f>
      </c>
      <c r="G256" t="str">
        <f>IF(CALC_EEM!$B249="","",CALC_EEM!G249)</f>
      </c>
      <c r="H256" s="16" t="str">
        <f>IF(CALC_EEM!$B249="","",CALC_EEM!H249)</f>
      </c>
      <c r="I256" s="16" t="str">
        <f>IF(CALC_EEM!$B249="","",CALC_EEM!I249)</f>
      </c>
      <c r="J256" t="str">
        <f>IF(CALC_EEM!$B249="","",CALC_EEM!J249)</f>
      </c>
      <c r="K256" t="str">
        <f>IF(CALC_EEM!$B249="","",CALC_EEM!K249)</f>
      </c>
      <c r="L256">
        <f>IF(CALC_EEM!$B249="","",CALC_EEM!L249)</f>
      </c>
      <c r="M256">
        <f>IF(CALC_EEM!$B249="","",CALC_EEM!M249)</f>
      </c>
      <c r="N256">
        <f>IF(CALC_EEM!$B249="","",CALC_EEM!N249)</f>
      </c>
      <c r="O256">
        <f>IF(CALC_EEM!$B249="","",CALC_EEM!O249)</f>
      </c>
      <c r="P256">
        <f>IF(CALC_EEM!$B249="","",CALC_EEM!P249)</f>
      </c>
      <c r="Q256">
        <f>IF(CALC_EEM!$B249="","",CALC_EEM!Q249)</f>
      </c>
      <c r="R256">
        <f>IF(CALC_EEM!$B249="","",CALC_EEM!R249)</f>
      </c>
      <c r="S256">
        <f>IF(CALC_EEM!$B249="","",CALC_EEM!S249)</f>
      </c>
      <c r="T256">
        <f>IF(CALC_EEM!$B249="","",CALC_EEM!T249)</f>
      </c>
      <c r="U256">
        <f>IF(CALC_EEM!$B249="","",CALC_EEM!U249)</f>
      </c>
    </row>
    <row r="257" spans="1:24">
      <c r="A257" t="str">
        <f>IF(CALC_EEM!$B250="","",IF(CALC_EEM!A250="GLOBAL","GLOBAL",IF(CALC_EEM!C250="Total","CURSO_TOTAL",IF(CALC_EEM!C250="TotalEsp","CURSO_ESP",IF(CALC_EEM!C250="TotalNoEsp","CURSO_NOESP","CURSO_ASIG")))))</f>
      </c>
      <c r="B257" t="str">
        <f>IF(CALC_EEM!$B250="","",CALC_EEM!A250)</f>
      </c>
      <c r="C257" t="str">
        <f>IF(CALC_EEM!$B250="","",CALC_EEM!B250)</f>
      </c>
      <c r="D257">
        <f>IF(CALC_EEM!$B250="","",CALC_EEM!D250)</f>
      </c>
      <c r="E257" s="14" t="str">
        <f>IF(CALC_EEM!$B250="","",CALC_EEM!E250)</f>
      </c>
      <c r="F257" s="14" t="str">
        <f>IF(CALC_EEM!$B250="","",CALC_EEM!F250)</f>
      </c>
      <c r="G257" t="str">
        <f>IF(CALC_EEM!$B250="","",CALC_EEM!G250)</f>
      </c>
      <c r="H257" s="16" t="str">
        <f>IF(CALC_EEM!$B250="","",CALC_EEM!H250)</f>
      </c>
      <c r="I257" s="16" t="str">
        <f>IF(CALC_EEM!$B250="","",CALC_EEM!I250)</f>
      </c>
      <c r="J257" t="str">
        <f>IF(CALC_EEM!$B250="","",CALC_EEM!J250)</f>
      </c>
      <c r="K257" t="str">
        <f>IF(CALC_EEM!$B250="","",CALC_EEM!K250)</f>
      </c>
      <c r="L257">
        <f>IF(CALC_EEM!$B250="","",CALC_EEM!L250)</f>
      </c>
      <c r="M257">
        <f>IF(CALC_EEM!$B250="","",CALC_EEM!M250)</f>
      </c>
      <c r="N257">
        <f>IF(CALC_EEM!$B250="","",CALC_EEM!N250)</f>
      </c>
      <c r="O257">
        <f>IF(CALC_EEM!$B250="","",CALC_EEM!O250)</f>
      </c>
      <c r="P257">
        <f>IF(CALC_EEM!$B250="","",CALC_EEM!P250)</f>
      </c>
      <c r="Q257">
        <f>IF(CALC_EEM!$B250="","",CALC_EEM!Q250)</f>
      </c>
      <c r="R257">
        <f>IF(CALC_EEM!$B250="","",CALC_EEM!R250)</f>
      </c>
      <c r="S257">
        <f>IF(CALC_EEM!$B250="","",CALC_EEM!S250)</f>
      </c>
      <c r="T257">
        <f>IF(CALC_EEM!$B250="","",CALC_EEM!T250)</f>
      </c>
      <c r="U257">
        <f>IF(CALC_EEM!$B250="","",CALC_EEM!U250)</f>
      </c>
    </row>
    <row r="258" spans="1:24">
      <c r="A258" t="str">
        <f>IF(CALC_EEM!$B251="","",IF(CALC_EEM!A251="GLOBAL","GLOBAL",IF(CALC_EEM!C251="Total","CURSO_TOTAL",IF(CALC_EEM!C251="TotalEsp","CURSO_ESP",IF(CALC_EEM!C251="TotalNoEsp","CURSO_NOESP","CURSO_ASIG")))))</f>
      </c>
      <c r="B258" t="str">
        <f>IF(CALC_EEM!$B251="","",CALC_EEM!A251)</f>
      </c>
      <c r="C258" t="str">
        <f>IF(CALC_EEM!$B251="","",CALC_EEM!B251)</f>
      </c>
      <c r="D258">
        <f>IF(CALC_EEM!$B251="","",CALC_EEM!D251)</f>
      </c>
      <c r="E258" s="14" t="str">
        <f>IF(CALC_EEM!$B251="","",CALC_EEM!E251)</f>
      </c>
      <c r="F258" s="14" t="str">
        <f>IF(CALC_EEM!$B251="","",CALC_EEM!F251)</f>
      </c>
      <c r="G258" t="str">
        <f>IF(CALC_EEM!$B251="","",CALC_EEM!G251)</f>
      </c>
      <c r="H258" s="16" t="str">
        <f>IF(CALC_EEM!$B251="","",CALC_EEM!H251)</f>
      </c>
      <c r="I258" s="16" t="str">
        <f>IF(CALC_EEM!$B251="","",CALC_EEM!I251)</f>
      </c>
      <c r="J258" t="str">
        <f>IF(CALC_EEM!$B251="","",CALC_EEM!J251)</f>
      </c>
      <c r="K258" t="str">
        <f>IF(CALC_EEM!$B251="","",CALC_EEM!K251)</f>
      </c>
      <c r="L258">
        <f>IF(CALC_EEM!$B251="","",CALC_EEM!L251)</f>
      </c>
      <c r="M258">
        <f>IF(CALC_EEM!$B251="","",CALC_EEM!M251)</f>
      </c>
      <c r="N258">
        <f>IF(CALC_EEM!$B251="","",CALC_EEM!N251)</f>
      </c>
      <c r="O258">
        <f>IF(CALC_EEM!$B251="","",CALC_EEM!O251)</f>
      </c>
      <c r="P258">
        <f>IF(CALC_EEM!$B251="","",CALC_EEM!P251)</f>
      </c>
      <c r="Q258">
        <f>IF(CALC_EEM!$B251="","",CALC_EEM!Q251)</f>
      </c>
      <c r="R258">
        <f>IF(CALC_EEM!$B251="","",CALC_EEM!R251)</f>
      </c>
      <c r="S258">
        <f>IF(CALC_EEM!$B251="","",CALC_EEM!S251)</f>
      </c>
      <c r="T258">
        <f>IF(CALC_EEM!$B251="","",CALC_EEM!T251)</f>
      </c>
      <c r="U258">
        <f>IF(CALC_EEM!$B251="","",CALC_EEM!U251)</f>
      </c>
    </row>
    <row r="259" spans="1:24">
      <c r="A259" t="str">
        <f>IF(CALC_EEM!$B252="","",IF(CALC_EEM!A252="GLOBAL","GLOBAL",IF(CALC_EEM!C252="Total","CURSO_TOTAL",IF(CALC_EEM!C252="TotalEsp","CURSO_ESP",IF(CALC_EEM!C252="TotalNoEsp","CURSO_NOESP","CURSO_ASIG")))))</f>
      </c>
      <c r="B259" t="str">
        <f>IF(CALC_EEM!$B252="","",CALC_EEM!A252)</f>
      </c>
      <c r="C259" t="str">
        <f>IF(CALC_EEM!$B252="","",CALC_EEM!B252)</f>
      </c>
      <c r="D259">
        <f>IF(CALC_EEM!$B252="","",CALC_EEM!D252)</f>
      </c>
      <c r="E259" s="14" t="str">
        <f>IF(CALC_EEM!$B252="","",CALC_EEM!E252)</f>
      </c>
      <c r="F259" s="14" t="str">
        <f>IF(CALC_EEM!$B252="","",CALC_EEM!F252)</f>
      </c>
      <c r="G259" t="str">
        <f>IF(CALC_EEM!$B252="","",CALC_EEM!G252)</f>
      </c>
      <c r="H259" s="16" t="str">
        <f>IF(CALC_EEM!$B252="","",CALC_EEM!H252)</f>
      </c>
      <c r="I259" s="16" t="str">
        <f>IF(CALC_EEM!$B252="","",CALC_EEM!I252)</f>
      </c>
      <c r="J259" t="str">
        <f>IF(CALC_EEM!$B252="","",CALC_EEM!J252)</f>
      </c>
      <c r="K259" t="str">
        <f>IF(CALC_EEM!$B252="","",CALC_EEM!K252)</f>
      </c>
      <c r="L259">
        <f>IF(CALC_EEM!$B252="","",CALC_EEM!L252)</f>
      </c>
      <c r="M259">
        <f>IF(CALC_EEM!$B252="","",CALC_EEM!M252)</f>
      </c>
      <c r="N259">
        <f>IF(CALC_EEM!$B252="","",CALC_EEM!N252)</f>
      </c>
      <c r="O259">
        <f>IF(CALC_EEM!$B252="","",CALC_EEM!O252)</f>
      </c>
      <c r="P259">
        <f>IF(CALC_EEM!$B252="","",CALC_EEM!P252)</f>
      </c>
      <c r="Q259">
        <f>IF(CALC_EEM!$B252="","",CALC_EEM!Q252)</f>
      </c>
      <c r="R259">
        <f>IF(CALC_EEM!$B252="","",CALC_EEM!R252)</f>
      </c>
      <c r="S259">
        <f>IF(CALC_EEM!$B252="","",CALC_EEM!S252)</f>
      </c>
      <c r="T259">
        <f>IF(CALC_EEM!$B252="","",CALC_EEM!T252)</f>
      </c>
      <c r="U259">
        <f>IF(CALC_EEM!$B252="","",CALC_EEM!U252)</f>
      </c>
    </row>
    <row r="260" spans="1:24">
      <c r="A260" t="str">
        <f>IF(CALC_EEM!$B253="","",IF(CALC_EEM!A253="GLOBAL","GLOBAL",IF(CALC_EEM!C253="Total","CURSO_TOTAL",IF(CALC_EEM!C253="TotalEsp","CURSO_ESP",IF(CALC_EEM!C253="TotalNoEsp","CURSO_NOESP","CURSO_ASIG")))))</f>
      </c>
      <c r="B260" t="str">
        <f>IF(CALC_EEM!$B253="","",CALC_EEM!A253)</f>
      </c>
      <c r="C260" t="str">
        <f>IF(CALC_EEM!$B253="","",CALC_EEM!B253)</f>
      </c>
      <c r="D260">
        <f>IF(CALC_EEM!$B253="","",CALC_EEM!D253)</f>
      </c>
      <c r="E260" s="14" t="str">
        <f>IF(CALC_EEM!$B253="","",CALC_EEM!E253)</f>
      </c>
      <c r="F260" s="14" t="str">
        <f>IF(CALC_EEM!$B253="","",CALC_EEM!F253)</f>
      </c>
      <c r="G260" t="str">
        <f>IF(CALC_EEM!$B253="","",CALC_EEM!G253)</f>
      </c>
      <c r="H260" s="16" t="str">
        <f>IF(CALC_EEM!$B253="","",CALC_EEM!H253)</f>
      </c>
      <c r="I260" s="16" t="str">
        <f>IF(CALC_EEM!$B253="","",CALC_EEM!I253)</f>
      </c>
      <c r="J260" t="str">
        <f>IF(CALC_EEM!$B253="","",CALC_EEM!J253)</f>
      </c>
      <c r="K260" t="str">
        <f>IF(CALC_EEM!$B253="","",CALC_EEM!K253)</f>
      </c>
      <c r="L260">
        <f>IF(CALC_EEM!$B253="","",CALC_EEM!L253)</f>
      </c>
      <c r="M260">
        <f>IF(CALC_EEM!$B253="","",CALC_EEM!M253)</f>
      </c>
      <c r="N260">
        <f>IF(CALC_EEM!$B253="","",CALC_EEM!N253)</f>
      </c>
      <c r="O260">
        <f>IF(CALC_EEM!$B253="","",CALC_EEM!O253)</f>
      </c>
      <c r="P260">
        <f>IF(CALC_EEM!$B253="","",CALC_EEM!P253)</f>
      </c>
      <c r="Q260">
        <f>IF(CALC_EEM!$B253="","",CALC_EEM!Q253)</f>
      </c>
      <c r="R260">
        <f>IF(CALC_EEM!$B253="","",CALC_EEM!R253)</f>
      </c>
      <c r="S260">
        <f>IF(CALC_EEM!$B253="","",CALC_EEM!S253)</f>
      </c>
      <c r="T260">
        <f>IF(CALC_EEM!$B253="","",CALC_EEM!T253)</f>
      </c>
      <c r="U260">
        <f>IF(CALC_EEM!$B253="","",CALC_EEM!U253)</f>
      </c>
    </row>
    <row r="261" spans="1:24">
      <c r="A261" t="str">
        <f>IF(CALC_EEM!$B254="","",IF(CALC_EEM!A254="GLOBAL","GLOBAL",IF(CALC_EEM!C254="Total","CURSO_TOTAL",IF(CALC_EEM!C254="TotalEsp","CURSO_ESP",IF(CALC_EEM!C254="TotalNoEsp","CURSO_NOESP","CURSO_ASIG")))))</f>
      </c>
      <c r="B261" t="str">
        <f>IF(CALC_EEM!$B254="","",CALC_EEM!A254)</f>
      </c>
      <c r="C261" t="str">
        <f>IF(CALC_EEM!$B254="","",CALC_EEM!B254)</f>
      </c>
      <c r="D261">
        <f>IF(CALC_EEM!$B254="","",CALC_EEM!D254)</f>
      </c>
      <c r="E261" s="14" t="str">
        <f>IF(CALC_EEM!$B254="","",CALC_EEM!E254)</f>
      </c>
      <c r="F261" s="14" t="str">
        <f>IF(CALC_EEM!$B254="","",CALC_EEM!F254)</f>
      </c>
      <c r="G261" t="str">
        <f>IF(CALC_EEM!$B254="","",CALC_EEM!G254)</f>
      </c>
      <c r="H261" s="16" t="str">
        <f>IF(CALC_EEM!$B254="","",CALC_EEM!H254)</f>
      </c>
      <c r="I261" s="16" t="str">
        <f>IF(CALC_EEM!$B254="","",CALC_EEM!I254)</f>
      </c>
      <c r="J261" t="str">
        <f>IF(CALC_EEM!$B254="","",CALC_EEM!J254)</f>
      </c>
      <c r="K261" t="str">
        <f>IF(CALC_EEM!$B254="","",CALC_EEM!K254)</f>
      </c>
      <c r="L261">
        <f>IF(CALC_EEM!$B254="","",CALC_EEM!L254)</f>
      </c>
      <c r="M261">
        <f>IF(CALC_EEM!$B254="","",CALC_EEM!M254)</f>
      </c>
      <c r="N261">
        <f>IF(CALC_EEM!$B254="","",CALC_EEM!N254)</f>
      </c>
      <c r="O261">
        <f>IF(CALC_EEM!$B254="","",CALC_EEM!O254)</f>
      </c>
      <c r="P261">
        <f>IF(CALC_EEM!$B254="","",CALC_EEM!P254)</f>
      </c>
      <c r="Q261">
        <f>IF(CALC_EEM!$B254="","",CALC_EEM!Q254)</f>
      </c>
      <c r="R261">
        <f>IF(CALC_EEM!$B254="","",CALC_EEM!R254)</f>
      </c>
      <c r="S261">
        <f>IF(CALC_EEM!$B254="","",CALC_EEM!S254)</f>
      </c>
      <c r="T261">
        <f>IF(CALC_EEM!$B254="","",CALC_EEM!T254)</f>
      </c>
      <c r="U261">
        <f>IF(CALC_EEM!$B254="","",CALC_EEM!U254)</f>
      </c>
    </row>
    <row r="262" spans="1:24">
      <c r="A262" t="str">
        <f>IF(CALC_EEM!$B255="","",IF(CALC_EEM!A255="GLOBAL","GLOBAL",IF(CALC_EEM!C255="Total","CURSO_TOTAL",IF(CALC_EEM!C255="TotalEsp","CURSO_ESP",IF(CALC_EEM!C255="TotalNoEsp","CURSO_NOESP","CURSO_ASIG")))))</f>
      </c>
      <c r="B262" t="str">
        <f>IF(CALC_EEM!$B255="","",CALC_EEM!A255)</f>
      </c>
      <c r="C262" t="str">
        <f>IF(CALC_EEM!$B255="","",CALC_EEM!B255)</f>
      </c>
      <c r="D262">
        <f>IF(CALC_EEM!$B255="","",CALC_EEM!D255)</f>
      </c>
      <c r="E262" s="14" t="str">
        <f>IF(CALC_EEM!$B255="","",CALC_EEM!E255)</f>
      </c>
      <c r="F262" s="14" t="str">
        <f>IF(CALC_EEM!$B255="","",CALC_EEM!F255)</f>
      </c>
      <c r="G262" t="str">
        <f>IF(CALC_EEM!$B255="","",CALC_EEM!G255)</f>
      </c>
      <c r="H262" s="16" t="str">
        <f>IF(CALC_EEM!$B255="","",CALC_EEM!H255)</f>
      </c>
      <c r="I262" s="16" t="str">
        <f>IF(CALC_EEM!$B255="","",CALC_EEM!I255)</f>
      </c>
      <c r="J262" t="str">
        <f>IF(CALC_EEM!$B255="","",CALC_EEM!J255)</f>
      </c>
      <c r="K262" t="str">
        <f>IF(CALC_EEM!$B255="","",CALC_EEM!K255)</f>
      </c>
      <c r="L262">
        <f>IF(CALC_EEM!$B255="","",CALC_EEM!L255)</f>
      </c>
      <c r="M262">
        <f>IF(CALC_EEM!$B255="","",CALC_EEM!M255)</f>
      </c>
      <c r="N262">
        <f>IF(CALC_EEM!$B255="","",CALC_EEM!N255)</f>
      </c>
      <c r="O262">
        <f>IF(CALC_EEM!$B255="","",CALC_EEM!O255)</f>
      </c>
      <c r="P262">
        <f>IF(CALC_EEM!$B255="","",CALC_EEM!P255)</f>
      </c>
      <c r="Q262">
        <f>IF(CALC_EEM!$B255="","",CALC_EEM!Q255)</f>
      </c>
      <c r="R262">
        <f>IF(CALC_EEM!$B255="","",CALC_EEM!R255)</f>
      </c>
      <c r="S262">
        <f>IF(CALC_EEM!$B255="","",CALC_EEM!S255)</f>
      </c>
      <c r="T262">
        <f>IF(CALC_EEM!$B255="","",CALC_EEM!T255)</f>
      </c>
      <c r="U262">
        <f>IF(CALC_EEM!$B255="","",CALC_EEM!U255)</f>
      </c>
    </row>
    <row r="263" spans="1:24">
      <c r="A263" t="str">
        <f>IF(CALC_EEM!$B256="","",IF(CALC_EEM!A256="GLOBAL","GLOBAL",IF(CALC_EEM!C256="Total","CURSO_TOTAL",IF(CALC_EEM!C256="TotalEsp","CURSO_ESP",IF(CALC_EEM!C256="TotalNoEsp","CURSO_NOESP","CURSO_ASIG")))))</f>
      </c>
      <c r="B263" t="str">
        <f>IF(CALC_EEM!$B256="","",CALC_EEM!A256)</f>
      </c>
      <c r="C263" t="str">
        <f>IF(CALC_EEM!$B256="","",CALC_EEM!B256)</f>
      </c>
      <c r="D263">
        <f>IF(CALC_EEM!$B256="","",CALC_EEM!D256)</f>
      </c>
      <c r="E263" s="14" t="str">
        <f>IF(CALC_EEM!$B256="","",CALC_EEM!E256)</f>
      </c>
      <c r="F263" s="14" t="str">
        <f>IF(CALC_EEM!$B256="","",CALC_EEM!F256)</f>
      </c>
      <c r="G263" t="str">
        <f>IF(CALC_EEM!$B256="","",CALC_EEM!G256)</f>
      </c>
      <c r="H263" s="16" t="str">
        <f>IF(CALC_EEM!$B256="","",CALC_EEM!H256)</f>
      </c>
      <c r="I263" s="16" t="str">
        <f>IF(CALC_EEM!$B256="","",CALC_EEM!I256)</f>
      </c>
      <c r="J263" t="str">
        <f>IF(CALC_EEM!$B256="","",CALC_EEM!J256)</f>
      </c>
      <c r="K263" t="str">
        <f>IF(CALC_EEM!$B256="","",CALC_EEM!K256)</f>
      </c>
      <c r="L263">
        <f>IF(CALC_EEM!$B256="","",CALC_EEM!L256)</f>
      </c>
      <c r="M263">
        <f>IF(CALC_EEM!$B256="","",CALC_EEM!M256)</f>
      </c>
      <c r="N263">
        <f>IF(CALC_EEM!$B256="","",CALC_EEM!N256)</f>
      </c>
      <c r="O263">
        <f>IF(CALC_EEM!$B256="","",CALC_EEM!O256)</f>
      </c>
      <c r="P263">
        <f>IF(CALC_EEM!$B256="","",CALC_EEM!P256)</f>
      </c>
      <c r="Q263">
        <f>IF(CALC_EEM!$B256="","",CALC_EEM!Q256)</f>
      </c>
      <c r="R263">
        <f>IF(CALC_EEM!$B256="","",CALC_EEM!R256)</f>
      </c>
      <c r="S263">
        <f>IF(CALC_EEM!$B256="","",CALC_EEM!S256)</f>
      </c>
      <c r="T263">
        <f>IF(CALC_EEM!$B256="","",CALC_EEM!T256)</f>
      </c>
      <c r="U263">
        <f>IF(CALC_EEM!$B256="","",CALC_EEM!U256)</f>
      </c>
    </row>
    <row r="264" spans="1:24">
      <c r="A264" t="str">
        <f>IF(CALC_EEM!$B257="","",IF(CALC_EEM!A257="GLOBAL","GLOBAL",IF(CALC_EEM!C257="Total","CURSO_TOTAL",IF(CALC_EEM!C257="TotalEsp","CURSO_ESP",IF(CALC_EEM!C257="TotalNoEsp","CURSO_NOESP","CURSO_ASIG")))))</f>
      </c>
      <c r="B264" t="str">
        <f>IF(CALC_EEM!$B257="","",CALC_EEM!A257)</f>
      </c>
      <c r="C264" t="str">
        <f>IF(CALC_EEM!$B257="","",CALC_EEM!B257)</f>
      </c>
      <c r="D264">
        <f>IF(CALC_EEM!$B257="","",CALC_EEM!D257)</f>
      </c>
      <c r="E264" s="14" t="str">
        <f>IF(CALC_EEM!$B257="","",CALC_EEM!E257)</f>
      </c>
      <c r="F264" s="14" t="str">
        <f>IF(CALC_EEM!$B257="","",CALC_EEM!F257)</f>
      </c>
      <c r="G264" t="str">
        <f>IF(CALC_EEM!$B257="","",CALC_EEM!G257)</f>
      </c>
      <c r="H264" s="16" t="str">
        <f>IF(CALC_EEM!$B257="","",CALC_EEM!H257)</f>
      </c>
      <c r="I264" s="16" t="str">
        <f>IF(CALC_EEM!$B257="","",CALC_EEM!I257)</f>
      </c>
      <c r="J264" t="str">
        <f>IF(CALC_EEM!$B257="","",CALC_EEM!J257)</f>
      </c>
      <c r="K264" t="str">
        <f>IF(CALC_EEM!$B257="","",CALC_EEM!K257)</f>
      </c>
      <c r="L264">
        <f>IF(CALC_EEM!$B257="","",CALC_EEM!L257)</f>
      </c>
      <c r="M264">
        <f>IF(CALC_EEM!$B257="","",CALC_EEM!M257)</f>
      </c>
      <c r="N264">
        <f>IF(CALC_EEM!$B257="","",CALC_EEM!N257)</f>
      </c>
      <c r="O264">
        <f>IF(CALC_EEM!$B257="","",CALC_EEM!O257)</f>
      </c>
      <c r="P264">
        <f>IF(CALC_EEM!$B257="","",CALC_EEM!P257)</f>
      </c>
      <c r="Q264">
        <f>IF(CALC_EEM!$B257="","",CALC_EEM!Q257)</f>
      </c>
      <c r="R264">
        <f>IF(CALC_EEM!$B257="","",CALC_EEM!R257)</f>
      </c>
      <c r="S264">
        <f>IF(CALC_EEM!$B257="","",CALC_EEM!S257)</f>
      </c>
      <c r="T264">
        <f>IF(CALC_EEM!$B257="","",CALC_EEM!T257)</f>
      </c>
      <c r="U264">
        <f>IF(CALC_EEM!$B257="","",CALC_EEM!U257)</f>
      </c>
    </row>
    <row r="265" spans="1:24">
      <c r="A265" t="str">
        <f>IF(CALC_EEM!$B258="","",IF(CALC_EEM!A258="GLOBAL","GLOBAL",IF(CALC_EEM!C258="Total","CURSO_TOTAL",IF(CALC_EEM!C258="TotalEsp","CURSO_ESP",IF(CALC_EEM!C258="TotalNoEsp","CURSO_NOESP","CURSO_ASIG")))))</f>
      </c>
      <c r="B265" t="str">
        <f>IF(CALC_EEM!$B258="","",CALC_EEM!A258)</f>
      </c>
      <c r="C265" t="str">
        <f>IF(CALC_EEM!$B258="","",CALC_EEM!B258)</f>
      </c>
      <c r="D265">
        <f>IF(CALC_EEM!$B258="","",CALC_EEM!D258)</f>
      </c>
      <c r="E265" s="14" t="str">
        <f>IF(CALC_EEM!$B258="","",CALC_EEM!E258)</f>
      </c>
      <c r="F265" s="14" t="str">
        <f>IF(CALC_EEM!$B258="","",CALC_EEM!F258)</f>
      </c>
      <c r="G265" t="str">
        <f>IF(CALC_EEM!$B258="","",CALC_EEM!G258)</f>
      </c>
      <c r="H265" s="16" t="str">
        <f>IF(CALC_EEM!$B258="","",CALC_EEM!H258)</f>
      </c>
      <c r="I265" s="16" t="str">
        <f>IF(CALC_EEM!$B258="","",CALC_EEM!I258)</f>
      </c>
      <c r="J265" t="str">
        <f>IF(CALC_EEM!$B258="","",CALC_EEM!J258)</f>
      </c>
      <c r="K265" t="str">
        <f>IF(CALC_EEM!$B258="","",CALC_EEM!K258)</f>
      </c>
      <c r="L265">
        <f>IF(CALC_EEM!$B258="","",CALC_EEM!L258)</f>
      </c>
      <c r="M265">
        <f>IF(CALC_EEM!$B258="","",CALC_EEM!M258)</f>
      </c>
      <c r="N265">
        <f>IF(CALC_EEM!$B258="","",CALC_EEM!N258)</f>
      </c>
      <c r="O265">
        <f>IF(CALC_EEM!$B258="","",CALC_EEM!O258)</f>
      </c>
      <c r="P265">
        <f>IF(CALC_EEM!$B258="","",CALC_EEM!P258)</f>
      </c>
      <c r="Q265">
        <f>IF(CALC_EEM!$B258="","",CALC_EEM!Q258)</f>
      </c>
      <c r="R265">
        <f>IF(CALC_EEM!$B258="","",CALC_EEM!R258)</f>
      </c>
      <c r="S265">
        <f>IF(CALC_EEM!$B258="","",CALC_EEM!S258)</f>
      </c>
      <c r="T265">
        <f>IF(CALC_EEM!$B258="","",CALC_EEM!T258)</f>
      </c>
      <c r="U265">
        <f>IF(CALC_EEM!$B258="","",CALC_EEM!U258)</f>
      </c>
    </row>
    <row r="266" spans="1:24">
      <c r="A266" t="str">
        <f>IF(CALC_EEM!$B259="","",IF(CALC_EEM!A259="GLOBAL","GLOBAL",IF(CALC_EEM!C259="Total","CURSO_TOTAL",IF(CALC_EEM!C259="TotalEsp","CURSO_ESP",IF(CALC_EEM!C259="TotalNoEsp","CURSO_NOESP","CURSO_ASIG")))))</f>
      </c>
      <c r="B266" t="str">
        <f>IF(CALC_EEM!$B259="","",CALC_EEM!A259)</f>
      </c>
      <c r="C266" t="str">
        <f>IF(CALC_EEM!$B259="","",CALC_EEM!B259)</f>
      </c>
      <c r="D266">
        <f>IF(CALC_EEM!$B259="","",CALC_EEM!D259)</f>
      </c>
      <c r="E266" s="14" t="str">
        <f>IF(CALC_EEM!$B259="","",CALC_EEM!E259)</f>
      </c>
      <c r="F266" s="14" t="str">
        <f>IF(CALC_EEM!$B259="","",CALC_EEM!F259)</f>
      </c>
      <c r="G266" t="str">
        <f>IF(CALC_EEM!$B259="","",CALC_EEM!G259)</f>
      </c>
      <c r="H266" s="16" t="str">
        <f>IF(CALC_EEM!$B259="","",CALC_EEM!H259)</f>
      </c>
      <c r="I266" s="16" t="str">
        <f>IF(CALC_EEM!$B259="","",CALC_EEM!I259)</f>
      </c>
      <c r="J266" t="str">
        <f>IF(CALC_EEM!$B259="","",CALC_EEM!J259)</f>
      </c>
      <c r="K266" t="str">
        <f>IF(CALC_EEM!$B259="","",CALC_EEM!K259)</f>
      </c>
      <c r="L266">
        <f>IF(CALC_EEM!$B259="","",CALC_EEM!L259)</f>
      </c>
      <c r="M266">
        <f>IF(CALC_EEM!$B259="","",CALC_EEM!M259)</f>
      </c>
      <c r="N266">
        <f>IF(CALC_EEM!$B259="","",CALC_EEM!N259)</f>
      </c>
      <c r="O266">
        <f>IF(CALC_EEM!$B259="","",CALC_EEM!O259)</f>
      </c>
      <c r="P266">
        <f>IF(CALC_EEM!$B259="","",CALC_EEM!P259)</f>
      </c>
      <c r="Q266">
        <f>IF(CALC_EEM!$B259="","",CALC_EEM!Q259)</f>
      </c>
      <c r="R266">
        <f>IF(CALC_EEM!$B259="","",CALC_EEM!R259)</f>
      </c>
      <c r="S266">
        <f>IF(CALC_EEM!$B259="","",CALC_EEM!S259)</f>
      </c>
      <c r="T266">
        <f>IF(CALC_EEM!$B259="","",CALC_EEM!T259)</f>
      </c>
      <c r="U266">
        <f>IF(CALC_EEM!$B259="","",CALC_EEM!U259)</f>
      </c>
    </row>
    <row r="267" spans="1:24">
      <c r="A267" t="str">
        <f>IF(CALC_EEM!$B260="","",IF(CALC_EEM!A260="GLOBAL","GLOBAL",IF(CALC_EEM!C260="Total","CURSO_TOTAL",IF(CALC_EEM!C260="TotalEsp","CURSO_ESP",IF(CALC_EEM!C260="TotalNoEsp","CURSO_NOESP","CURSO_ASIG")))))</f>
      </c>
      <c r="B267" t="str">
        <f>IF(CALC_EEM!$B260="","",CALC_EEM!A260)</f>
      </c>
      <c r="C267" t="str">
        <f>IF(CALC_EEM!$B260="","",CALC_EEM!B260)</f>
      </c>
      <c r="D267">
        <f>IF(CALC_EEM!$B260="","",CALC_EEM!D260)</f>
      </c>
      <c r="E267" s="14" t="str">
        <f>IF(CALC_EEM!$B260="","",CALC_EEM!E260)</f>
      </c>
      <c r="F267" s="14" t="str">
        <f>IF(CALC_EEM!$B260="","",CALC_EEM!F260)</f>
      </c>
      <c r="G267" t="str">
        <f>IF(CALC_EEM!$B260="","",CALC_EEM!G260)</f>
      </c>
      <c r="H267" s="16" t="str">
        <f>IF(CALC_EEM!$B260="","",CALC_EEM!H260)</f>
      </c>
      <c r="I267" s="16" t="str">
        <f>IF(CALC_EEM!$B260="","",CALC_EEM!I260)</f>
      </c>
      <c r="J267" t="str">
        <f>IF(CALC_EEM!$B260="","",CALC_EEM!J260)</f>
      </c>
      <c r="K267" t="str">
        <f>IF(CALC_EEM!$B260="","",CALC_EEM!K260)</f>
      </c>
      <c r="L267">
        <f>IF(CALC_EEM!$B260="","",CALC_EEM!L260)</f>
      </c>
      <c r="M267">
        <f>IF(CALC_EEM!$B260="","",CALC_EEM!M260)</f>
      </c>
      <c r="N267">
        <f>IF(CALC_EEM!$B260="","",CALC_EEM!N260)</f>
      </c>
      <c r="O267">
        <f>IF(CALC_EEM!$B260="","",CALC_EEM!O260)</f>
      </c>
      <c r="P267">
        <f>IF(CALC_EEM!$B260="","",CALC_EEM!P260)</f>
      </c>
      <c r="Q267">
        <f>IF(CALC_EEM!$B260="","",CALC_EEM!Q260)</f>
      </c>
      <c r="R267">
        <f>IF(CALC_EEM!$B260="","",CALC_EEM!R260)</f>
      </c>
      <c r="S267">
        <f>IF(CALC_EEM!$B260="","",CALC_EEM!S260)</f>
      </c>
      <c r="T267">
        <f>IF(CALC_EEM!$B260="","",CALC_EEM!T260)</f>
      </c>
      <c r="U267">
        <f>IF(CALC_EEM!$B260="","",CALC_EEM!U260)</f>
      </c>
    </row>
    <row r="268" spans="1:24">
      <c r="A268" t="str">
        <f>IF(CALC_EEM!$B261="","",IF(CALC_EEM!A261="GLOBAL","GLOBAL",IF(CALC_EEM!C261="Total","CURSO_TOTAL",IF(CALC_EEM!C261="TotalEsp","CURSO_ESP",IF(CALC_EEM!C261="TotalNoEsp","CURSO_NOESP","CURSO_ASIG")))))</f>
      </c>
      <c r="B268" t="str">
        <f>IF(CALC_EEM!$B261="","",CALC_EEM!A261)</f>
      </c>
      <c r="C268" t="str">
        <f>IF(CALC_EEM!$B261="","",CALC_EEM!B261)</f>
      </c>
      <c r="D268">
        <f>IF(CALC_EEM!$B261="","",CALC_EEM!D261)</f>
      </c>
      <c r="E268" s="14" t="str">
        <f>IF(CALC_EEM!$B261="","",CALC_EEM!E261)</f>
      </c>
      <c r="F268" s="14" t="str">
        <f>IF(CALC_EEM!$B261="","",CALC_EEM!F261)</f>
      </c>
      <c r="G268" t="str">
        <f>IF(CALC_EEM!$B261="","",CALC_EEM!G261)</f>
      </c>
      <c r="H268" s="16" t="str">
        <f>IF(CALC_EEM!$B261="","",CALC_EEM!H261)</f>
      </c>
      <c r="I268" s="16" t="str">
        <f>IF(CALC_EEM!$B261="","",CALC_EEM!I261)</f>
      </c>
      <c r="J268" t="str">
        <f>IF(CALC_EEM!$B261="","",CALC_EEM!J261)</f>
      </c>
      <c r="K268" t="str">
        <f>IF(CALC_EEM!$B261="","",CALC_EEM!K261)</f>
      </c>
      <c r="L268">
        <f>IF(CALC_EEM!$B261="","",CALC_EEM!L261)</f>
      </c>
      <c r="M268">
        <f>IF(CALC_EEM!$B261="","",CALC_EEM!M261)</f>
      </c>
      <c r="N268">
        <f>IF(CALC_EEM!$B261="","",CALC_EEM!N261)</f>
      </c>
      <c r="O268">
        <f>IF(CALC_EEM!$B261="","",CALC_EEM!O261)</f>
      </c>
      <c r="P268">
        <f>IF(CALC_EEM!$B261="","",CALC_EEM!P261)</f>
      </c>
      <c r="Q268">
        <f>IF(CALC_EEM!$B261="","",CALC_EEM!Q261)</f>
      </c>
      <c r="R268">
        <f>IF(CALC_EEM!$B261="","",CALC_EEM!R261)</f>
      </c>
      <c r="S268">
        <f>IF(CALC_EEM!$B261="","",CALC_EEM!S261)</f>
      </c>
      <c r="T268">
        <f>IF(CALC_EEM!$B261="","",CALC_EEM!T261)</f>
      </c>
      <c r="U268">
        <f>IF(CALC_EEM!$B261="","",CALC_EEM!U261)</f>
      </c>
    </row>
    <row r="269" spans="1:24">
      <c r="A269" t="str">
        <f>IF(CALC_EEM!$B262="","",IF(CALC_EEM!A262="GLOBAL","GLOBAL",IF(CALC_EEM!C262="Total","CURSO_TOTAL",IF(CALC_EEM!C262="TotalEsp","CURSO_ESP",IF(CALC_EEM!C262="TotalNoEsp","CURSO_NOESP","CURSO_ASIG")))))</f>
      </c>
      <c r="B269" t="str">
        <f>IF(CALC_EEM!$B262="","",CALC_EEM!A262)</f>
      </c>
      <c r="C269" t="str">
        <f>IF(CALC_EEM!$B262="","",CALC_EEM!B262)</f>
      </c>
      <c r="D269">
        <f>IF(CALC_EEM!$B262="","",CALC_EEM!D262)</f>
      </c>
      <c r="E269" s="14" t="str">
        <f>IF(CALC_EEM!$B262="","",CALC_EEM!E262)</f>
      </c>
      <c r="F269" s="14" t="str">
        <f>IF(CALC_EEM!$B262="","",CALC_EEM!F262)</f>
      </c>
      <c r="G269" t="str">
        <f>IF(CALC_EEM!$B262="","",CALC_EEM!G262)</f>
      </c>
      <c r="H269" s="16" t="str">
        <f>IF(CALC_EEM!$B262="","",CALC_EEM!H262)</f>
      </c>
      <c r="I269" s="16" t="str">
        <f>IF(CALC_EEM!$B262="","",CALC_EEM!I262)</f>
      </c>
      <c r="J269" t="str">
        <f>IF(CALC_EEM!$B262="","",CALC_EEM!J262)</f>
      </c>
      <c r="K269" t="str">
        <f>IF(CALC_EEM!$B262="","",CALC_EEM!K262)</f>
      </c>
      <c r="L269">
        <f>IF(CALC_EEM!$B262="","",CALC_EEM!L262)</f>
      </c>
      <c r="M269">
        <f>IF(CALC_EEM!$B262="","",CALC_EEM!M262)</f>
      </c>
      <c r="N269">
        <f>IF(CALC_EEM!$B262="","",CALC_EEM!N262)</f>
      </c>
      <c r="O269">
        <f>IF(CALC_EEM!$B262="","",CALC_EEM!O262)</f>
      </c>
      <c r="P269">
        <f>IF(CALC_EEM!$B262="","",CALC_EEM!P262)</f>
      </c>
      <c r="Q269">
        <f>IF(CALC_EEM!$B262="","",CALC_EEM!Q262)</f>
      </c>
      <c r="R269">
        <f>IF(CALC_EEM!$B262="","",CALC_EEM!R262)</f>
      </c>
      <c r="S269">
        <f>IF(CALC_EEM!$B262="","",CALC_EEM!S262)</f>
      </c>
      <c r="T269">
        <f>IF(CALC_EEM!$B262="","",CALC_EEM!T262)</f>
      </c>
      <c r="U269">
        <f>IF(CALC_EEM!$B262="","",CALC_EEM!U262)</f>
      </c>
    </row>
    <row r="270" spans="1:24">
      <c r="A270" t="str">
        <f>IF(CALC_EEM!$B263="","",IF(CALC_EEM!A263="GLOBAL","GLOBAL",IF(CALC_EEM!C263="Total","CURSO_TOTAL",IF(CALC_EEM!C263="TotalEsp","CURSO_ESP",IF(CALC_EEM!C263="TotalNoEsp","CURSO_NOESP","CURSO_ASIG")))))</f>
      </c>
      <c r="B270" t="str">
        <f>IF(CALC_EEM!$B263="","",CALC_EEM!A263)</f>
      </c>
      <c r="C270" t="str">
        <f>IF(CALC_EEM!$B263="","",CALC_EEM!B263)</f>
      </c>
      <c r="D270">
        <f>IF(CALC_EEM!$B263="","",CALC_EEM!D263)</f>
      </c>
      <c r="E270" s="14" t="str">
        <f>IF(CALC_EEM!$B263="","",CALC_EEM!E263)</f>
      </c>
      <c r="F270" s="14" t="str">
        <f>IF(CALC_EEM!$B263="","",CALC_EEM!F263)</f>
      </c>
      <c r="G270" t="str">
        <f>IF(CALC_EEM!$B263="","",CALC_EEM!G263)</f>
      </c>
      <c r="H270" s="16" t="str">
        <f>IF(CALC_EEM!$B263="","",CALC_EEM!H263)</f>
      </c>
      <c r="I270" s="16" t="str">
        <f>IF(CALC_EEM!$B263="","",CALC_EEM!I263)</f>
      </c>
      <c r="J270" t="str">
        <f>IF(CALC_EEM!$B263="","",CALC_EEM!J263)</f>
      </c>
      <c r="K270" t="str">
        <f>IF(CALC_EEM!$B263="","",CALC_EEM!K263)</f>
      </c>
      <c r="L270">
        <f>IF(CALC_EEM!$B263="","",CALC_EEM!L263)</f>
      </c>
      <c r="M270">
        <f>IF(CALC_EEM!$B263="","",CALC_EEM!M263)</f>
      </c>
      <c r="N270">
        <f>IF(CALC_EEM!$B263="","",CALC_EEM!N263)</f>
      </c>
      <c r="O270">
        <f>IF(CALC_EEM!$B263="","",CALC_EEM!O263)</f>
      </c>
      <c r="P270">
        <f>IF(CALC_EEM!$B263="","",CALC_EEM!P263)</f>
      </c>
      <c r="Q270">
        <f>IF(CALC_EEM!$B263="","",CALC_EEM!Q263)</f>
      </c>
      <c r="R270">
        <f>IF(CALC_EEM!$B263="","",CALC_EEM!R263)</f>
      </c>
      <c r="S270">
        <f>IF(CALC_EEM!$B263="","",CALC_EEM!S263)</f>
      </c>
      <c r="T270">
        <f>IF(CALC_EEM!$B263="","",CALC_EEM!T263)</f>
      </c>
      <c r="U270">
        <f>IF(CALC_EEM!$B263="","",CALC_EEM!U263)</f>
      </c>
    </row>
    <row r="271" spans="1:24">
      <c r="A271" t="str">
        <f>IF(CALC_EEM!$B264="","",IF(CALC_EEM!A264="GLOBAL","GLOBAL",IF(CALC_EEM!C264="Total","CURSO_TOTAL",IF(CALC_EEM!C264="TotalEsp","CURSO_ESP",IF(CALC_EEM!C264="TotalNoEsp","CURSO_NOESP","CURSO_ASIG")))))</f>
      </c>
      <c r="B271" t="str">
        <f>IF(CALC_EEM!$B264="","",CALC_EEM!A264)</f>
      </c>
      <c r="C271" t="str">
        <f>IF(CALC_EEM!$B264="","",CALC_EEM!B264)</f>
      </c>
      <c r="D271">
        <f>IF(CALC_EEM!$B264="","",CALC_EEM!D264)</f>
      </c>
      <c r="E271" s="14" t="str">
        <f>IF(CALC_EEM!$B264="","",CALC_EEM!E264)</f>
      </c>
      <c r="F271" s="14" t="str">
        <f>IF(CALC_EEM!$B264="","",CALC_EEM!F264)</f>
      </c>
      <c r="G271" t="str">
        <f>IF(CALC_EEM!$B264="","",CALC_EEM!G264)</f>
      </c>
      <c r="H271" s="16" t="str">
        <f>IF(CALC_EEM!$B264="","",CALC_EEM!H264)</f>
      </c>
      <c r="I271" s="16" t="str">
        <f>IF(CALC_EEM!$B264="","",CALC_EEM!I264)</f>
      </c>
      <c r="J271" t="str">
        <f>IF(CALC_EEM!$B264="","",CALC_EEM!J264)</f>
      </c>
      <c r="K271" t="str">
        <f>IF(CALC_EEM!$B264="","",CALC_EEM!K264)</f>
      </c>
      <c r="L271">
        <f>IF(CALC_EEM!$B264="","",CALC_EEM!L264)</f>
      </c>
      <c r="M271">
        <f>IF(CALC_EEM!$B264="","",CALC_EEM!M264)</f>
      </c>
      <c r="N271">
        <f>IF(CALC_EEM!$B264="","",CALC_EEM!N264)</f>
      </c>
      <c r="O271">
        <f>IF(CALC_EEM!$B264="","",CALC_EEM!O264)</f>
      </c>
      <c r="P271">
        <f>IF(CALC_EEM!$B264="","",CALC_EEM!P264)</f>
      </c>
      <c r="Q271">
        <f>IF(CALC_EEM!$B264="","",CALC_EEM!Q264)</f>
      </c>
      <c r="R271">
        <f>IF(CALC_EEM!$B264="","",CALC_EEM!R264)</f>
      </c>
      <c r="S271">
        <f>IF(CALC_EEM!$B264="","",CALC_EEM!S264)</f>
      </c>
      <c r="T271">
        <f>IF(CALC_EEM!$B264="","",CALC_EEM!T264)</f>
      </c>
      <c r="U271">
        <f>IF(CALC_EEM!$B264="","",CALC_EEM!U264)</f>
      </c>
    </row>
    <row r="272" spans="1:24">
      <c r="A272" t="str">
        <f>IF(CALC_EEM!$B265="","",IF(CALC_EEM!A265="GLOBAL","GLOBAL",IF(CALC_EEM!C265="Total","CURSO_TOTAL",IF(CALC_EEM!C265="TotalEsp","CURSO_ESP",IF(CALC_EEM!C265="TotalNoEsp","CURSO_NOESP","CURSO_ASIG")))))</f>
      </c>
      <c r="B272" t="str">
        <f>IF(CALC_EEM!$B265="","",CALC_EEM!A265)</f>
      </c>
      <c r="C272" t="str">
        <f>IF(CALC_EEM!$B265="","",CALC_EEM!B265)</f>
      </c>
      <c r="D272">
        <f>IF(CALC_EEM!$B265="","",CALC_EEM!D265)</f>
      </c>
      <c r="E272" s="14" t="str">
        <f>IF(CALC_EEM!$B265="","",CALC_EEM!E265)</f>
      </c>
      <c r="F272" s="14" t="str">
        <f>IF(CALC_EEM!$B265="","",CALC_EEM!F265)</f>
      </c>
      <c r="G272" t="str">
        <f>IF(CALC_EEM!$B265="","",CALC_EEM!G265)</f>
      </c>
      <c r="H272" s="16" t="str">
        <f>IF(CALC_EEM!$B265="","",CALC_EEM!H265)</f>
      </c>
      <c r="I272" s="16" t="str">
        <f>IF(CALC_EEM!$B265="","",CALC_EEM!I265)</f>
      </c>
      <c r="J272" t="str">
        <f>IF(CALC_EEM!$B265="","",CALC_EEM!J265)</f>
      </c>
      <c r="K272" t="str">
        <f>IF(CALC_EEM!$B265="","",CALC_EEM!K265)</f>
      </c>
      <c r="L272">
        <f>IF(CALC_EEM!$B265="","",CALC_EEM!L265)</f>
      </c>
      <c r="M272">
        <f>IF(CALC_EEM!$B265="","",CALC_EEM!M265)</f>
      </c>
      <c r="N272">
        <f>IF(CALC_EEM!$B265="","",CALC_EEM!N265)</f>
      </c>
      <c r="O272">
        <f>IF(CALC_EEM!$B265="","",CALC_EEM!O265)</f>
      </c>
      <c r="P272">
        <f>IF(CALC_EEM!$B265="","",CALC_EEM!P265)</f>
      </c>
      <c r="Q272">
        <f>IF(CALC_EEM!$B265="","",CALC_EEM!Q265)</f>
      </c>
      <c r="R272">
        <f>IF(CALC_EEM!$B265="","",CALC_EEM!R265)</f>
      </c>
      <c r="S272">
        <f>IF(CALC_EEM!$B265="","",CALC_EEM!S265)</f>
      </c>
      <c r="T272">
        <f>IF(CALC_EEM!$B265="","",CALC_EEM!T265)</f>
      </c>
      <c r="U272">
        <f>IF(CALC_EEM!$B265="","",CALC_EEM!U265)</f>
      </c>
    </row>
    <row r="273" spans="1:24">
      <c r="A273" t="str">
        <f>IF(CALC_EEM!$B266="","",IF(CALC_EEM!A266="GLOBAL","GLOBAL",IF(CALC_EEM!C266="Total","CURSO_TOTAL",IF(CALC_EEM!C266="TotalEsp","CURSO_ESP",IF(CALC_EEM!C266="TotalNoEsp","CURSO_NOESP","CURSO_ASIG")))))</f>
      </c>
      <c r="B273" t="str">
        <f>IF(CALC_EEM!$B266="","",CALC_EEM!A266)</f>
      </c>
      <c r="C273" t="str">
        <f>IF(CALC_EEM!$B266="","",CALC_EEM!B266)</f>
      </c>
      <c r="D273">
        <f>IF(CALC_EEM!$B266="","",CALC_EEM!D266)</f>
      </c>
      <c r="E273" s="14" t="str">
        <f>IF(CALC_EEM!$B266="","",CALC_EEM!E266)</f>
      </c>
      <c r="F273" s="14" t="str">
        <f>IF(CALC_EEM!$B266="","",CALC_EEM!F266)</f>
      </c>
      <c r="G273" t="str">
        <f>IF(CALC_EEM!$B266="","",CALC_EEM!G266)</f>
      </c>
      <c r="H273" s="16" t="str">
        <f>IF(CALC_EEM!$B266="","",CALC_EEM!H266)</f>
      </c>
      <c r="I273" s="16" t="str">
        <f>IF(CALC_EEM!$B266="","",CALC_EEM!I266)</f>
      </c>
      <c r="J273" t="str">
        <f>IF(CALC_EEM!$B266="","",CALC_EEM!J266)</f>
      </c>
      <c r="K273" t="str">
        <f>IF(CALC_EEM!$B266="","",CALC_EEM!K266)</f>
      </c>
      <c r="L273">
        <f>IF(CALC_EEM!$B266="","",CALC_EEM!L266)</f>
      </c>
      <c r="M273">
        <f>IF(CALC_EEM!$B266="","",CALC_EEM!M266)</f>
      </c>
      <c r="N273">
        <f>IF(CALC_EEM!$B266="","",CALC_EEM!N266)</f>
      </c>
      <c r="O273">
        <f>IF(CALC_EEM!$B266="","",CALC_EEM!O266)</f>
      </c>
      <c r="P273">
        <f>IF(CALC_EEM!$B266="","",CALC_EEM!P266)</f>
      </c>
      <c r="Q273">
        <f>IF(CALC_EEM!$B266="","",CALC_EEM!Q266)</f>
      </c>
      <c r="R273">
        <f>IF(CALC_EEM!$B266="","",CALC_EEM!R266)</f>
      </c>
      <c r="S273">
        <f>IF(CALC_EEM!$B266="","",CALC_EEM!S266)</f>
      </c>
      <c r="T273">
        <f>IF(CALC_EEM!$B266="","",CALC_EEM!T266)</f>
      </c>
      <c r="U273">
        <f>IF(CALC_EEM!$B266="","",CALC_EEM!U266)</f>
      </c>
    </row>
    <row r="274" spans="1:24">
      <c r="A274" t="str">
        <f>IF(CALC_EEM!$B267="","",IF(CALC_EEM!A267="GLOBAL","GLOBAL",IF(CALC_EEM!C267="Total","CURSO_TOTAL",IF(CALC_EEM!C267="TotalEsp","CURSO_ESP",IF(CALC_EEM!C267="TotalNoEsp","CURSO_NOESP","CURSO_ASIG")))))</f>
      </c>
      <c r="B274" t="str">
        <f>IF(CALC_EEM!$B267="","",CALC_EEM!A267)</f>
      </c>
      <c r="C274" t="str">
        <f>IF(CALC_EEM!$B267="","",CALC_EEM!B267)</f>
      </c>
      <c r="D274">
        <f>IF(CALC_EEM!$B267="","",CALC_EEM!D267)</f>
      </c>
      <c r="E274" s="14" t="str">
        <f>IF(CALC_EEM!$B267="","",CALC_EEM!E267)</f>
      </c>
      <c r="F274" s="14" t="str">
        <f>IF(CALC_EEM!$B267="","",CALC_EEM!F267)</f>
      </c>
      <c r="G274" t="str">
        <f>IF(CALC_EEM!$B267="","",CALC_EEM!G267)</f>
      </c>
      <c r="H274" s="16" t="str">
        <f>IF(CALC_EEM!$B267="","",CALC_EEM!H267)</f>
      </c>
      <c r="I274" s="16" t="str">
        <f>IF(CALC_EEM!$B267="","",CALC_EEM!I267)</f>
      </c>
      <c r="J274" t="str">
        <f>IF(CALC_EEM!$B267="","",CALC_EEM!J267)</f>
      </c>
      <c r="K274" t="str">
        <f>IF(CALC_EEM!$B267="","",CALC_EEM!K267)</f>
      </c>
      <c r="L274">
        <f>IF(CALC_EEM!$B267="","",CALC_EEM!L267)</f>
      </c>
      <c r="M274">
        <f>IF(CALC_EEM!$B267="","",CALC_EEM!M267)</f>
      </c>
      <c r="N274">
        <f>IF(CALC_EEM!$B267="","",CALC_EEM!N267)</f>
      </c>
      <c r="O274">
        <f>IF(CALC_EEM!$B267="","",CALC_EEM!O267)</f>
      </c>
      <c r="P274">
        <f>IF(CALC_EEM!$B267="","",CALC_EEM!P267)</f>
      </c>
      <c r="Q274">
        <f>IF(CALC_EEM!$B267="","",CALC_EEM!Q267)</f>
      </c>
      <c r="R274">
        <f>IF(CALC_EEM!$B267="","",CALC_EEM!R267)</f>
      </c>
      <c r="S274">
        <f>IF(CALC_EEM!$B267="","",CALC_EEM!S267)</f>
      </c>
      <c r="T274">
        <f>IF(CALC_EEM!$B267="","",CALC_EEM!T267)</f>
      </c>
      <c r="U274">
        <f>IF(CALC_EEM!$B267="","",CALC_EEM!U267)</f>
      </c>
    </row>
    <row r="275" spans="1:24">
      <c r="A275" t="str">
        <f>IF(CALC_EEM!$B268="","",IF(CALC_EEM!A268="GLOBAL","GLOBAL",IF(CALC_EEM!C268="Total","CURSO_TOTAL",IF(CALC_EEM!C268="TotalEsp","CURSO_ESP",IF(CALC_EEM!C268="TotalNoEsp","CURSO_NOESP","CURSO_ASIG")))))</f>
      </c>
      <c r="B275" t="str">
        <f>IF(CALC_EEM!$B268="","",CALC_EEM!A268)</f>
      </c>
      <c r="C275" t="str">
        <f>IF(CALC_EEM!$B268="","",CALC_EEM!B268)</f>
      </c>
      <c r="D275">
        <f>IF(CALC_EEM!$B268="","",CALC_EEM!D268)</f>
      </c>
      <c r="E275" s="14" t="str">
        <f>IF(CALC_EEM!$B268="","",CALC_EEM!E268)</f>
      </c>
      <c r="F275" s="14" t="str">
        <f>IF(CALC_EEM!$B268="","",CALC_EEM!F268)</f>
      </c>
      <c r="G275" t="str">
        <f>IF(CALC_EEM!$B268="","",CALC_EEM!G268)</f>
      </c>
      <c r="H275" s="16" t="str">
        <f>IF(CALC_EEM!$B268="","",CALC_EEM!H268)</f>
      </c>
      <c r="I275" s="16" t="str">
        <f>IF(CALC_EEM!$B268="","",CALC_EEM!I268)</f>
      </c>
      <c r="J275" t="str">
        <f>IF(CALC_EEM!$B268="","",CALC_EEM!J268)</f>
      </c>
      <c r="K275" t="str">
        <f>IF(CALC_EEM!$B268="","",CALC_EEM!K268)</f>
      </c>
      <c r="L275">
        <f>IF(CALC_EEM!$B268="","",CALC_EEM!L268)</f>
      </c>
      <c r="M275">
        <f>IF(CALC_EEM!$B268="","",CALC_EEM!M268)</f>
      </c>
      <c r="N275">
        <f>IF(CALC_EEM!$B268="","",CALC_EEM!N268)</f>
      </c>
      <c r="O275">
        <f>IF(CALC_EEM!$B268="","",CALC_EEM!O268)</f>
      </c>
      <c r="P275">
        <f>IF(CALC_EEM!$B268="","",CALC_EEM!P268)</f>
      </c>
      <c r="Q275">
        <f>IF(CALC_EEM!$B268="","",CALC_EEM!Q268)</f>
      </c>
      <c r="R275">
        <f>IF(CALC_EEM!$B268="","",CALC_EEM!R268)</f>
      </c>
      <c r="S275">
        <f>IF(CALC_EEM!$B268="","",CALC_EEM!S268)</f>
      </c>
      <c r="T275">
        <f>IF(CALC_EEM!$B268="","",CALC_EEM!T268)</f>
      </c>
      <c r="U275">
        <f>IF(CALC_EEM!$B268="","",CALC_EEM!U268)</f>
      </c>
    </row>
    <row r="276" spans="1:24">
      <c r="A276" t="str">
        <f>IF(CALC_EEM!$B269="","",IF(CALC_EEM!A269="GLOBAL","GLOBAL",IF(CALC_EEM!C269="Total","CURSO_TOTAL",IF(CALC_EEM!C269="TotalEsp","CURSO_ESP",IF(CALC_EEM!C269="TotalNoEsp","CURSO_NOESP","CURSO_ASIG")))))</f>
      </c>
      <c r="B276" t="str">
        <f>IF(CALC_EEM!$B269="","",CALC_EEM!A269)</f>
      </c>
      <c r="C276" t="str">
        <f>IF(CALC_EEM!$B269="","",CALC_EEM!B269)</f>
      </c>
      <c r="D276">
        <f>IF(CALC_EEM!$B269="","",CALC_EEM!D269)</f>
      </c>
      <c r="E276" s="14" t="str">
        <f>IF(CALC_EEM!$B269="","",CALC_EEM!E269)</f>
      </c>
      <c r="F276" s="14" t="str">
        <f>IF(CALC_EEM!$B269="","",CALC_EEM!F269)</f>
      </c>
      <c r="G276" t="str">
        <f>IF(CALC_EEM!$B269="","",CALC_EEM!G269)</f>
      </c>
      <c r="H276" s="16" t="str">
        <f>IF(CALC_EEM!$B269="","",CALC_EEM!H269)</f>
      </c>
      <c r="I276" s="16" t="str">
        <f>IF(CALC_EEM!$B269="","",CALC_EEM!I269)</f>
      </c>
      <c r="J276" t="str">
        <f>IF(CALC_EEM!$B269="","",CALC_EEM!J269)</f>
      </c>
      <c r="K276" t="str">
        <f>IF(CALC_EEM!$B269="","",CALC_EEM!K269)</f>
      </c>
      <c r="L276">
        <f>IF(CALC_EEM!$B269="","",CALC_EEM!L269)</f>
      </c>
      <c r="M276">
        <f>IF(CALC_EEM!$B269="","",CALC_EEM!M269)</f>
      </c>
      <c r="N276">
        <f>IF(CALC_EEM!$B269="","",CALC_EEM!N269)</f>
      </c>
      <c r="O276">
        <f>IF(CALC_EEM!$B269="","",CALC_EEM!O269)</f>
      </c>
      <c r="P276">
        <f>IF(CALC_EEM!$B269="","",CALC_EEM!P269)</f>
      </c>
      <c r="Q276">
        <f>IF(CALC_EEM!$B269="","",CALC_EEM!Q269)</f>
      </c>
      <c r="R276">
        <f>IF(CALC_EEM!$B269="","",CALC_EEM!R269)</f>
      </c>
      <c r="S276">
        <f>IF(CALC_EEM!$B269="","",CALC_EEM!S269)</f>
      </c>
      <c r="T276">
        <f>IF(CALC_EEM!$B269="","",CALC_EEM!T269)</f>
      </c>
      <c r="U276">
        <f>IF(CALC_EEM!$B269="","",CALC_EEM!U269)</f>
      </c>
    </row>
    <row r="277" spans="1:24">
      <c r="A277" t="str">
        <f>IF(CALC_EEM!$B270="","",IF(CALC_EEM!A270="GLOBAL","GLOBAL",IF(CALC_EEM!C270="Total","CURSO_TOTAL",IF(CALC_EEM!C270="TotalEsp","CURSO_ESP",IF(CALC_EEM!C270="TotalNoEsp","CURSO_NOESP","CURSO_ASIG")))))</f>
      </c>
      <c r="B277" t="str">
        <f>IF(CALC_EEM!$B270="","",CALC_EEM!A270)</f>
      </c>
      <c r="C277" t="str">
        <f>IF(CALC_EEM!$B270="","",CALC_EEM!B270)</f>
      </c>
      <c r="D277">
        <f>IF(CALC_EEM!$B270="","",CALC_EEM!D270)</f>
      </c>
      <c r="E277" s="14" t="str">
        <f>IF(CALC_EEM!$B270="","",CALC_EEM!E270)</f>
      </c>
      <c r="F277" s="14" t="str">
        <f>IF(CALC_EEM!$B270="","",CALC_EEM!F270)</f>
      </c>
      <c r="G277" t="str">
        <f>IF(CALC_EEM!$B270="","",CALC_EEM!G270)</f>
      </c>
      <c r="H277" s="16" t="str">
        <f>IF(CALC_EEM!$B270="","",CALC_EEM!H270)</f>
      </c>
      <c r="I277" s="16" t="str">
        <f>IF(CALC_EEM!$B270="","",CALC_EEM!I270)</f>
      </c>
      <c r="J277" t="str">
        <f>IF(CALC_EEM!$B270="","",CALC_EEM!J270)</f>
      </c>
      <c r="K277" t="str">
        <f>IF(CALC_EEM!$B270="","",CALC_EEM!K270)</f>
      </c>
      <c r="L277">
        <f>IF(CALC_EEM!$B270="","",CALC_EEM!L270)</f>
      </c>
      <c r="M277">
        <f>IF(CALC_EEM!$B270="","",CALC_EEM!M270)</f>
      </c>
      <c r="N277">
        <f>IF(CALC_EEM!$B270="","",CALC_EEM!N270)</f>
      </c>
      <c r="O277">
        <f>IF(CALC_EEM!$B270="","",CALC_EEM!O270)</f>
      </c>
      <c r="P277">
        <f>IF(CALC_EEM!$B270="","",CALC_EEM!P270)</f>
      </c>
      <c r="Q277">
        <f>IF(CALC_EEM!$B270="","",CALC_EEM!Q270)</f>
      </c>
      <c r="R277">
        <f>IF(CALC_EEM!$B270="","",CALC_EEM!R270)</f>
      </c>
      <c r="S277">
        <f>IF(CALC_EEM!$B270="","",CALC_EEM!S270)</f>
      </c>
      <c r="T277">
        <f>IF(CALC_EEM!$B270="","",CALC_EEM!T270)</f>
      </c>
      <c r="U277">
        <f>IF(CALC_EEM!$B270="","",CALC_EEM!U270)</f>
      </c>
    </row>
    <row r="278" spans="1:24">
      <c r="A278" t="str">
        <f>IF(CALC_EEM!$B271="","",IF(CALC_EEM!A271="GLOBAL","GLOBAL",IF(CALC_EEM!C271="Total","CURSO_TOTAL",IF(CALC_EEM!C271="TotalEsp","CURSO_ESP",IF(CALC_EEM!C271="TotalNoEsp","CURSO_NOESP","CURSO_ASIG")))))</f>
      </c>
      <c r="B278" t="str">
        <f>IF(CALC_EEM!$B271="","",CALC_EEM!A271)</f>
      </c>
      <c r="C278" t="str">
        <f>IF(CALC_EEM!$B271="","",CALC_EEM!B271)</f>
      </c>
      <c r="D278">
        <f>IF(CALC_EEM!$B271="","",CALC_EEM!D271)</f>
      </c>
      <c r="E278" s="14" t="str">
        <f>IF(CALC_EEM!$B271="","",CALC_EEM!E271)</f>
      </c>
      <c r="F278" s="14" t="str">
        <f>IF(CALC_EEM!$B271="","",CALC_EEM!F271)</f>
      </c>
      <c r="G278" t="str">
        <f>IF(CALC_EEM!$B271="","",CALC_EEM!G271)</f>
      </c>
      <c r="H278" s="16" t="str">
        <f>IF(CALC_EEM!$B271="","",CALC_EEM!H271)</f>
      </c>
      <c r="I278" s="16" t="str">
        <f>IF(CALC_EEM!$B271="","",CALC_EEM!I271)</f>
      </c>
      <c r="J278" t="str">
        <f>IF(CALC_EEM!$B271="","",CALC_EEM!J271)</f>
      </c>
      <c r="K278" t="str">
        <f>IF(CALC_EEM!$B271="","",CALC_EEM!K271)</f>
      </c>
      <c r="L278">
        <f>IF(CALC_EEM!$B271="","",CALC_EEM!L271)</f>
      </c>
      <c r="M278">
        <f>IF(CALC_EEM!$B271="","",CALC_EEM!M271)</f>
      </c>
      <c r="N278">
        <f>IF(CALC_EEM!$B271="","",CALC_EEM!N271)</f>
      </c>
      <c r="O278">
        <f>IF(CALC_EEM!$B271="","",CALC_EEM!O271)</f>
      </c>
      <c r="P278">
        <f>IF(CALC_EEM!$B271="","",CALC_EEM!P271)</f>
      </c>
      <c r="Q278">
        <f>IF(CALC_EEM!$B271="","",CALC_EEM!Q271)</f>
      </c>
      <c r="R278">
        <f>IF(CALC_EEM!$B271="","",CALC_EEM!R271)</f>
      </c>
      <c r="S278">
        <f>IF(CALC_EEM!$B271="","",CALC_EEM!S271)</f>
      </c>
      <c r="T278">
        <f>IF(CALC_EEM!$B271="","",CALC_EEM!T271)</f>
      </c>
      <c r="U278">
        <f>IF(CALC_EEM!$B271="","",CALC_EEM!U271)</f>
      </c>
    </row>
    <row r="279" spans="1:24">
      <c r="A279" t="str">
        <f>IF(CALC_EEM!$B272="","",IF(CALC_EEM!A272="GLOBAL","GLOBAL",IF(CALC_EEM!C272="Total","CURSO_TOTAL",IF(CALC_EEM!C272="TotalEsp","CURSO_ESP",IF(CALC_EEM!C272="TotalNoEsp","CURSO_NOESP","CURSO_ASIG")))))</f>
      </c>
      <c r="B279" t="str">
        <f>IF(CALC_EEM!$B272="","",CALC_EEM!A272)</f>
      </c>
      <c r="C279" t="str">
        <f>IF(CALC_EEM!$B272="","",CALC_EEM!B272)</f>
      </c>
      <c r="D279">
        <f>IF(CALC_EEM!$B272="","",CALC_EEM!D272)</f>
      </c>
      <c r="E279" s="14" t="str">
        <f>IF(CALC_EEM!$B272="","",CALC_EEM!E272)</f>
      </c>
      <c r="F279" s="14" t="str">
        <f>IF(CALC_EEM!$B272="","",CALC_EEM!F272)</f>
      </c>
      <c r="G279" t="str">
        <f>IF(CALC_EEM!$B272="","",CALC_EEM!G272)</f>
      </c>
      <c r="H279" s="16" t="str">
        <f>IF(CALC_EEM!$B272="","",CALC_EEM!H272)</f>
      </c>
      <c r="I279" s="16" t="str">
        <f>IF(CALC_EEM!$B272="","",CALC_EEM!I272)</f>
      </c>
      <c r="J279" t="str">
        <f>IF(CALC_EEM!$B272="","",CALC_EEM!J272)</f>
      </c>
      <c r="K279" t="str">
        <f>IF(CALC_EEM!$B272="","",CALC_EEM!K272)</f>
      </c>
      <c r="L279">
        <f>IF(CALC_EEM!$B272="","",CALC_EEM!L272)</f>
      </c>
      <c r="M279">
        <f>IF(CALC_EEM!$B272="","",CALC_EEM!M272)</f>
      </c>
      <c r="N279">
        <f>IF(CALC_EEM!$B272="","",CALC_EEM!N272)</f>
      </c>
      <c r="O279">
        <f>IF(CALC_EEM!$B272="","",CALC_EEM!O272)</f>
      </c>
      <c r="P279">
        <f>IF(CALC_EEM!$B272="","",CALC_EEM!P272)</f>
      </c>
      <c r="Q279">
        <f>IF(CALC_EEM!$B272="","",CALC_EEM!Q272)</f>
      </c>
      <c r="R279">
        <f>IF(CALC_EEM!$B272="","",CALC_EEM!R272)</f>
      </c>
      <c r="S279">
        <f>IF(CALC_EEM!$B272="","",CALC_EEM!S272)</f>
      </c>
      <c r="T279">
        <f>IF(CALC_EEM!$B272="","",CALC_EEM!T272)</f>
      </c>
      <c r="U279">
        <f>IF(CALC_EEM!$B272="","",CALC_EEM!U272)</f>
      </c>
    </row>
    <row r="280" spans="1:24">
      <c r="A280" t="str">
        <f>IF(CALC_EEM!$B273="","",IF(CALC_EEM!A273="GLOBAL","GLOBAL",IF(CALC_EEM!C273="Total","CURSO_TOTAL",IF(CALC_EEM!C273="TotalEsp","CURSO_ESP",IF(CALC_EEM!C273="TotalNoEsp","CURSO_NOESP","CURSO_ASIG")))))</f>
      </c>
      <c r="B280" t="str">
        <f>IF(CALC_EEM!$B273="","",CALC_EEM!A273)</f>
      </c>
      <c r="C280" t="str">
        <f>IF(CALC_EEM!$B273="","",CALC_EEM!B273)</f>
      </c>
      <c r="D280">
        <f>IF(CALC_EEM!$B273="","",CALC_EEM!D273)</f>
      </c>
      <c r="E280" s="14" t="str">
        <f>IF(CALC_EEM!$B273="","",CALC_EEM!E273)</f>
      </c>
      <c r="F280" s="14" t="str">
        <f>IF(CALC_EEM!$B273="","",CALC_EEM!F273)</f>
      </c>
      <c r="G280" t="str">
        <f>IF(CALC_EEM!$B273="","",CALC_EEM!G273)</f>
      </c>
      <c r="H280" s="16" t="str">
        <f>IF(CALC_EEM!$B273="","",CALC_EEM!H273)</f>
      </c>
      <c r="I280" s="16" t="str">
        <f>IF(CALC_EEM!$B273="","",CALC_EEM!I273)</f>
      </c>
      <c r="J280" t="str">
        <f>IF(CALC_EEM!$B273="","",CALC_EEM!J273)</f>
      </c>
      <c r="K280" t="str">
        <f>IF(CALC_EEM!$B273="","",CALC_EEM!K273)</f>
      </c>
      <c r="L280">
        <f>IF(CALC_EEM!$B273="","",CALC_EEM!L273)</f>
      </c>
      <c r="M280">
        <f>IF(CALC_EEM!$B273="","",CALC_EEM!M273)</f>
      </c>
      <c r="N280">
        <f>IF(CALC_EEM!$B273="","",CALC_EEM!N273)</f>
      </c>
      <c r="O280">
        <f>IF(CALC_EEM!$B273="","",CALC_EEM!O273)</f>
      </c>
      <c r="P280">
        <f>IF(CALC_EEM!$B273="","",CALC_EEM!P273)</f>
      </c>
      <c r="Q280">
        <f>IF(CALC_EEM!$B273="","",CALC_EEM!Q273)</f>
      </c>
      <c r="R280">
        <f>IF(CALC_EEM!$B273="","",CALC_EEM!R273)</f>
      </c>
      <c r="S280">
        <f>IF(CALC_EEM!$B273="","",CALC_EEM!S273)</f>
      </c>
      <c r="T280">
        <f>IF(CALC_EEM!$B273="","",CALC_EEM!T273)</f>
      </c>
      <c r="U280">
        <f>IF(CALC_EEM!$B273="","",CALC_EEM!U273)</f>
      </c>
    </row>
    <row r="281" spans="1:24">
      <c r="A281" t="str">
        <f>IF(CALC_EEM!$B274="","",IF(CALC_EEM!A274="GLOBAL","GLOBAL",IF(CALC_EEM!C274="Total","CURSO_TOTAL",IF(CALC_EEM!C274="TotalEsp","CURSO_ESP",IF(CALC_EEM!C274="TotalNoEsp","CURSO_NOESP","CURSO_ASIG")))))</f>
      </c>
      <c r="B281" t="str">
        <f>IF(CALC_EEM!$B274="","",CALC_EEM!A274)</f>
      </c>
      <c r="C281" t="str">
        <f>IF(CALC_EEM!$B274="","",CALC_EEM!B274)</f>
      </c>
      <c r="D281">
        <f>IF(CALC_EEM!$B274="","",CALC_EEM!D274)</f>
      </c>
      <c r="E281" s="14" t="str">
        <f>IF(CALC_EEM!$B274="","",CALC_EEM!E274)</f>
      </c>
      <c r="F281" s="14" t="str">
        <f>IF(CALC_EEM!$B274="","",CALC_EEM!F274)</f>
      </c>
      <c r="G281" t="str">
        <f>IF(CALC_EEM!$B274="","",CALC_EEM!G274)</f>
      </c>
      <c r="H281" s="16" t="str">
        <f>IF(CALC_EEM!$B274="","",CALC_EEM!H274)</f>
      </c>
      <c r="I281" s="16" t="str">
        <f>IF(CALC_EEM!$B274="","",CALC_EEM!I274)</f>
      </c>
      <c r="J281" t="str">
        <f>IF(CALC_EEM!$B274="","",CALC_EEM!J274)</f>
      </c>
      <c r="K281" t="str">
        <f>IF(CALC_EEM!$B274="","",CALC_EEM!K274)</f>
      </c>
      <c r="L281">
        <f>IF(CALC_EEM!$B274="","",CALC_EEM!L274)</f>
      </c>
      <c r="M281">
        <f>IF(CALC_EEM!$B274="","",CALC_EEM!M274)</f>
      </c>
      <c r="N281">
        <f>IF(CALC_EEM!$B274="","",CALC_EEM!N274)</f>
      </c>
      <c r="O281">
        <f>IF(CALC_EEM!$B274="","",CALC_EEM!O274)</f>
      </c>
      <c r="P281">
        <f>IF(CALC_EEM!$B274="","",CALC_EEM!P274)</f>
      </c>
      <c r="Q281">
        <f>IF(CALC_EEM!$B274="","",CALC_EEM!Q274)</f>
      </c>
      <c r="R281">
        <f>IF(CALC_EEM!$B274="","",CALC_EEM!R274)</f>
      </c>
      <c r="S281">
        <f>IF(CALC_EEM!$B274="","",CALC_EEM!S274)</f>
      </c>
      <c r="T281">
        <f>IF(CALC_EEM!$B274="","",CALC_EEM!T274)</f>
      </c>
      <c r="U281">
        <f>IF(CALC_EEM!$B274="","",CALC_EEM!U274)</f>
      </c>
    </row>
    <row r="282" spans="1:24">
      <c r="A282" t="str">
        <f>IF(CALC_EEM!$B275="","",IF(CALC_EEM!A275="GLOBAL","GLOBAL",IF(CALC_EEM!C275="Total","CURSO_TOTAL",IF(CALC_EEM!C275="TotalEsp","CURSO_ESP",IF(CALC_EEM!C275="TotalNoEsp","CURSO_NOESP","CURSO_ASIG")))))</f>
      </c>
      <c r="B282" t="str">
        <f>IF(CALC_EEM!$B275="","",CALC_EEM!A275)</f>
      </c>
      <c r="C282" t="str">
        <f>IF(CALC_EEM!$B275="","",CALC_EEM!B275)</f>
      </c>
      <c r="D282">
        <f>IF(CALC_EEM!$B275="","",CALC_EEM!D275)</f>
      </c>
      <c r="E282" s="14" t="str">
        <f>IF(CALC_EEM!$B275="","",CALC_EEM!E275)</f>
      </c>
      <c r="F282" s="14" t="str">
        <f>IF(CALC_EEM!$B275="","",CALC_EEM!F275)</f>
      </c>
      <c r="G282" t="str">
        <f>IF(CALC_EEM!$B275="","",CALC_EEM!G275)</f>
      </c>
      <c r="H282" s="16" t="str">
        <f>IF(CALC_EEM!$B275="","",CALC_EEM!H275)</f>
      </c>
      <c r="I282" s="16" t="str">
        <f>IF(CALC_EEM!$B275="","",CALC_EEM!I275)</f>
      </c>
      <c r="J282" t="str">
        <f>IF(CALC_EEM!$B275="","",CALC_EEM!J275)</f>
      </c>
      <c r="K282" t="str">
        <f>IF(CALC_EEM!$B275="","",CALC_EEM!K275)</f>
      </c>
      <c r="L282">
        <f>IF(CALC_EEM!$B275="","",CALC_EEM!L275)</f>
      </c>
      <c r="M282">
        <f>IF(CALC_EEM!$B275="","",CALC_EEM!M275)</f>
      </c>
      <c r="N282">
        <f>IF(CALC_EEM!$B275="","",CALC_EEM!N275)</f>
      </c>
      <c r="O282">
        <f>IF(CALC_EEM!$B275="","",CALC_EEM!O275)</f>
      </c>
      <c r="P282">
        <f>IF(CALC_EEM!$B275="","",CALC_EEM!P275)</f>
      </c>
      <c r="Q282">
        <f>IF(CALC_EEM!$B275="","",CALC_EEM!Q275)</f>
      </c>
      <c r="R282">
        <f>IF(CALC_EEM!$B275="","",CALC_EEM!R275)</f>
      </c>
      <c r="S282">
        <f>IF(CALC_EEM!$B275="","",CALC_EEM!S275)</f>
      </c>
      <c r="T282">
        <f>IF(CALC_EEM!$B275="","",CALC_EEM!T275)</f>
      </c>
      <c r="U282">
        <f>IF(CALC_EEM!$B275="","",CALC_EEM!U275)</f>
      </c>
    </row>
    <row r="283" spans="1:24">
      <c r="A283" t="str">
        <f>IF(CALC_EEM!$B276="","",IF(CALC_EEM!A276="GLOBAL","GLOBAL",IF(CALC_EEM!C276="Total","CURSO_TOTAL",IF(CALC_EEM!C276="TotalEsp","CURSO_ESP",IF(CALC_EEM!C276="TotalNoEsp","CURSO_NOESP","CURSO_ASIG")))))</f>
      </c>
      <c r="B283" t="str">
        <f>IF(CALC_EEM!$B276="","",CALC_EEM!A276)</f>
      </c>
      <c r="C283" t="str">
        <f>IF(CALC_EEM!$B276="","",CALC_EEM!B276)</f>
      </c>
      <c r="D283">
        <f>IF(CALC_EEM!$B276="","",CALC_EEM!D276)</f>
      </c>
      <c r="E283" s="14" t="str">
        <f>IF(CALC_EEM!$B276="","",CALC_EEM!E276)</f>
      </c>
      <c r="F283" s="14" t="str">
        <f>IF(CALC_EEM!$B276="","",CALC_EEM!F276)</f>
      </c>
      <c r="G283" t="str">
        <f>IF(CALC_EEM!$B276="","",CALC_EEM!G276)</f>
      </c>
      <c r="H283" s="16" t="str">
        <f>IF(CALC_EEM!$B276="","",CALC_EEM!H276)</f>
      </c>
      <c r="I283" s="16" t="str">
        <f>IF(CALC_EEM!$B276="","",CALC_EEM!I276)</f>
      </c>
      <c r="J283" t="str">
        <f>IF(CALC_EEM!$B276="","",CALC_EEM!J276)</f>
      </c>
      <c r="K283" t="str">
        <f>IF(CALC_EEM!$B276="","",CALC_EEM!K276)</f>
      </c>
      <c r="L283">
        <f>IF(CALC_EEM!$B276="","",CALC_EEM!L276)</f>
      </c>
      <c r="M283">
        <f>IF(CALC_EEM!$B276="","",CALC_EEM!M276)</f>
      </c>
      <c r="N283">
        <f>IF(CALC_EEM!$B276="","",CALC_EEM!N276)</f>
      </c>
      <c r="O283">
        <f>IF(CALC_EEM!$B276="","",CALC_EEM!O276)</f>
      </c>
      <c r="P283">
        <f>IF(CALC_EEM!$B276="","",CALC_EEM!P276)</f>
      </c>
      <c r="Q283">
        <f>IF(CALC_EEM!$B276="","",CALC_EEM!Q276)</f>
      </c>
      <c r="R283">
        <f>IF(CALC_EEM!$B276="","",CALC_EEM!R276)</f>
      </c>
      <c r="S283">
        <f>IF(CALC_EEM!$B276="","",CALC_EEM!S276)</f>
      </c>
      <c r="T283">
        <f>IF(CALC_EEM!$B276="","",CALC_EEM!T276)</f>
      </c>
      <c r="U283">
        <f>IF(CALC_EEM!$B276="","",CALC_EEM!U276)</f>
      </c>
    </row>
    <row r="284" spans="1:24">
      <c r="A284" t="str">
        <f>IF(CALC_EEM!$B277="","",IF(CALC_EEM!A277="GLOBAL","GLOBAL",IF(CALC_EEM!C277="Total","CURSO_TOTAL",IF(CALC_EEM!C277="TotalEsp","CURSO_ESP",IF(CALC_EEM!C277="TotalNoEsp","CURSO_NOESP","CURSO_ASIG")))))</f>
      </c>
      <c r="B284" t="str">
        <f>IF(CALC_EEM!$B277="","",CALC_EEM!A277)</f>
      </c>
      <c r="C284" t="str">
        <f>IF(CALC_EEM!$B277="","",CALC_EEM!B277)</f>
      </c>
      <c r="D284">
        <f>IF(CALC_EEM!$B277="","",CALC_EEM!D277)</f>
      </c>
      <c r="E284" s="14" t="str">
        <f>IF(CALC_EEM!$B277="","",CALC_EEM!E277)</f>
      </c>
      <c r="F284" s="14" t="str">
        <f>IF(CALC_EEM!$B277="","",CALC_EEM!F277)</f>
      </c>
      <c r="G284" t="str">
        <f>IF(CALC_EEM!$B277="","",CALC_EEM!G277)</f>
      </c>
      <c r="H284" s="16" t="str">
        <f>IF(CALC_EEM!$B277="","",CALC_EEM!H277)</f>
      </c>
      <c r="I284" s="16" t="str">
        <f>IF(CALC_EEM!$B277="","",CALC_EEM!I277)</f>
      </c>
      <c r="J284" t="str">
        <f>IF(CALC_EEM!$B277="","",CALC_EEM!J277)</f>
      </c>
      <c r="K284" t="str">
        <f>IF(CALC_EEM!$B277="","",CALC_EEM!K277)</f>
      </c>
      <c r="L284">
        <f>IF(CALC_EEM!$B277="","",CALC_EEM!L277)</f>
      </c>
      <c r="M284">
        <f>IF(CALC_EEM!$B277="","",CALC_EEM!M277)</f>
      </c>
      <c r="N284">
        <f>IF(CALC_EEM!$B277="","",CALC_EEM!N277)</f>
      </c>
      <c r="O284">
        <f>IF(CALC_EEM!$B277="","",CALC_EEM!O277)</f>
      </c>
      <c r="P284">
        <f>IF(CALC_EEM!$B277="","",CALC_EEM!P277)</f>
      </c>
      <c r="Q284">
        <f>IF(CALC_EEM!$B277="","",CALC_EEM!Q277)</f>
      </c>
      <c r="R284">
        <f>IF(CALC_EEM!$B277="","",CALC_EEM!R277)</f>
      </c>
      <c r="S284">
        <f>IF(CALC_EEM!$B277="","",CALC_EEM!S277)</f>
      </c>
      <c r="T284">
        <f>IF(CALC_EEM!$B277="","",CALC_EEM!T277)</f>
      </c>
      <c r="U284">
        <f>IF(CALC_EEM!$B277="","",CALC_EEM!U277)</f>
      </c>
    </row>
    <row r="285" spans="1:24">
      <c r="A285" t="str">
        <f>IF(CALC_EEM!$B278="","",IF(CALC_EEM!A278="GLOBAL","GLOBAL",IF(CALC_EEM!C278="Total","CURSO_TOTAL",IF(CALC_EEM!C278="TotalEsp","CURSO_ESP",IF(CALC_EEM!C278="TotalNoEsp","CURSO_NOESP","CURSO_ASIG")))))</f>
      </c>
      <c r="B285" t="str">
        <f>IF(CALC_EEM!$B278="","",CALC_EEM!A278)</f>
      </c>
      <c r="C285" t="str">
        <f>IF(CALC_EEM!$B278="","",CALC_EEM!B278)</f>
      </c>
      <c r="D285">
        <f>IF(CALC_EEM!$B278="","",CALC_EEM!D278)</f>
      </c>
      <c r="E285" s="14" t="str">
        <f>IF(CALC_EEM!$B278="","",CALC_EEM!E278)</f>
      </c>
      <c r="F285" s="14" t="str">
        <f>IF(CALC_EEM!$B278="","",CALC_EEM!F278)</f>
      </c>
      <c r="G285" t="str">
        <f>IF(CALC_EEM!$B278="","",CALC_EEM!G278)</f>
      </c>
      <c r="H285" s="16" t="str">
        <f>IF(CALC_EEM!$B278="","",CALC_EEM!H278)</f>
      </c>
      <c r="I285" s="16" t="str">
        <f>IF(CALC_EEM!$B278="","",CALC_EEM!I278)</f>
      </c>
      <c r="J285" t="str">
        <f>IF(CALC_EEM!$B278="","",CALC_EEM!J278)</f>
      </c>
      <c r="K285" t="str">
        <f>IF(CALC_EEM!$B278="","",CALC_EEM!K278)</f>
      </c>
      <c r="L285">
        <f>IF(CALC_EEM!$B278="","",CALC_EEM!L278)</f>
      </c>
      <c r="M285">
        <f>IF(CALC_EEM!$B278="","",CALC_EEM!M278)</f>
      </c>
      <c r="N285">
        <f>IF(CALC_EEM!$B278="","",CALC_EEM!N278)</f>
      </c>
      <c r="O285">
        <f>IF(CALC_EEM!$B278="","",CALC_EEM!O278)</f>
      </c>
      <c r="P285">
        <f>IF(CALC_EEM!$B278="","",CALC_EEM!P278)</f>
      </c>
      <c r="Q285">
        <f>IF(CALC_EEM!$B278="","",CALC_EEM!Q278)</f>
      </c>
      <c r="R285">
        <f>IF(CALC_EEM!$B278="","",CALC_EEM!R278)</f>
      </c>
      <c r="S285">
        <f>IF(CALC_EEM!$B278="","",CALC_EEM!S278)</f>
      </c>
      <c r="T285">
        <f>IF(CALC_EEM!$B278="","",CALC_EEM!T278)</f>
      </c>
      <c r="U285">
        <f>IF(CALC_EEM!$B278="","",CALC_EEM!U278)</f>
      </c>
    </row>
    <row r="286" spans="1:24">
      <c r="A286" t="str">
        <f>IF(CALC_EEM!$B279="","",IF(CALC_EEM!A279="GLOBAL","GLOBAL",IF(CALC_EEM!C279="Total","CURSO_TOTAL",IF(CALC_EEM!C279="TotalEsp","CURSO_ESP",IF(CALC_EEM!C279="TotalNoEsp","CURSO_NOESP","CURSO_ASIG")))))</f>
      </c>
      <c r="B286" t="str">
        <f>IF(CALC_EEM!$B279="","",CALC_EEM!A279)</f>
      </c>
      <c r="C286" t="str">
        <f>IF(CALC_EEM!$B279="","",CALC_EEM!B279)</f>
      </c>
      <c r="D286">
        <f>IF(CALC_EEM!$B279="","",CALC_EEM!D279)</f>
      </c>
      <c r="E286" s="14" t="str">
        <f>IF(CALC_EEM!$B279="","",CALC_EEM!E279)</f>
      </c>
      <c r="F286" s="14" t="str">
        <f>IF(CALC_EEM!$B279="","",CALC_EEM!F279)</f>
      </c>
      <c r="G286" t="str">
        <f>IF(CALC_EEM!$B279="","",CALC_EEM!G279)</f>
      </c>
      <c r="H286" s="16" t="str">
        <f>IF(CALC_EEM!$B279="","",CALC_EEM!H279)</f>
      </c>
      <c r="I286" s="16" t="str">
        <f>IF(CALC_EEM!$B279="","",CALC_EEM!I279)</f>
      </c>
      <c r="J286" t="str">
        <f>IF(CALC_EEM!$B279="","",CALC_EEM!J279)</f>
      </c>
      <c r="K286" t="str">
        <f>IF(CALC_EEM!$B279="","",CALC_EEM!K279)</f>
      </c>
      <c r="L286">
        <f>IF(CALC_EEM!$B279="","",CALC_EEM!L279)</f>
      </c>
      <c r="M286">
        <f>IF(CALC_EEM!$B279="","",CALC_EEM!M279)</f>
      </c>
      <c r="N286">
        <f>IF(CALC_EEM!$B279="","",CALC_EEM!N279)</f>
      </c>
      <c r="O286">
        <f>IF(CALC_EEM!$B279="","",CALC_EEM!O279)</f>
      </c>
      <c r="P286">
        <f>IF(CALC_EEM!$B279="","",CALC_EEM!P279)</f>
      </c>
      <c r="Q286">
        <f>IF(CALC_EEM!$B279="","",CALC_EEM!Q279)</f>
      </c>
      <c r="R286">
        <f>IF(CALC_EEM!$B279="","",CALC_EEM!R279)</f>
      </c>
      <c r="S286">
        <f>IF(CALC_EEM!$B279="","",CALC_EEM!S279)</f>
      </c>
      <c r="T286">
        <f>IF(CALC_EEM!$B279="","",CALC_EEM!T279)</f>
      </c>
      <c r="U286">
        <f>IF(CALC_EEM!$B279="","",CALC_EEM!U279)</f>
      </c>
    </row>
    <row r="287" spans="1:24">
      <c r="A287" t="str">
        <f>IF(CALC_EEM!$B280="","",IF(CALC_EEM!A280="GLOBAL","GLOBAL",IF(CALC_EEM!C280="Total","CURSO_TOTAL",IF(CALC_EEM!C280="TotalEsp","CURSO_ESP",IF(CALC_EEM!C280="TotalNoEsp","CURSO_NOESP","CURSO_ASIG")))))</f>
      </c>
      <c r="B287" t="str">
        <f>IF(CALC_EEM!$B280="","",CALC_EEM!A280)</f>
      </c>
      <c r="C287" t="str">
        <f>IF(CALC_EEM!$B280="","",CALC_EEM!B280)</f>
      </c>
      <c r="D287">
        <f>IF(CALC_EEM!$B280="","",CALC_EEM!D280)</f>
      </c>
      <c r="E287" s="14" t="str">
        <f>IF(CALC_EEM!$B280="","",CALC_EEM!E280)</f>
      </c>
      <c r="F287" s="14" t="str">
        <f>IF(CALC_EEM!$B280="","",CALC_EEM!F280)</f>
      </c>
      <c r="G287" t="str">
        <f>IF(CALC_EEM!$B280="","",CALC_EEM!G280)</f>
      </c>
      <c r="H287" s="16" t="str">
        <f>IF(CALC_EEM!$B280="","",CALC_EEM!H280)</f>
      </c>
      <c r="I287" s="16" t="str">
        <f>IF(CALC_EEM!$B280="","",CALC_EEM!I280)</f>
      </c>
      <c r="J287" t="str">
        <f>IF(CALC_EEM!$B280="","",CALC_EEM!J280)</f>
      </c>
      <c r="K287" t="str">
        <f>IF(CALC_EEM!$B280="","",CALC_EEM!K280)</f>
      </c>
      <c r="L287">
        <f>IF(CALC_EEM!$B280="","",CALC_EEM!L280)</f>
      </c>
      <c r="M287">
        <f>IF(CALC_EEM!$B280="","",CALC_EEM!M280)</f>
      </c>
      <c r="N287">
        <f>IF(CALC_EEM!$B280="","",CALC_EEM!N280)</f>
      </c>
      <c r="O287">
        <f>IF(CALC_EEM!$B280="","",CALC_EEM!O280)</f>
      </c>
      <c r="P287">
        <f>IF(CALC_EEM!$B280="","",CALC_EEM!P280)</f>
      </c>
      <c r="Q287">
        <f>IF(CALC_EEM!$B280="","",CALC_EEM!Q280)</f>
      </c>
      <c r="R287">
        <f>IF(CALC_EEM!$B280="","",CALC_EEM!R280)</f>
      </c>
      <c r="S287">
        <f>IF(CALC_EEM!$B280="","",CALC_EEM!S280)</f>
      </c>
      <c r="T287">
        <f>IF(CALC_EEM!$B280="","",CALC_EEM!T280)</f>
      </c>
      <c r="U287">
        <f>IF(CALC_EEM!$B280="","",CALC_EEM!U280)</f>
      </c>
    </row>
    <row r="288" spans="1:24">
      <c r="A288" t="str">
        <f>IF(CALC_EEM!$B281="","",IF(CALC_EEM!A281="GLOBAL","GLOBAL",IF(CALC_EEM!C281="Total","CURSO_TOTAL",IF(CALC_EEM!C281="TotalEsp","CURSO_ESP",IF(CALC_EEM!C281="TotalNoEsp","CURSO_NOESP","CURSO_ASIG")))))</f>
      </c>
      <c r="B288" t="str">
        <f>IF(CALC_EEM!$B281="","",CALC_EEM!A281)</f>
      </c>
      <c r="C288" t="str">
        <f>IF(CALC_EEM!$B281="","",CALC_EEM!B281)</f>
      </c>
      <c r="D288">
        <f>IF(CALC_EEM!$B281="","",CALC_EEM!D281)</f>
      </c>
      <c r="E288" s="14" t="str">
        <f>IF(CALC_EEM!$B281="","",CALC_EEM!E281)</f>
      </c>
      <c r="F288" s="14" t="str">
        <f>IF(CALC_EEM!$B281="","",CALC_EEM!F281)</f>
      </c>
      <c r="G288" t="str">
        <f>IF(CALC_EEM!$B281="","",CALC_EEM!G281)</f>
      </c>
      <c r="H288" s="16" t="str">
        <f>IF(CALC_EEM!$B281="","",CALC_EEM!H281)</f>
      </c>
      <c r="I288" s="16" t="str">
        <f>IF(CALC_EEM!$B281="","",CALC_EEM!I281)</f>
      </c>
      <c r="J288" t="str">
        <f>IF(CALC_EEM!$B281="","",CALC_EEM!J281)</f>
      </c>
      <c r="K288" t="str">
        <f>IF(CALC_EEM!$B281="","",CALC_EEM!K281)</f>
      </c>
      <c r="L288">
        <f>IF(CALC_EEM!$B281="","",CALC_EEM!L281)</f>
      </c>
      <c r="M288">
        <f>IF(CALC_EEM!$B281="","",CALC_EEM!M281)</f>
      </c>
      <c r="N288">
        <f>IF(CALC_EEM!$B281="","",CALC_EEM!N281)</f>
      </c>
      <c r="O288">
        <f>IF(CALC_EEM!$B281="","",CALC_EEM!O281)</f>
      </c>
      <c r="P288">
        <f>IF(CALC_EEM!$B281="","",CALC_EEM!P281)</f>
      </c>
      <c r="Q288">
        <f>IF(CALC_EEM!$B281="","",CALC_EEM!Q281)</f>
      </c>
      <c r="R288">
        <f>IF(CALC_EEM!$B281="","",CALC_EEM!R281)</f>
      </c>
      <c r="S288">
        <f>IF(CALC_EEM!$B281="","",CALC_EEM!S281)</f>
      </c>
      <c r="T288">
        <f>IF(CALC_EEM!$B281="","",CALC_EEM!T281)</f>
      </c>
      <c r="U288">
        <f>IF(CALC_EEM!$B281="","",CALC_EEM!U281)</f>
      </c>
    </row>
    <row r="289" spans="1:24">
      <c r="A289" t="str">
        <f>IF(CALC_EEM!$B282="","",IF(CALC_EEM!A282="GLOBAL","GLOBAL",IF(CALC_EEM!C282="Total","CURSO_TOTAL",IF(CALC_EEM!C282="TotalEsp","CURSO_ESP",IF(CALC_EEM!C282="TotalNoEsp","CURSO_NOESP","CURSO_ASIG")))))</f>
      </c>
      <c r="B289" t="str">
        <f>IF(CALC_EEM!$B282="","",CALC_EEM!A282)</f>
      </c>
      <c r="C289" t="str">
        <f>IF(CALC_EEM!$B282="","",CALC_EEM!B282)</f>
      </c>
      <c r="D289">
        <f>IF(CALC_EEM!$B282="","",CALC_EEM!D282)</f>
      </c>
      <c r="E289" s="14" t="str">
        <f>IF(CALC_EEM!$B282="","",CALC_EEM!E282)</f>
      </c>
      <c r="F289" s="14" t="str">
        <f>IF(CALC_EEM!$B282="","",CALC_EEM!F282)</f>
      </c>
      <c r="G289" t="str">
        <f>IF(CALC_EEM!$B282="","",CALC_EEM!G282)</f>
      </c>
      <c r="H289" s="16" t="str">
        <f>IF(CALC_EEM!$B282="","",CALC_EEM!H282)</f>
      </c>
      <c r="I289" s="16" t="str">
        <f>IF(CALC_EEM!$B282="","",CALC_EEM!I282)</f>
      </c>
      <c r="J289" t="str">
        <f>IF(CALC_EEM!$B282="","",CALC_EEM!J282)</f>
      </c>
      <c r="K289" t="str">
        <f>IF(CALC_EEM!$B282="","",CALC_EEM!K282)</f>
      </c>
      <c r="L289">
        <f>IF(CALC_EEM!$B282="","",CALC_EEM!L282)</f>
      </c>
      <c r="M289">
        <f>IF(CALC_EEM!$B282="","",CALC_EEM!M282)</f>
      </c>
      <c r="N289">
        <f>IF(CALC_EEM!$B282="","",CALC_EEM!N282)</f>
      </c>
      <c r="O289">
        <f>IF(CALC_EEM!$B282="","",CALC_EEM!O282)</f>
      </c>
      <c r="P289">
        <f>IF(CALC_EEM!$B282="","",CALC_EEM!P282)</f>
      </c>
      <c r="Q289">
        <f>IF(CALC_EEM!$B282="","",CALC_EEM!Q282)</f>
      </c>
      <c r="R289">
        <f>IF(CALC_EEM!$B282="","",CALC_EEM!R282)</f>
      </c>
      <c r="S289">
        <f>IF(CALC_EEM!$B282="","",CALC_EEM!S282)</f>
      </c>
      <c r="T289">
        <f>IF(CALC_EEM!$B282="","",CALC_EEM!T282)</f>
      </c>
      <c r="U289">
        <f>IF(CALC_EEM!$B282="","",CALC_EEM!U282)</f>
      </c>
    </row>
    <row r="290" spans="1:24">
      <c r="A290" t="str">
        <f>IF(CALC_EEM!$B283="","",IF(CALC_EEM!A283="GLOBAL","GLOBAL",IF(CALC_EEM!C283="Total","CURSO_TOTAL",IF(CALC_EEM!C283="TotalEsp","CURSO_ESP",IF(CALC_EEM!C283="TotalNoEsp","CURSO_NOESP","CURSO_ASIG")))))</f>
      </c>
      <c r="B290" t="str">
        <f>IF(CALC_EEM!$B283="","",CALC_EEM!A283)</f>
      </c>
      <c r="C290" t="str">
        <f>IF(CALC_EEM!$B283="","",CALC_EEM!B283)</f>
      </c>
      <c r="D290">
        <f>IF(CALC_EEM!$B283="","",CALC_EEM!D283)</f>
      </c>
      <c r="E290" s="14" t="str">
        <f>IF(CALC_EEM!$B283="","",CALC_EEM!E283)</f>
      </c>
      <c r="F290" s="14" t="str">
        <f>IF(CALC_EEM!$B283="","",CALC_EEM!F283)</f>
      </c>
      <c r="G290" t="str">
        <f>IF(CALC_EEM!$B283="","",CALC_EEM!G283)</f>
      </c>
      <c r="H290" s="16" t="str">
        <f>IF(CALC_EEM!$B283="","",CALC_EEM!H283)</f>
      </c>
      <c r="I290" s="16" t="str">
        <f>IF(CALC_EEM!$B283="","",CALC_EEM!I283)</f>
      </c>
      <c r="J290" t="str">
        <f>IF(CALC_EEM!$B283="","",CALC_EEM!J283)</f>
      </c>
      <c r="K290" t="str">
        <f>IF(CALC_EEM!$B283="","",CALC_EEM!K283)</f>
      </c>
      <c r="L290">
        <f>IF(CALC_EEM!$B283="","",CALC_EEM!L283)</f>
      </c>
      <c r="M290">
        <f>IF(CALC_EEM!$B283="","",CALC_EEM!M283)</f>
      </c>
      <c r="N290">
        <f>IF(CALC_EEM!$B283="","",CALC_EEM!N283)</f>
      </c>
      <c r="O290">
        <f>IF(CALC_EEM!$B283="","",CALC_EEM!O283)</f>
      </c>
      <c r="P290">
        <f>IF(CALC_EEM!$B283="","",CALC_EEM!P283)</f>
      </c>
      <c r="Q290">
        <f>IF(CALC_EEM!$B283="","",CALC_EEM!Q283)</f>
      </c>
      <c r="R290">
        <f>IF(CALC_EEM!$B283="","",CALC_EEM!R283)</f>
      </c>
      <c r="S290">
        <f>IF(CALC_EEM!$B283="","",CALC_EEM!S283)</f>
      </c>
      <c r="T290">
        <f>IF(CALC_EEM!$B283="","",CALC_EEM!T283)</f>
      </c>
      <c r="U290">
        <f>IF(CALC_EEM!$B283="","",CALC_EEM!U283)</f>
      </c>
    </row>
    <row r="291" spans="1:24">
      <c r="A291" t="str">
        <f>IF(CALC_EEM!$B284="","",IF(CALC_EEM!A284="GLOBAL","GLOBAL",IF(CALC_EEM!C284="Total","CURSO_TOTAL",IF(CALC_EEM!C284="TotalEsp","CURSO_ESP",IF(CALC_EEM!C284="TotalNoEsp","CURSO_NOESP","CURSO_ASIG")))))</f>
      </c>
      <c r="B291" t="str">
        <f>IF(CALC_EEM!$B284="","",CALC_EEM!A284)</f>
      </c>
      <c r="C291" t="str">
        <f>IF(CALC_EEM!$B284="","",CALC_EEM!B284)</f>
      </c>
      <c r="D291">
        <f>IF(CALC_EEM!$B284="","",CALC_EEM!D284)</f>
      </c>
      <c r="E291" s="14" t="str">
        <f>IF(CALC_EEM!$B284="","",CALC_EEM!E284)</f>
      </c>
      <c r="F291" s="14" t="str">
        <f>IF(CALC_EEM!$B284="","",CALC_EEM!F284)</f>
      </c>
      <c r="G291" t="str">
        <f>IF(CALC_EEM!$B284="","",CALC_EEM!G284)</f>
      </c>
      <c r="H291" s="16" t="str">
        <f>IF(CALC_EEM!$B284="","",CALC_EEM!H284)</f>
      </c>
      <c r="I291" s="16" t="str">
        <f>IF(CALC_EEM!$B284="","",CALC_EEM!I284)</f>
      </c>
      <c r="J291" t="str">
        <f>IF(CALC_EEM!$B284="","",CALC_EEM!J284)</f>
      </c>
      <c r="K291" t="str">
        <f>IF(CALC_EEM!$B284="","",CALC_EEM!K284)</f>
      </c>
      <c r="L291">
        <f>IF(CALC_EEM!$B284="","",CALC_EEM!L284)</f>
      </c>
      <c r="M291">
        <f>IF(CALC_EEM!$B284="","",CALC_EEM!M284)</f>
      </c>
      <c r="N291">
        <f>IF(CALC_EEM!$B284="","",CALC_EEM!N284)</f>
      </c>
      <c r="O291">
        <f>IF(CALC_EEM!$B284="","",CALC_EEM!O284)</f>
      </c>
      <c r="P291">
        <f>IF(CALC_EEM!$B284="","",CALC_EEM!P284)</f>
      </c>
      <c r="Q291">
        <f>IF(CALC_EEM!$B284="","",CALC_EEM!Q284)</f>
      </c>
      <c r="R291">
        <f>IF(CALC_EEM!$B284="","",CALC_EEM!R284)</f>
      </c>
      <c r="S291">
        <f>IF(CALC_EEM!$B284="","",CALC_EEM!S284)</f>
      </c>
      <c r="T291">
        <f>IF(CALC_EEM!$B284="","",CALC_EEM!T284)</f>
      </c>
      <c r="U291">
        <f>IF(CALC_EEM!$B284="","",CALC_EEM!U284)</f>
      </c>
    </row>
    <row r="292" spans="1:24">
      <c r="A292" t="str">
        <f>IF(CALC_EEM!$B285="","",IF(CALC_EEM!A285="GLOBAL","GLOBAL",IF(CALC_EEM!C285="Total","CURSO_TOTAL",IF(CALC_EEM!C285="TotalEsp","CURSO_ESP",IF(CALC_EEM!C285="TotalNoEsp","CURSO_NOESP","CURSO_ASIG")))))</f>
      </c>
      <c r="B292" t="str">
        <f>IF(CALC_EEM!$B285="","",CALC_EEM!A285)</f>
      </c>
      <c r="C292" t="str">
        <f>IF(CALC_EEM!$B285="","",CALC_EEM!B285)</f>
      </c>
      <c r="D292">
        <f>IF(CALC_EEM!$B285="","",CALC_EEM!D285)</f>
      </c>
      <c r="E292" s="14" t="str">
        <f>IF(CALC_EEM!$B285="","",CALC_EEM!E285)</f>
      </c>
      <c r="F292" s="14" t="str">
        <f>IF(CALC_EEM!$B285="","",CALC_EEM!F285)</f>
      </c>
      <c r="G292" t="str">
        <f>IF(CALC_EEM!$B285="","",CALC_EEM!G285)</f>
      </c>
      <c r="H292" s="16" t="str">
        <f>IF(CALC_EEM!$B285="","",CALC_EEM!H285)</f>
      </c>
      <c r="I292" s="16" t="str">
        <f>IF(CALC_EEM!$B285="","",CALC_EEM!I285)</f>
      </c>
      <c r="J292" t="str">
        <f>IF(CALC_EEM!$B285="","",CALC_EEM!J285)</f>
      </c>
      <c r="K292" t="str">
        <f>IF(CALC_EEM!$B285="","",CALC_EEM!K285)</f>
      </c>
      <c r="L292">
        <f>IF(CALC_EEM!$B285="","",CALC_EEM!L285)</f>
      </c>
      <c r="M292">
        <f>IF(CALC_EEM!$B285="","",CALC_EEM!M285)</f>
      </c>
      <c r="N292">
        <f>IF(CALC_EEM!$B285="","",CALC_EEM!N285)</f>
      </c>
      <c r="O292">
        <f>IF(CALC_EEM!$B285="","",CALC_EEM!O285)</f>
      </c>
      <c r="P292">
        <f>IF(CALC_EEM!$B285="","",CALC_EEM!P285)</f>
      </c>
      <c r="Q292">
        <f>IF(CALC_EEM!$B285="","",CALC_EEM!Q285)</f>
      </c>
      <c r="R292">
        <f>IF(CALC_EEM!$B285="","",CALC_EEM!R285)</f>
      </c>
      <c r="S292">
        <f>IF(CALC_EEM!$B285="","",CALC_EEM!S285)</f>
      </c>
      <c r="T292">
        <f>IF(CALC_EEM!$B285="","",CALC_EEM!T285)</f>
      </c>
      <c r="U292">
        <f>IF(CALC_EEM!$B285="","",CALC_EEM!U285)</f>
      </c>
    </row>
    <row r="293" spans="1:24">
      <c r="A293" t="str">
        <f>IF(CALC_EEM!$B286="","",IF(CALC_EEM!A286="GLOBAL","GLOBAL",IF(CALC_EEM!C286="Total","CURSO_TOTAL",IF(CALC_EEM!C286="TotalEsp","CURSO_ESP",IF(CALC_EEM!C286="TotalNoEsp","CURSO_NOESP","CURSO_ASIG")))))</f>
      </c>
      <c r="B293" t="str">
        <f>IF(CALC_EEM!$B286="","",CALC_EEM!A286)</f>
      </c>
      <c r="C293" t="str">
        <f>IF(CALC_EEM!$B286="","",CALC_EEM!B286)</f>
      </c>
      <c r="D293">
        <f>IF(CALC_EEM!$B286="","",CALC_EEM!D286)</f>
      </c>
      <c r="E293" s="14" t="str">
        <f>IF(CALC_EEM!$B286="","",CALC_EEM!E286)</f>
      </c>
      <c r="F293" s="14" t="str">
        <f>IF(CALC_EEM!$B286="","",CALC_EEM!F286)</f>
      </c>
      <c r="G293" t="str">
        <f>IF(CALC_EEM!$B286="","",CALC_EEM!G286)</f>
      </c>
      <c r="H293" s="16" t="str">
        <f>IF(CALC_EEM!$B286="","",CALC_EEM!H286)</f>
      </c>
      <c r="I293" s="16" t="str">
        <f>IF(CALC_EEM!$B286="","",CALC_EEM!I286)</f>
      </c>
      <c r="J293" t="str">
        <f>IF(CALC_EEM!$B286="","",CALC_EEM!J286)</f>
      </c>
      <c r="K293" t="str">
        <f>IF(CALC_EEM!$B286="","",CALC_EEM!K286)</f>
      </c>
      <c r="L293">
        <f>IF(CALC_EEM!$B286="","",CALC_EEM!L286)</f>
      </c>
      <c r="M293">
        <f>IF(CALC_EEM!$B286="","",CALC_EEM!M286)</f>
      </c>
      <c r="N293">
        <f>IF(CALC_EEM!$B286="","",CALC_EEM!N286)</f>
      </c>
      <c r="O293">
        <f>IF(CALC_EEM!$B286="","",CALC_EEM!O286)</f>
      </c>
      <c r="P293">
        <f>IF(CALC_EEM!$B286="","",CALC_EEM!P286)</f>
      </c>
      <c r="Q293">
        <f>IF(CALC_EEM!$B286="","",CALC_EEM!Q286)</f>
      </c>
      <c r="R293">
        <f>IF(CALC_EEM!$B286="","",CALC_EEM!R286)</f>
      </c>
      <c r="S293">
        <f>IF(CALC_EEM!$B286="","",CALC_EEM!S286)</f>
      </c>
      <c r="T293">
        <f>IF(CALC_EEM!$B286="","",CALC_EEM!T286)</f>
      </c>
      <c r="U293">
        <f>IF(CALC_EEM!$B286="","",CALC_EEM!U286)</f>
      </c>
    </row>
    <row r="294" spans="1:24">
      <c r="A294" t="str">
        <f>IF(CALC_EEM!$B287="","",IF(CALC_EEM!A287="GLOBAL","GLOBAL",IF(CALC_EEM!C287="Total","CURSO_TOTAL",IF(CALC_EEM!C287="TotalEsp","CURSO_ESP",IF(CALC_EEM!C287="TotalNoEsp","CURSO_NOESP","CURSO_ASIG")))))</f>
      </c>
      <c r="B294" t="str">
        <f>IF(CALC_EEM!$B287="","",CALC_EEM!A287)</f>
      </c>
      <c r="C294" t="str">
        <f>IF(CALC_EEM!$B287="","",CALC_EEM!B287)</f>
      </c>
      <c r="D294">
        <f>IF(CALC_EEM!$B287="","",CALC_EEM!D287)</f>
      </c>
      <c r="E294" s="14" t="str">
        <f>IF(CALC_EEM!$B287="","",CALC_EEM!E287)</f>
      </c>
      <c r="F294" s="14" t="str">
        <f>IF(CALC_EEM!$B287="","",CALC_EEM!F287)</f>
      </c>
      <c r="G294" t="str">
        <f>IF(CALC_EEM!$B287="","",CALC_EEM!G287)</f>
      </c>
      <c r="H294" s="16" t="str">
        <f>IF(CALC_EEM!$B287="","",CALC_EEM!H287)</f>
      </c>
      <c r="I294" s="16" t="str">
        <f>IF(CALC_EEM!$B287="","",CALC_EEM!I287)</f>
      </c>
      <c r="J294" t="str">
        <f>IF(CALC_EEM!$B287="","",CALC_EEM!J287)</f>
      </c>
      <c r="K294" t="str">
        <f>IF(CALC_EEM!$B287="","",CALC_EEM!K287)</f>
      </c>
      <c r="L294">
        <f>IF(CALC_EEM!$B287="","",CALC_EEM!L287)</f>
      </c>
      <c r="M294">
        <f>IF(CALC_EEM!$B287="","",CALC_EEM!M287)</f>
      </c>
      <c r="N294">
        <f>IF(CALC_EEM!$B287="","",CALC_EEM!N287)</f>
      </c>
      <c r="O294">
        <f>IF(CALC_EEM!$B287="","",CALC_EEM!O287)</f>
      </c>
      <c r="P294">
        <f>IF(CALC_EEM!$B287="","",CALC_EEM!P287)</f>
      </c>
      <c r="Q294">
        <f>IF(CALC_EEM!$B287="","",CALC_EEM!Q287)</f>
      </c>
      <c r="R294">
        <f>IF(CALC_EEM!$B287="","",CALC_EEM!R287)</f>
      </c>
      <c r="S294">
        <f>IF(CALC_EEM!$B287="","",CALC_EEM!S287)</f>
      </c>
      <c r="T294">
        <f>IF(CALC_EEM!$B287="","",CALC_EEM!T287)</f>
      </c>
      <c r="U294">
        <f>IF(CALC_EEM!$B287="","",CALC_EEM!U287)</f>
      </c>
    </row>
    <row r="295" spans="1:24">
      <c r="A295" t="str">
        <f>IF(CALC_EEM!$B288="","",IF(CALC_EEM!A288="GLOBAL","GLOBAL",IF(CALC_EEM!C288="Total","CURSO_TOTAL",IF(CALC_EEM!C288="TotalEsp","CURSO_ESP",IF(CALC_EEM!C288="TotalNoEsp","CURSO_NOESP","CURSO_ASIG")))))</f>
      </c>
      <c r="B295" t="str">
        <f>IF(CALC_EEM!$B288="","",CALC_EEM!A288)</f>
      </c>
      <c r="C295" t="str">
        <f>IF(CALC_EEM!$B288="","",CALC_EEM!B288)</f>
      </c>
      <c r="D295">
        <f>IF(CALC_EEM!$B288="","",CALC_EEM!D288)</f>
      </c>
      <c r="E295" s="14" t="str">
        <f>IF(CALC_EEM!$B288="","",CALC_EEM!E288)</f>
      </c>
      <c r="F295" s="14" t="str">
        <f>IF(CALC_EEM!$B288="","",CALC_EEM!F288)</f>
      </c>
      <c r="G295" t="str">
        <f>IF(CALC_EEM!$B288="","",CALC_EEM!G288)</f>
      </c>
      <c r="H295" s="16" t="str">
        <f>IF(CALC_EEM!$B288="","",CALC_EEM!H288)</f>
      </c>
      <c r="I295" s="16" t="str">
        <f>IF(CALC_EEM!$B288="","",CALC_EEM!I288)</f>
      </c>
      <c r="J295" t="str">
        <f>IF(CALC_EEM!$B288="","",CALC_EEM!J288)</f>
      </c>
      <c r="K295" t="str">
        <f>IF(CALC_EEM!$B288="","",CALC_EEM!K288)</f>
      </c>
      <c r="L295">
        <f>IF(CALC_EEM!$B288="","",CALC_EEM!L288)</f>
      </c>
      <c r="M295">
        <f>IF(CALC_EEM!$B288="","",CALC_EEM!M288)</f>
      </c>
      <c r="N295">
        <f>IF(CALC_EEM!$B288="","",CALC_EEM!N288)</f>
      </c>
      <c r="O295">
        <f>IF(CALC_EEM!$B288="","",CALC_EEM!O288)</f>
      </c>
      <c r="P295">
        <f>IF(CALC_EEM!$B288="","",CALC_EEM!P288)</f>
      </c>
      <c r="Q295">
        <f>IF(CALC_EEM!$B288="","",CALC_EEM!Q288)</f>
      </c>
      <c r="R295">
        <f>IF(CALC_EEM!$B288="","",CALC_EEM!R288)</f>
      </c>
      <c r="S295">
        <f>IF(CALC_EEM!$B288="","",CALC_EEM!S288)</f>
      </c>
      <c r="T295">
        <f>IF(CALC_EEM!$B288="","",CALC_EEM!T288)</f>
      </c>
      <c r="U295">
        <f>IF(CALC_EEM!$B288="","",CALC_EEM!U288)</f>
      </c>
    </row>
    <row r="296" spans="1:24">
      <c r="A296" t="str">
        <f>IF(CALC_EEM!$B289="","",IF(CALC_EEM!A289="GLOBAL","GLOBAL",IF(CALC_EEM!C289="Total","CURSO_TOTAL",IF(CALC_EEM!C289="TotalEsp","CURSO_ESP",IF(CALC_EEM!C289="TotalNoEsp","CURSO_NOESP","CURSO_ASIG")))))</f>
      </c>
      <c r="B296" t="str">
        <f>IF(CALC_EEM!$B289="","",CALC_EEM!A289)</f>
      </c>
      <c r="C296" t="str">
        <f>IF(CALC_EEM!$B289="","",CALC_EEM!B289)</f>
      </c>
      <c r="D296">
        <f>IF(CALC_EEM!$B289="","",CALC_EEM!D289)</f>
      </c>
      <c r="E296" s="14" t="str">
        <f>IF(CALC_EEM!$B289="","",CALC_EEM!E289)</f>
      </c>
      <c r="F296" s="14" t="str">
        <f>IF(CALC_EEM!$B289="","",CALC_EEM!F289)</f>
      </c>
      <c r="G296" t="str">
        <f>IF(CALC_EEM!$B289="","",CALC_EEM!G289)</f>
      </c>
      <c r="H296" s="16" t="str">
        <f>IF(CALC_EEM!$B289="","",CALC_EEM!H289)</f>
      </c>
      <c r="I296" s="16" t="str">
        <f>IF(CALC_EEM!$B289="","",CALC_EEM!I289)</f>
      </c>
      <c r="J296" t="str">
        <f>IF(CALC_EEM!$B289="","",CALC_EEM!J289)</f>
      </c>
      <c r="K296" t="str">
        <f>IF(CALC_EEM!$B289="","",CALC_EEM!K289)</f>
      </c>
      <c r="L296">
        <f>IF(CALC_EEM!$B289="","",CALC_EEM!L289)</f>
      </c>
      <c r="M296">
        <f>IF(CALC_EEM!$B289="","",CALC_EEM!M289)</f>
      </c>
      <c r="N296">
        <f>IF(CALC_EEM!$B289="","",CALC_EEM!N289)</f>
      </c>
      <c r="O296">
        <f>IF(CALC_EEM!$B289="","",CALC_EEM!O289)</f>
      </c>
      <c r="P296">
        <f>IF(CALC_EEM!$B289="","",CALC_EEM!P289)</f>
      </c>
      <c r="Q296">
        <f>IF(CALC_EEM!$B289="","",CALC_EEM!Q289)</f>
      </c>
      <c r="R296">
        <f>IF(CALC_EEM!$B289="","",CALC_EEM!R289)</f>
      </c>
      <c r="S296">
        <f>IF(CALC_EEM!$B289="","",CALC_EEM!S289)</f>
      </c>
      <c r="T296">
        <f>IF(CALC_EEM!$B289="","",CALC_EEM!T289)</f>
      </c>
      <c r="U296">
        <f>IF(CALC_EEM!$B289="","",CALC_EEM!U289)</f>
      </c>
    </row>
    <row r="297" spans="1:24">
      <c r="A297" t="str">
        <f>IF(CALC_EEM!$B290="","",IF(CALC_EEM!A290="GLOBAL","GLOBAL",IF(CALC_EEM!C290="Total","CURSO_TOTAL",IF(CALC_EEM!C290="TotalEsp","CURSO_ESP",IF(CALC_EEM!C290="TotalNoEsp","CURSO_NOESP","CURSO_ASIG")))))</f>
      </c>
      <c r="B297" t="str">
        <f>IF(CALC_EEM!$B290="","",CALC_EEM!A290)</f>
      </c>
      <c r="C297" t="str">
        <f>IF(CALC_EEM!$B290="","",CALC_EEM!B290)</f>
      </c>
      <c r="D297">
        <f>IF(CALC_EEM!$B290="","",CALC_EEM!D290)</f>
      </c>
      <c r="E297" s="14" t="str">
        <f>IF(CALC_EEM!$B290="","",CALC_EEM!E290)</f>
      </c>
      <c r="F297" s="14" t="str">
        <f>IF(CALC_EEM!$B290="","",CALC_EEM!F290)</f>
      </c>
      <c r="G297" t="str">
        <f>IF(CALC_EEM!$B290="","",CALC_EEM!G290)</f>
      </c>
      <c r="H297" s="16" t="str">
        <f>IF(CALC_EEM!$B290="","",CALC_EEM!H290)</f>
      </c>
      <c r="I297" s="16" t="str">
        <f>IF(CALC_EEM!$B290="","",CALC_EEM!I290)</f>
      </c>
      <c r="J297" t="str">
        <f>IF(CALC_EEM!$B290="","",CALC_EEM!J290)</f>
      </c>
      <c r="K297" t="str">
        <f>IF(CALC_EEM!$B290="","",CALC_EEM!K290)</f>
      </c>
      <c r="L297">
        <f>IF(CALC_EEM!$B290="","",CALC_EEM!L290)</f>
      </c>
      <c r="M297">
        <f>IF(CALC_EEM!$B290="","",CALC_EEM!M290)</f>
      </c>
      <c r="N297">
        <f>IF(CALC_EEM!$B290="","",CALC_EEM!N290)</f>
      </c>
      <c r="O297">
        <f>IF(CALC_EEM!$B290="","",CALC_EEM!O290)</f>
      </c>
      <c r="P297">
        <f>IF(CALC_EEM!$B290="","",CALC_EEM!P290)</f>
      </c>
      <c r="Q297">
        <f>IF(CALC_EEM!$B290="","",CALC_EEM!Q290)</f>
      </c>
      <c r="R297">
        <f>IF(CALC_EEM!$B290="","",CALC_EEM!R290)</f>
      </c>
      <c r="S297">
        <f>IF(CALC_EEM!$B290="","",CALC_EEM!S290)</f>
      </c>
      <c r="T297">
        <f>IF(CALC_EEM!$B290="","",CALC_EEM!T290)</f>
      </c>
      <c r="U297">
        <f>IF(CALC_EEM!$B290="","",CALC_EEM!U290)</f>
      </c>
    </row>
    <row r="298" spans="1:24">
      <c r="A298" t="str">
        <f>IF(CALC_EEM!$B291="","",IF(CALC_EEM!A291="GLOBAL","GLOBAL",IF(CALC_EEM!C291="Total","CURSO_TOTAL",IF(CALC_EEM!C291="TotalEsp","CURSO_ESP",IF(CALC_EEM!C291="TotalNoEsp","CURSO_NOESP","CURSO_ASIG")))))</f>
      </c>
      <c r="B298" t="str">
        <f>IF(CALC_EEM!$B291="","",CALC_EEM!A291)</f>
      </c>
      <c r="C298" t="str">
        <f>IF(CALC_EEM!$B291="","",CALC_EEM!B291)</f>
      </c>
      <c r="D298">
        <f>IF(CALC_EEM!$B291="","",CALC_EEM!D291)</f>
      </c>
      <c r="E298" s="14" t="str">
        <f>IF(CALC_EEM!$B291="","",CALC_EEM!E291)</f>
      </c>
      <c r="F298" s="14" t="str">
        <f>IF(CALC_EEM!$B291="","",CALC_EEM!F291)</f>
      </c>
      <c r="G298" t="str">
        <f>IF(CALC_EEM!$B291="","",CALC_EEM!G291)</f>
      </c>
      <c r="H298" s="16" t="str">
        <f>IF(CALC_EEM!$B291="","",CALC_EEM!H291)</f>
      </c>
      <c r="I298" s="16" t="str">
        <f>IF(CALC_EEM!$B291="","",CALC_EEM!I291)</f>
      </c>
      <c r="J298" t="str">
        <f>IF(CALC_EEM!$B291="","",CALC_EEM!J291)</f>
      </c>
      <c r="K298" t="str">
        <f>IF(CALC_EEM!$B291="","",CALC_EEM!K291)</f>
      </c>
      <c r="L298">
        <f>IF(CALC_EEM!$B291="","",CALC_EEM!L291)</f>
      </c>
      <c r="M298">
        <f>IF(CALC_EEM!$B291="","",CALC_EEM!M291)</f>
      </c>
      <c r="N298">
        <f>IF(CALC_EEM!$B291="","",CALC_EEM!N291)</f>
      </c>
      <c r="O298">
        <f>IF(CALC_EEM!$B291="","",CALC_EEM!O291)</f>
      </c>
      <c r="P298">
        <f>IF(CALC_EEM!$B291="","",CALC_EEM!P291)</f>
      </c>
      <c r="Q298">
        <f>IF(CALC_EEM!$B291="","",CALC_EEM!Q291)</f>
      </c>
      <c r="R298">
        <f>IF(CALC_EEM!$B291="","",CALC_EEM!R291)</f>
      </c>
      <c r="S298">
        <f>IF(CALC_EEM!$B291="","",CALC_EEM!S291)</f>
      </c>
      <c r="T298">
        <f>IF(CALC_EEM!$B291="","",CALC_EEM!T291)</f>
      </c>
      <c r="U298">
        <f>IF(CALC_EEM!$B291="","",CALC_EEM!U291)</f>
      </c>
    </row>
    <row r="299" spans="1:24">
      <c r="A299" t="str">
        <f>IF(CALC_EEM!$B292="","",IF(CALC_EEM!A292="GLOBAL","GLOBAL",IF(CALC_EEM!C292="Total","CURSO_TOTAL",IF(CALC_EEM!C292="TotalEsp","CURSO_ESP",IF(CALC_EEM!C292="TotalNoEsp","CURSO_NOESP","CURSO_ASIG")))))</f>
      </c>
      <c r="B299" t="str">
        <f>IF(CALC_EEM!$B292="","",CALC_EEM!A292)</f>
      </c>
      <c r="C299" t="str">
        <f>IF(CALC_EEM!$B292="","",CALC_EEM!B292)</f>
      </c>
      <c r="D299">
        <f>IF(CALC_EEM!$B292="","",CALC_EEM!D292)</f>
      </c>
      <c r="E299" s="14" t="str">
        <f>IF(CALC_EEM!$B292="","",CALC_EEM!E292)</f>
      </c>
      <c r="F299" s="14" t="str">
        <f>IF(CALC_EEM!$B292="","",CALC_EEM!F292)</f>
      </c>
      <c r="G299" t="str">
        <f>IF(CALC_EEM!$B292="","",CALC_EEM!G292)</f>
      </c>
      <c r="H299" s="16" t="str">
        <f>IF(CALC_EEM!$B292="","",CALC_EEM!H292)</f>
      </c>
      <c r="I299" s="16" t="str">
        <f>IF(CALC_EEM!$B292="","",CALC_EEM!I292)</f>
      </c>
      <c r="J299" t="str">
        <f>IF(CALC_EEM!$B292="","",CALC_EEM!J292)</f>
      </c>
      <c r="K299" t="str">
        <f>IF(CALC_EEM!$B292="","",CALC_EEM!K292)</f>
      </c>
      <c r="L299">
        <f>IF(CALC_EEM!$B292="","",CALC_EEM!L292)</f>
      </c>
      <c r="M299">
        <f>IF(CALC_EEM!$B292="","",CALC_EEM!M292)</f>
      </c>
      <c r="N299">
        <f>IF(CALC_EEM!$B292="","",CALC_EEM!N292)</f>
      </c>
      <c r="O299">
        <f>IF(CALC_EEM!$B292="","",CALC_EEM!O292)</f>
      </c>
      <c r="P299">
        <f>IF(CALC_EEM!$B292="","",CALC_EEM!P292)</f>
      </c>
      <c r="Q299">
        <f>IF(CALC_EEM!$B292="","",CALC_EEM!Q292)</f>
      </c>
      <c r="R299">
        <f>IF(CALC_EEM!$B292="","",CALC_EEM!R292)</f>
      </c>
      <c r="S299">
        <f>IF(CALC_EEM!$B292="","",CALC_EEM!S292)</f>
      </c>
      <c r="T299">
        <f>IF(CALC_EEM!$B292="","",CALC_EEM!T292)</f>
      </c>
      <c r="U299">
        <f>IF(CALC_EEM!$B292="","",CALC_EEM!U292)</f>
      </c>
    </row>
    <row r="300" spans="1:24">
      <c r="A300" t="str">
        <f>IF(CALC_EEM!$B293="","",IF(CALC_EEM!A293="GLOBAL","GLOBAL",IF(CALC_EEM!C293="Total","CURSO_TOTAL",IF(CALC_EEM!C293="TotalEsp","CURSO_ESP",IF(CALC_EEM!C293="TotalNoEsp","CURSO_NOESP","CURSO_ASIG")))))</f>
      </c>
      <c r="B300" t="str">
        <f>IF(CALC_EEM!$B293="","",CALC_EEM!A293)</f>
      </c>
      <c r="C300" t="str">
        <f>IF(CALC_EEM!$B293="","",CALC_EEM!B293)</f>
      </c>
      <c r="D300">
        <f>IF(CALC_EEM!$B293="","",CALC_EEM!D293)</f>
      </c>
      <c r="E300" s="14" t="str">
        <f>IF(CALC_EEM!$B293="","",CALC_EEM!E293)</f>
      </c>
      <c r="F300" s="14" t="str">
        <f>IF(CALC_EEM!$B293="","",CALC_EEM!F293)</f>
      </c>
      <c r="G300" t="str">
        <f>IF(CALC_EEM!$B293="","",CALC_EEM!G293)</f>
      </c>
      <c r="H300" s="16" t="str">
        <f>IF(CALC_EEM!$B293="","",CALC_EEM!H293)</f>
      </c>
      <c r="I300" s="16" t="str">
        <f>IF(CALC_EEM!$B293="","",CALC_EEM!I293)</f>
      </c>
      <c r="J300" t="str">
        <f>IF(CALC_EEM!$B293="","",CALC_EEM!J293)</f>
      </c>
      <c r="K300" t="str">
        <f>IF(CALC_EEM!$B293="","",CALC_EEM!K293)</f>
      </c>
      <c r="L300">
        <f>IF(CALC_EEM!$B293="","",CALC_EEM!L293)</f>
      </c>
      <c r="M300">
        <f>IF(CALC_EEM!$B293="","",CALC_EEM!M293)</f>
      </c>
      <c r="N300">
        <f>IF(CALC_EEM!$B293="","",CALC_EEM!N293)</f>
      </c>
      <c r="O300">
        <f>IF(CALC_EEM!$B293="","",CALC_EEM!O293)</f>
      </c>
      <c r="P300">
        <f>IF(CALC_EEM!$B293="","",CALC_EEM!P293)</f>
      </c>
      <c r="Q300">
        <f>IF(CALC_EEM!$B293="","",CALC_EEM!Q293)</f>
      </c>
      <c r="R300">
        <f>IF(CALC_EEM!$B293="","",CALC_EEM!R293)</f>
      </c>
      <c r="S300">
        <f>IF(CALC_EEM!$B293="","",CALC_EEM!S293)</f>
      </c>
      <c r="T300">
        <f>IF(CALC_EEM!$B293="","",CALC_EEM!T293)</f>
      </c>
      <c r="U300">
        <f>IF(CALC_EEM!$B293="","",CALC_EEM!U293)</f>
      </c>
    </row>
    <row r="301" spans="1:24">
      <c r="A301" t="str">
        <f>IF(CALC_EEM!$B294="","",IF(CALC_EEM!A294="GLOBAL","GLOBAL",IF(CALC_EEM!C294="Total","CURSO_TOTAL",IF(CALC_EEM!C294="TotalEsp","CURSO_ESP",IF(CALC_EEM!C294="TotalNoEsp","CURSO_NOESP","CURSO_ASIG")))))</f>
      </c>
      <c r="B301" t="str">
        <f>IF(CALC_EEM!$B294="","",CALC_EEM!A294)</f>
      </c>
      <c r="C301" t="str">
        <f>IF(CALC_EEM!$B294="","",CALC_EEM!B294)</f>
      </c>
      <c r="D301">
        <f>IF(CALC_EEM!$B294="","",CALC_EEM!D294)</f>
      </c>
      <c r="E301" s="14" t="str">
        <f>IF(CALC_EEM!$B294="","",CALC_EEM!E294)</f>
      </c>
      <c r="F301" s="14" t="str">
        <f>IF(CALC_EEM!$B294="","",CALC_EEM!F294)</f>
      </c>
      <c r="G301" t="str">
        <f>IF(CALC_EEM!$B294="","",CALC_EEM!G294)</f>
      </c>
      <c r="H301" s="16" t="str">
        <f>IF(CALC_EEM!$B294="","",CALC_EEM!H294)</f>
      </c>
      <c r="I301" s="16" t="str">
        <f>IF(CALC_EEM!$B294="","",CALC_EEM!I294)</f>
      </c>
      <c r="J301" t="str">
        <f>IF(CALC_EEM!$B294="","",CALC_EEM!J294)</f>
      </c>
      <c r="K301" t="str">
        <f>IF(CALC_EEM!$B294="","",CALC_EEM!K294)</f>
      </c>
      <c r="L301">
        <f>IF(CALC_EEM!$B294="","",CALC_EEM!L294)</f>
      </c>
      <c r="M301">
        <f>IF(CALC_EEM!$B294="","",CALC_EEM!M294)</f>
      </c>
      <c r="N301">
        <f>IF(CALC_EEM!$B294="","",CALC_EEM!N294)</f>
      </c>
      <c r="O301">
        <f>IF(CALC_EEM!$B294="","",CALC_EEM!O294)</f>
      </c>
      <c r="P301">
        <f>IF(CALC_EEM!$B294="","",CALC_EEM!P294)</f>
      </c>
      <c r="Q301">
        <f>IF(CALC_EEM!$B294="","",CALC_EEM!Q294)</f>
      </c>
      <c r="R301">
        <f>IF(CALC_EEM!$B294="","",CALC_EEM!R294)</f>
      </c>
      <c r="S301">
        <f>IF(CALC_EEM!$B294="","",CALC_EEM!S294)</f>
      </c>
      <c r="T301">
        <f>IF(CALC_EEM!$B294="","",CALC_EEM!T294)</f>
      </c>
      <c r="U301">
        <f>IF(CALC_EEM!$B294="","",CALC_EEM!U294)</f>
      </c>
    </row>
    <row r="302" spans="1:24">
      <c r="A302" t="str">
        <f>IF(CALC_EEM!$B295="","",IF(CALC_EEM!A295="GLOBAL","GLOBAL",IF(CALC_EEM!C295="Total","CURSO_TOTAL",IF(CALC_EEM!C295="TotalEsp","CURSO_ESP",IF(CALC_EEM!C295="TotalNoEsp","CURSO_NOESP","CURSO_ASIG")))))</f>
      </c>
      <c r="B302" t="str">
        <f>IF(CALC_EEM!$B295="","",CALC_EEM!A295)</f>
      </c>
      <c r="C302" t="str">
        <f>IF(CALC_EEM!$B295="","",CALC_EEM!B295)</f>
      </c>
      <c r="D302">
        <f>IF(CALC_EEM!$B295="","",CALC_EEM!D295)</f>
      </c>
      <c r="E302" s="14" t="str">
        <f>IF(CALC_EEM!$B295="","",CALC_EEM!E295)</f>
      </c>
      <c r="F302" s="14" t="str">
        <f>IF(CALC_EEM!$B295="","",CALC_EEM!F295)</f>
      </c>
      <c r="G302" t="str">
        <f>IF(CALC_EEM!$B295="","",CALC_EEM!G295)</f>
      </c>
      <c r="H302" s="16" t="str">
        <f>IF(CALC_EEM!$B295="","",CALC_EEM!H295)</f>
      </c>
      <c r="I302" s="16" t="str">
        <f>IF(CALC_EEM!$B295="","",CALC_EEM!I295)</f>
      </c>
      <c r="J302" t="str">
        <f>IF(CALC_EEM!$B295="","",CALC_EEM!J295)</f>
      </c>
      <c r="K302" t="str">
        <f>IF(CALC_EEM!$B295="","",CALC_EEM!K295)</f>
      </c>
      <c r="L302">
        <f>IF(CALC_EEM!$B295="","",CALC_EEM!L295)</f>
      </c>
      <c r="M302">
        <f>IF(CALC_EEM!$B295="","",CALC_EEM!M295)</f>
      </c>
      <c r="N302">
        <f>IF(CALC_EEM!$B295="","",CALC_EEM!N295)</f>
      </c>
      <c r="O302">
        <f>IF(CALC_EEM!$B295="","",CALC_EEM!O295)</f>
      </c>
      <c r="P302">
        <f>IF(CALC_EEM!$B295="","",CALC_EEM!P295)</f>
      </c>
      <c r="Q302">
        <f>IF(CALC_EEM!$B295="","",CALC_EEM!Q295)</f>
      </c>
      <c r="R302">
        <f>IF(CALC_EEM!$B295="","",CALC_EEM!R295)</f>
      </c>
      <c r="S302">
        <f>IF(CALC_EEM!$B295="","",CALC_EEM!S295)</f>
      </c>
      <c r="T302">
        <f>IF(CALC_EEM!$B295="","",CALC_EEM!T295)</f>
      </c>
      <c r="U302">
        <f>IF(CALC_EEM!$B295="","",CALC_EEM!U295)</f>
      </c>
    </row>
    <row r="303" spans="1:24">
      <c r="A303" t="str">
        <f>IF(CALC_EEM!$B296="","",IF(CALC_EEM!A296="GLOBAL","GLOBAL",IF(CALC_EEM!C296="Total","CURSO_TOTAL",IF(CALC_EEM!C296="TotalEsp","CURSO_ESP",IF(CALC_EEM!C296="TotalNoEsp","CURSO_NOESP","CURSO_ASIG")))))</f>
      </c>
      <c r="B303" t="str">
        <f>IF(CALC_EEM!$B296="","",CALC_EEM!A296)</f>
      </c>
      <c r="C303" t="str">
        <f>IF(CALC_EEM!$B296="","",CALC_EEM!B296)</f>
      </c>
      <c r="D303">
        <f>IF(CALC_EEM!$B296="","",CALC_EEM!D296)</f>
      </c>
      <c r="E303" s="14" t="str">
        <f>IF(CALC_EEM!$B296="","",CALC_EEM!E296)</f>
      </c>
      <c r="F303" s="14" t="str">
        <f>IF(CALC_EEM!$B296="","",CALC_EEM!F296)</f>
      </c>
      <c r="G303" t="str">
        <f>IF(CALC_EEM!$B296="","",CALC_EEM!G296)</f>
      </c>
      <c r="H303" s="16" t="str">
        <f>IF(CALC_EEM!$B296="","",CALC_EEM!H296)</f>
      </c>
      <c r="I303" s="16" t="str">
        <f>IF(CALC_EEM!$B296="","",CALC_EEM!I296)</f>
      </c>
      <c r="J303" t="str">
        <f>IF(CALC_EEM!$B296="","",CALC_EEM!J296)</f>
      </c>
      <c r="K303" t="str">
        <f>IF(CALC_EEM!$B296="","",CALC_EEM!K296)</f>
      </c>
      <c r="L303">
        <f>IF(CALC_EEM!$B296="","",CALC_EEM!L296)</f>
      </c>
      <c r="M303">
        <f>IF(CALC_EEM!$B296="","",CALC_EEM!M296)</f>
      </c>
      <c r="N303">
        <f>IF(CALC_EEM!$B296="","",CALC_EEM!N296)</f>
      </c>
      <c r="O303">
        <f>IF(CALC_EEM!$B296="","",CALC_EEM!O296)</f>
      </c>
      <c r="P303">
        <f>IF(CALC_EEM!$B296="","",CALC_EEM!P296)</f>
      </c>
      <c r="Q303">
        <f>IF(CALC_EEM!$B296="","",CALC_EEM!Q296)</f>
      </c>
      <c r="R303">
        <f>IF(CALC_EEM!$B296="","",CALC_EEM!R296)</f>
      </c>
      <c r="S303">
        <f>IF(CALC_EEM!$B296="","",CALC_EEM!S296)</f>
      </c>
      <c r="T303">
        <f>IF(CALC_EEM!$B296="","",CALC_EEM!T296)</f>
      </c>
      <c r="U303">
        <f>IF(CALC_EEM!$B296="","",CALC_EEM!U296)</f>
      </c>
    </row>
    <row r="304" spans="1:24">
      <c r="A304" t="str">
        <f>IF(CALC_EEM!$B297="","",IF(CALC_EEM!A297="GLOBAL","GLOBAL",IF(CALC_EEM!C297="Total","CURSO_TOTAL",IF(CALC_EEM!C297="TotalEsp","CURSO_ESP",IF(CALC_EEM!C297="TotalNoEsp","CURSO_NOESP","CURSO_ASIG")))))</f>
      </c>
      <c r="B304" t="str">
        <f>IF(CALC_EEM!$B297="","",CALC_EEM!A297)</f>
      </c>
      <c r="C304" t="str">
        <f>IF(CALC_EEM!$B297="","",CALC_EEM!B297)</f>
      </c>
      <c r="D304">
        <f>IF(CALC_EEM!$B297="","",CALC_EEM!D297)</f>
      </c>
      <c r="E304" s="14" t="str">
        <f>IF(CALC_EEM!$B297="","",CALC_EEM!E297)</f>
      </c>
      <c r="F304" s="14" t="str">
        <f>IF(CALC_EEM!$B297="","",CALC_EEM!F297)</f>
      </c>
      <c r="G304" t="str">
        <f>IF(CALC_EEM!$B297="","",CALC_EEM!G297)</f>
      </c>
      <c r="H304" s="16" t="str">
        <f>IF(CALC_EEM!$B297="","",CALC_EEM!H297)</f>
      </c>
      <c r="I304" s="16" t="str">
        <f>IF(CALC_EEM!$B297="","",CALC_EEM!I297)</f>
      </c>
      <c r="J304" t="str">
        <f>IF(CALC_EEM!$B297="","",CALC_EEM!J297)</f>
      </c>
      <c r="K304" t="str">
        <f>IF(CALC_EEM!$B297="","",CALC_EEM!K297)</f>
      </c>
      <c r="L304">
        <f>IF(CALC_EEM!$B297="","",CALC_EEM!L297)</f>
      </c>
      <c r="M304">
        <f>IF(CALC_EEM!$B297="","",CALC_EEM!M297)</f>
      </c>
      <c r="N304">
        <f>IF(CALC_EEM!$B297="","",CALC_EEM!N297)</f>
      </c>
      <c r="O304">
        <f>IF(CALC_EEM!$B297="","",CALC_EEM!O297)</f>
      </c>
      <c r="P304">
        <f>IF(CALC_EEM!$B297="","",CALC_EEM!P297)</f>
      </c>
      <c r="Q304">
        <f>IF(CALC_EEM!$B297="","",CALC_EEM!Q297)</f>
      </c>
      <c r="R304">
        <f>IF(CALC_EEM!$B297="","",CALC_EEM!R297)</f>
      </c>
      <c r="S304">
        <f>IF(CALC_EEM!$B297="","",CALC_EEM!S297)</f>
      </c>
      <c r="T304">
        <f>IF(CALC_EEM!$B297="","",CALC_EEM!T297)</f>
      </c>
      <c r="U304">
        <f>IF(CALC_EEM!$B297="","",CALC_EEM!U297)</f>
      </c>
    </row>
    <row r="305" spans="1:24">
      <c r="A305" t="str">
        <f>IF(CALC_EEM!$B298="","",IF(CALC_EEM!A298="GLOBAL","GLOBAL",IF(CALC_EEM!C298="Total","CURSO_TOTAL",IF(CALC_EEM!C298="TotalEsp","CURSO_ESP",IF(CALC_EEM!C298="TotalNoEsp","CURSO_NOESP","CURSO_ASIG")))))</f>
      </c>
      <c r="B305" t="str">
        <f>IF(CALC_EEM!$B298="","",CALC_EEM!A298)</f>
      </c>
      <c r="C305" t="str">
        <f>IF(CALC_EEM!$B298="","",CALC_EEM!B298)</f>
      </c>
      <c r="D305">
        <f>IF(CALC_EEM!$B298="","",CALC_EEM!D298)</f>
      </c>
      <c r="E305" s="14" t="str">
        <f>IF(CALC_EEM!$B298="","",CALC_EEM!E298)</f>
      </c>
      <c r="F305" s="14" t="str">
        <f>IF(CALC_EEM!$B298="","",CALC_EEM!F298)</f>
      </c>
      <c r="G305" t="str">
        <f>IF(CALC_EEM!$B298="","",CALC_EEM!G298)</f>
      </c>
      <c r="H305" s="16" t="str">
        <f>IF(CALC_EEM!$B298="","",CALC_EEM!H298)</f>
      </c>
      <c r="I305" s="16" t="str">
        <f>IF(CALC_EEM!$B298="","",CALC_EEM!I298)</f>
      </c>
      <c r="J305" t="str">
        <f>IF(CALC_EEM!$B298="","",CALC_EEM!J298)</f>
      </c>
      <c r="K305" t="str">
        <f>IF(CALC_EEM!$B298="","",CALC_EEM!K298)</f>
      </c>
      <c r="L305">
        <f>IF(CALC_EEM!$B298="","",CALC_EEM!L298)</f>
      </c>
      <c r="M305">
        <f>IF(CALC_EEM!$B298="","",CALC_EEM!M298)</f>
      </c>
      <c r="N305">
        <f>IF(CALC_EEM!$B298="","",CALC_EEM!N298)</f>
      </c>
      <c r="O305">
        <f>IF(CALC_EEM!$B298="","",CALC_EEM!O298)</f>
      </c>
      <c r="P305">
        <f>IF(CALC_EEM!$B298="","",CALC_EEM!P298)</f>
      </c>
      <c r="Q305">
        <f>IF(CALC_EEM!$B298="","",CALC_EEM!Q298)</f>
      </c>
      <c r="R305">
        <f>IF(CALC_EEM!$B298="","",CALC_EEM!R298)</f>
      </c>
      <c r="S305">
        <f>IF(CALC_EEM!$B298="","",CALC_EEM!S298)</f>
      </c>
      <c r="T305">
        <f>IF(CALC_EEM!$B298="","",CALC_EEM!T298)</f>
      </c>
      <c r="U305">
        <f>IF(CALC_EEM!$B298="","",CALC_EEM!U298)</f>
      </c>
    </row>
    <row r="306" spans="1:24">
      <c r="A306" t="str">
        <f>IF(CALC_EEM!$B299="","",IF(CALC_EEM!A299="GLOBAL","GLOBAL",IF(CALC_EEM!C299="Total","CURSO_TOTAL",IF(CALC_EEM!C299="TotalEsp","CURSO_ESP",IF(CALC_EEM!C299="TotalNoEsp","CURSO_NOESP","CURSO_ASIG")))))</f>
      </c>
      <c r="B306" t="str">
        <f>IF(CALC_EEM!$B299="","",CALC_EEM!A299)</f>
      </c>
      <c r="C306" t="str">
        <f>IF(CALC_EEM!$B299="","",CALC_EEM!B299)</f>
      </c>
      <c r="D306">
        <f>IF(CALC_EEM!$B299="","",CALC_EEM!D299)</f>
      </c>
      <c r="E306" s="14" t="str">
        <f>IF(CALC_EEM!$B299="","",CALC_EEM!E299)</f>
      </c>
      <c r="F306" s="14" t="str">
        <f>IF(CALC_EEM!$B299="","",CALC_EEM!F299)</f>
      </c>
      <c r="G306" t="str">
        <f>IF(CALC_EEM!$B299="","",CALC_EEM!G299)</f>
      </c>
      <c r="H306" s="16" t="str">
        <f>IF(CALC_EEM!$B299="","",CALC_EEM!H299)</f>
      </c>
      <c r="I306" s="16" t="str">
        <f>IF(CALC_EEM!$B299="","",CALC_EEM!I299)</f>
      </c>
      <c r="J306" t="str">
        <f>IF(CALC_EEM!$B299="","",CALC_EEM!J299)</f>
      </c>
      <c r="K306" t="str">
        <f>IF(CALC_EEM!$B299="","",CALC_EEM!K299)</f>
      </c>
      <c r="L306">
        <f>IF(CALC_EEM!$B299="","",CALC_EEM!L299)</f>
      </c>
      <c r="M306">
        <f>IF(CALC_EEM!$B299="","",CALC_EEM!M299)</f>
      </c>
      <c r="N306">
        <f>IF(CALC_EEM!$B299="","",CALC_EEM!N299)</f>
      </c>
      <c r="O306">
        <f>IF(CALC_EEM!$B299="","",CALC_EEM!O299)</f>
      </c>
      <c r="P306">
        <f>IF(CALC_EEM!$B299="","",CALC_EEM!P299)</f>
      </c>
      <c r="Q306">
        <f>IF(CALC_EEM!$B299="","",CALC_EEM!Q299)</f>
      </c>
      <c r="R306">
        <f>IF(CALC_EEM!$B299="","",CALC_EEM!R299)</f>
      </c>
      <c r="S306">
        <f>IF(CALC_EEM!$B299="","",CALC_EEM!S299)</f>
      </c>
      <c r="T306">
        <f>IF(CALC_EEM!$B299="","",CALC_EEM!T299)</f>
      </c>
      <c r="U306">
        <f>IF(CALC_EEM!$B299="","",CALC_EEM!U299)</f>
      </c>
    </row>
    <row r="307" spans="1:24">
      <c r="A307" t="str">
        <f>IF(CALC_EEM!$B300="","",IF(CALC_EEM!A300="GLOBAL","GLOBAL",IF(CALC_EEM!C300="Total","CURSO_TOTAL",IF(CALC_EEM!C300="TotalEsp","CURSO_ESP",IF(CALC_EEM!C300="TotalNoEsp","CURSO_NOESP","CURSO_ASIG")))))</f>
      </c>
      <c r="B307" t="str">
        <f>IF(CALC_EEM!$B300="","",CALC_EEM!A300)</f>
      </c>
      <c r="C307" t="str">
        <f>IF(CALC_EEM!$B300="","",CALC_EEM!B300)</f>
      </c>
      <c r="D307">
        <f>IF(CALC_EEM!$B300="","",CALC_EEM!D300)</f>
      </c>
      <c r="E307" s="14" t="str">
        <f>IF(CALC_EEM!$B300="","",CALC_EEM!E300)</f>
      </c>
      <c r="F307" s="14" t="str">
        <f>IF(CALC_EEM!$B300="","",CALC_EEM!F300)</f>
      </c>
      <c r="G307" t="str">
        <f>IF(CALC_EEM!$B300="","",CALC_EEM!G300)</f>
      </c>
      <c r="H307" s="16" t="str">
        <f>IF(CALC_EEM!$B300="","",CALC_EEM!H300)</f>
      </c>
      <c r="I307" s="16" t="str">
        <f>IF(CALC_EEM!$B300="","",CALC_EEM!I300)</f>
      </c>
      <c r="J307" t="str">
        <f>IF(CALC_EEM!$B300="","",CALC_EEM!J300)</f>
      </c>
      <c r="K307" t="str">
        <f>IF(CALC_EEM!$B300="","",CALC_EEM!K300)</f>
      </c>
      <c r="L307">
        <f>IF(CALC_EEM!$B300="","",CALC_EEM!L300)</f>
      </c>
      <c r="M307">
        <f>IF(CALC_EEM!$B300="","",CALC_EEM!M300)</f>
      </c>
      <c r="N307">
        <f>IF(CALC_EEM!$B300="","",CALC_EEM!N300)</f>
      </c>
      <c r="O307">
        <f>IF(CALC_EEM!$B300="","",CALC_EEM!O300)</f>
      </c>
      <c r="P307">
        <f>IF(CALC_EEM!$B300="","",CALC_EEM!P300)</f>
      </c>
      <c r="Q307">
        <f>IF(CALC_EEM!$B300="","",CALC_EEM!Q300)</f>
      </c>
      <c r="R307">
        <f>IF(CALC_EEM!$B300="","",CALC_EEM!R300)</f>
      </c>
      <c r="S307">
        <f>IF(CALC_EEM!$B300="","",CALC_EEM!S300)</f>
      </c>
      <c r="T307">
        <f>IF(CALC_EEM!$B300="","",CALC_EEM!T300)</f>
      </c>
      <c r="U307">
        <f>IF(CALC_EEM!$B300="","",CALC_EEM!U300)</f>
      </c>
    </row>
    <row r="308" spans="1:24">
      <c r="A308" t="str">
        <f>IF(CALC_EEM!$B301="","",IF(CALC_EEM!A301="GLOBAL","GLOBAL",IF(CALC_EEM!C301="Total","CURSO_TOTAL",IF(CALC_EEM!C301="TotalEsp","CURSO_ESP",IF(CALC_EEM!C301="TotalNoEsp","CURSO_NOESP","CURSO_ASIG")))))</f>
      </c>
      <c r="B308" t="str">
        <f>IF(CALC_EEM!$B301="","",CALC_EEM!A301)</f>
      </c>
      <c r="C308" t="str">
        <f>IF(CALC_EEM!$B301="","",CALC_EEM!B301)</f>
      </c>
      <c r="D308">
        <f>IF(CALC_EEM!$B301="","",CALC_EEM!D301)</f>
      </c>
      <c r="E308" s="14" t="str">
        <f>IF(CALC_EEM!$B301="","",CALC_EEM!E301)</f>
      </c>
      <c r="F308" s="14" t="str">
        <f>IF(CALC_EEM!$B301="","",CALC_EEM!F301)</f>
      </c>
      <c r="G308" t="str">
        <f>IF(CALC_EEM!$B301="","",CALC_EEM!G301)</f>
      </c>
      <c r="H308" s="16" t="str">
        <f>IF(CALC_EEM!$B301="","",CALC_EEM!H301)</f>
      </c>
      <c r="I308" s="16" t="str">
        <f>IF(CALC_EEM!$B301="","",CALC_EEM!I301)</f>
      </c>
      <c r="J308" t="str">
        <f>IF(CALC_EEM!$B301="","",CALC_EEM!J301)</f>
      </c>
      <c r="K308" t="str">
        <f>IF(CALC_EEM!$B301="","",CALC_EEM!K301)</f>
      </c>
      <c r="L308">
        <f>IF(CALC_EEM!$B301="","",CALC_EEM!L301)</f>
      </c>
      <c r="M308">
        <f>IF(CALC_EEM!$B301="","",CALC_EEM!M301)</f>
      </c>
      <c r="N308">
        <f>IF(CALC_EEM!$B301="","",CALC_EEM!N301)</f>
      </c>
      <c r="O308">
        <f>IF(CALC_EEM!$B301="","",CALC_EEM!O301)</f>
      </c>
      <c r="P308">
        <f>IF(CALC_EEM!$B301="","",CALC_EEM!P301)</f>
      </c>
      <c r="Q308">
        <f>IF(CALC_EEM!$B301="","",CALC_EEM!Q301)</f>
      </c>
      <c r="R308">
        <f>IF(CALC_EEM!$B301="","",CALC_EEM!R301)</f>
      </c>
      <c r="S308">
        <f>IF(CALC_EEM!$B301="","",CALC_EEM!S301)</f>
      </c>
      <c r="T308">
        <f>IF(CALC_EEM!$B301="","",CALC_EEM!T301)</f>
      </c>
      <c r="U308">
        <f>IF(CALC_EEM!$B301="","",CALC_EEM!U301)</f>
      </c>
    </row>
    <row r="309" spans="1:24">
      <c r="A309" t="str">
        <f>IF(CALC_EEM!$B302="","",IF(CALC_EEM!A302="GLOBAL","GLOBAL",IF(CALC_EEM!C302="Total","CURSO_TOTAL",IF(CALC_EEM!C302="TotalEsp","CURSO_ESP",IF(CALC_EEM!C302="TotalNoEsp","CURSO_NOESP","CURSO_ASIG")))))</f>
      </c>
      <c r="B309" t="str">
        <f>IF(CALC_EEM!$B302="","",CALC_EEM!A302)</f>
      </c>
      <c r="C309" t="str">
        <f>IF(CALC_EEM!$B302="","",CALC_EEM!B302)</f>
      </c>
      <c r="D309">
        <f>IF(CALC_EEM!$B302="","",CALC_EEM!D302)</f>
      </c>
      <c r="E309" s="14" t="str">
        <f>IF(CALC_EEM!$B302="","",CALC_EEM!E302)</f>
      </c>
      <c r="F309" s="14" t="str">
        <f>IF(CALC_EEM!$B302="","",CALC_EEM!F302)</f>
      </c>
      <c r="G309" t="str">
        <f>IF(CALC_EEM!$B302="","",CALC_EEM!G302)</f>
      </c>
      <c r="H309" s="16" t="str">
        <f>IF(CALC_EEM!$B302="","",CALC_EEM!H302)</f>
      </c>
      <c r="I309" s="16" t="str">
        <f>IF(CALC_EEM!$B302="","",CALC_EEM!I302)</f>
      </c>
      <c r="J309" t="str">
        <f>IF(CALC_EEM!$B302="","",CALC_EEM!J302)</f>
      </c>
      <c r="K309" t="str">
        <f>IF(CALC_EEM!$B302="","",CALC_EEM!K302)</f>
      </c>
      <c r="L309">
        <f>IF(CALC_EEM!$B302="","",CALC_EEM!L302)</f>
      </c>
      <c r="M309">
        <f>IF(CALC_EEM!$B302="","",CALC_EEM!M302)</f>
      </c>
      <c r="N309">
        <f>IF(CALC_EEM!$B302="","",CALC_EEM!N302)</f>
      </c>
      <c r="O309">
        <f>IF(CALC_EEM!$B302="","",CALC_EEM!O302)</f>
      </c>
      <c r="P309">
        <f>IF(CALC_EEM!$B302="","",CALC_EEM!P302)</f>
      </c>
      <c r="Q309">
        <f>IF(CALC_EEM!$B302="","",CALC_EEM!Q302)</f>
      </c>
      <c r="R309">
        <f>IF(CALC_EEM!$B302="","",CALC_EEM!R302)</f>
      </c>
      <c r="S309">
        <f>IF(CALC_EEM!$B302="","",CALC_EEM!S302)</f>
      </c>
      <c r="T309">
        <f>IF(CALC_EEM!$B302="","",CALC_EEM!T302)</f>
      </c>
      <c r="U309">
        <f>IF(CALC_EEM!$B302="","",CALC_EEM!U302)</f>
      </c>
    </row>
    <row r="310" spans="1:24">
      <c r="A310" t="str">
        <f>IF(CALC_EEM!$B303="","",IF(CALC_EEM!A303="GLOBAL","GLOBAL",IF(CALC_EEM!C303="Total","CURSO_TOTAL",IF(CALC_EEM!C303="TotalEsp","CURSO_ESP",IF(CALC_EEM!C303="TotalNoEsp","CURSO_NOESP","CURSO_ASIG")))))</f>
      </c>
      <c r="B310" t="str">
        <f>IF(CALC_EEM!$B303="","",CALC_EEM!A303)</f>
      </c>
      <c r="C310" t="str">
        <f>IF(CALC_EEM!$B303="","",CALC_EEM!B303)</f>
      </c>
      <c r="D310">
        <f>IF(CALC_EEM!$B303="","",CALC_EEM!D303)</f>
      </c>
      <c r="E310" s="14" t="str">
        <f>IF(CALC_EEM!$B303="","",CALC_EEM!E303)</f>
      </c>
      <c r="F310" s="14" t="str">
        <f>IF(CALC_EEM!$B303="","",CALC_EEM!F303)</f>
      </c>
      <c r="G310" t="str">
        <f>IF(CALC_EEM!$B303="","",CALC_EEM!G303)</f>
      </c>
      <c r="H310" s="16" t="str">
        <f>IF(CALC_EEM!$B303="","",CALC_EEM!H303)</f>
      </c>
      <c r="I310" s="16" t="str">
        <f>IF(CALC_EEM!$B303="","",CALC_EEM!I303)</f>
      </c>
      <c r="J310" t="str">
        <f>IF(CALC_EEM!$B303="","",CALC_EEM!J303)</f>
      </c>
      <c r="K310" t="str">
        <f>IF(CALC_EEM!$B303="","",CALC_EEM!K303)</f>
      </c>
      <c r="L310">
        <f>IF(CALC_EEM!$B303="","",CALC_EEM!L303)</f>
      </c>
      <c r="M310">
        <f>IF(CALC_EEM!$B303="","",CALC_EEM!M303)</f>
      </c>
      <c r="N310">
        <f>IF(CALC_EEM!$B303="","",CALC_EEM!N303)</f>
      </c>
      <c r="O310">
        <f>IF(CALC_EEM!$B303="","",CALC_EEM!O303)</f>
      </c>
      <c r="P310">
        <f>IF(CALC_EEM!$B303="","",CALC_EEM!P303)</f>
      </c>
      <c r="Q310">
        <f>IF(CALC_EEM!$B303="","",CALC_EEM!Q303)</f>
      </c>
      <c r="R310">
        <f>IF(CALC_EEM!$B303="","",CALC_EEM!R303)</f>
      </c>
      <c r="S310">
        <f>IF(CALC_EEM!$B303="","",CALC_EEM!S303)</f>
      </c>
      <c r="T310">
        <f>IF(CALC_EEM!$B303="","",CALC_EEM!T303)</f>
      </c>
      <c r="U310">
        <f>IF(CALC_EEM!$B303="","",CALC_EEM!U303)</f>
      </c>
    </row>
    <row r="311" spans="1:24">
      <c r="A311" t="str">
        <f>IF(CALC_EEM!$B304="","",IF(CALC_EEM!A304="GLOBAL","GLOBAL",IF(CALC_EEM!C304="Total","CURSO_TOTAL",IF(CALC_EEM!C304="TotalEsp","CURSO_ESP",IF(CALC_EEM!C304="TotalNoEsp","CURSO_NOESP","CURSO_ASIG")))))</f>
      </c>
      <c r="B311" t="str">
        <f>IF(CALC_EEM!$B304="","",CALC_EEM!A304)</f>
      </c>
      <c r="C311" t="str">
        <f>IF(CALC_EEM!$B304="","",CALC_EEM!B304)</f>
      </c>
      <c r="D311">
        <f>IF(CALC_EEM!$B304="","",CALC_EEM!D304)</f>
      </c>
      <c r="E311" s="14" t="str">
        <f>IF(CALC_EEM!$B304="","",CALC_EEM!E304)</f>
      </c>
      <c r="F311" s="14" t="str">
        <f>IF(CALC_EEM!$B304="","",CALC_EEM!F304)</f>
      </c>
      <c r="G311" t="str">
        <f>IF(CALC_EEM!$B304="","",CALC_EEM!G304)</f>
      </c>
      <c r="H311" s="16" t="str">
        <f>IF(CALC_EEM!$B304="","",CALC_EEM!H304)</f>
      </c>
      <c r="I311" s="16" t="str">
        <f>IF(CALC_EEM!$B304="","",CALC_EEM!I304)</f>
      </c>
      <c r="J311" t="str">
        <f>IF(CALC_EEM!$B304="","",CALC_EEM!J304)</f>
      </c>
      <c r="K311" t="str">
        <f>IF(CALC_EEM!$B304="","",CALC_EEM!K304)</f>
      </c>
      <c r="L311">
        <f>IF(CALC_EEM!$B304="","",CALC_EEM!L304)</f>
      </c>
      <c r="M311">
        <f>IF(CALC_EEM!$B304="","",CALC_EEM!M304)</f>
      </c>
      <c r="N311">
        <f>IF(CALC_EEM!$B304="","",CALC_EEM!N304)</f>
      </c>
      <c r="O311">
        <f>IF(CALC_EEM!$B304="","",CALC_EEM!O304)</f>
      </c>
      <c r="P311">
        <f>IF(CALC_EEM!$B304="","",CALC_EEM!P304)</f>
      </c>
      <c r="Q311">
        <f>IF(CALC_EEM!$B304="","",CALC_EEM!Q304)</f>
      </c>
      <c r="R311">
        <f>IF(CALC_EEM!$B304="","",CALC_EEM!R304)</f>
      </c>
      <c r="S311">
        <f>IF(CALC_EEM!$B304="","",CALC_EEM!S304)</f>
      </c>
      <c r="T311">
        <f>IF(CALC_EEM!$B304="","",CALC_EEM!T304)</f>
      </c>
      <c r="U311">
        <f>IF(CALC_EEM!$B304="","",CALC_EEM!U304)</f>
      </c>
    </row>
    <row r="312" spans="1:24">
      <c r="A312" t="str">
        <f>IF(CALC_EEM!$B305="","",IF(CALC_EEM!A305="GLOBAL","GLOBAL",IF(CALC_EEM!C305="Total","CURSO_TOTAL",IF(CALC_EEM!C305="TotalEsp","CURSO_ESP",IF(CALC_EEM!C305="TotalNoEsp","CURSO_NOESP","CURSO_ASIG")))))</f>
      </c>
      <c r="B312" t="str">
        <f>IF(CALC_EEM!$B305="","",CALC_EEM!A305)</f>
      </c>
      <c r="C312" t="str">
        <f>IF(CALC_EEM!$B305="","",CALC_EEM!B305)</f>
      </c>
      <c r="D312">
        <f>IF(CALC_EEM!$B305="","",CALC_EEM!D305)</f>
      </c>
      <c r="E312" s="14" t="str">
        <f>IF(CALC_EEM!$B305="","",CALC_EEM!E305)</f>
      </c>
      <c r="F312" s="14" t="str">
        <f>IF(CALC_EEM!$B305="","",CALC_EEM!F305)</f>
      </c>
      <c r="G312" t="str">
        <f>IF(CALC_EEM!$B305="","",CALC_EEM!G305)</f>
      </c>
      <c r="H312" s="16" t="str">
        <f>IF(CALC_EEM!$B305="","",CALC_EEM!H305)</f>
      </c>
      <c r="I312" s="16" t="str">
        <f>IF(CALC_EEM!$B305="","",CALC_EEM!I305)</f>
      </c>
      <c r="J312" t="str">
        <f>IF(CALC_EEM!$B305="","",CALC_EEM!J305)</f>
      </c>
      <c r="K312" t="str">
        <f>IF(CALC_EEM!$B305="","",CALC_EEM!K305)</f>
      </c>
      <c r="L312">
        <f>IF(CALC_EEM!$B305="","",CALC_EEM!L305)</f>
      </c>
      <c r="M312">
        <f>IF(CALC_EEM!$B305="","",CALC_EEM!M305)</f>
      </c>
      <c r="N312">
        <f>IF(CALC_EEM!$B305="","",CALC_EEM!N305)</f>
      </c>
      <c r="O312">
        <f>IF(CALC_EEM!$B305="","",CALC_EEM!O305)</f>
      </c>
      <c r="P312">
        <f>IF(CALC_EEM!$B305="","",CALC_EEM!P305)</f>
      </c>
      <c r="Q312">
        <f>IF(CALC_EEM!$B305="","",CALC_EEM!Q305)</f>
      </c>
      <c r="R312">
        <f>IF(CALC_EEM!$B305="","",CALC_EEM!R305)</f>
      </c>
      <c r="S312">
        <f>IF(CALC_EEM!$B305="","",CALC_EEM!S305)</f>
      </c>
      <c r="T312">
        <f>IF(CALC_EEM!$B305="","",CALC_EEM!T305)</f>
      </c>
      <c r="U312">
        <f>IF(CALC_EEM!$B305="","",CALC_EEM!U305)</f>
      </c>
    </row>
    <row r="313" spans="1:24">
      <c r="A313" t="str">
        <f>IF(CALC_EEM!$B306="","",IF(CALC_EEM!A306="GLOBAL","GLOBAL",IF(CALC_EEM!C306="Total","CURSO_TOTAL",IF(CALC_EEM!C306="TotalEsp","CURSO_ESP",IF(CALC_EEM!C306="TotalNoEsp","CURSO_NOESP","CURSO_ASIG")))))</f>
      </c>
      <c r="B313" t="str">
        <f>IF(CALC_EEM!$B306="","",CALC_EEM!A306)</f>
      </c>
      <c r="C313" t="str">
        <f>IF(CALC_EEM!$B306="","",CALC_EEM!B306)</f>
      </c>
      <c r="D313">
        <f>IF(CALC_EEM!$B306="","",CALC_EEM!D306)</f>
      </c>
      <c r="E313" s="14" t="str">
        <f>IF(CALC_EEM!$B306="","",CALC_EEM!E306)</f>
      </c>
      <c r="F313" s="14" t="str">
        <f>IF(CALC_EEM!$B306="","",CALC_EEM!F306)</f>
      </c>
      <c r="G313" t="str">
        <f>IF(CALC_EEM!$B306="","",CALC_EEM!G306)</f>
      </c>
      <c r="H313" s="16" t="str">
        <f>IF(CALC_EEM!$B306="","",CALC_EEM!H306)</f>
      </c>
      <c r="I313" s="16" t="str">
        <f>IF(CALC_EEM!$B306="","",CALC_EEM!I306)</f>
      </c>
      <c r="J313" t="str">
        <f>IF(CALC_EEM!$B306="","",CALC_EEM!J306)</f>
      </c>
      <c r="K313" t="str">
        <f>IF(CALC_EEM!$B306="","",CALC_EEM!K306)</f>
      </c>
      <c r="L313">
        <f>IF(CALC_EEM!$B306="","",CALC_EEM!L306)</f>
      </c>
      <c r="M313">
        <f>IF(CALC_EEM!$B306="","",CALC_EEM!M306)</f>
      </c>
      <c r="N313">
        <f>IF(CALC_EEM!$B306="","",CALC_EEM!N306)</f>
      </c>
      <c r="O313">
        <f>IF(CALC_EEM!$B306="","",CALC_EEM!O306)</f>
      </c>
      <c r="P313">
        <f>IF(CALC_EEM!$B306="","",CALC_EEM!P306)</f>
      </c>
      <c r="Q313">
        <f>IF(CALC_EEM!$B306="","",CALC_EEM!Q306)</f>
      </c>
      <c r="R313">
        <f>IF(CALC_EEM!$B306="","",CALC_EEM!R306)</f>
      </c>
      <c r="S313">
        <f>IF(CALC_EEM!$B306="","",CALC_EEM!S306)</f>
      </c>
      <c r="T313">
        <f>IF(CALC_EEM!$B306="","",CALC_EEM!T306)</f>
      </c>
      <c r="U313">
        <f>IF(CALC_EEM!$B306="","",CALC_EEM!U306)</f>
      </c>
    </row>
    <row r="314" spans="1:24">
      <c r="A314" t="str">
        <f>IF(CALC_EEM!$B307="","",IF(CALC_EEM!A307="GLOBAL","GLOBAL",IF(CALC_EEM!C307="Total","CURSO_TOTAL",IF(CALC_EEM!C307="TotalEsp","CURSO_ESP",IF(CALC_EEM!C307="TotalNoEsp","CURSO_NOESP","CURSO_ASIG")))))</f>
      </c>
      <c r="B314" t="str">
        <f>IF(CALC_EEM!$B307="","",CALC_EEM!A307)</f>
      </c>
      <c r="C314" t="str">
        <f>IF(CALC_EEM!$B307="","",CALC_EEM!B307)</f>
      </c>
      <c r="D314">
        <f>IF(CALC_EEM!$B307="","",CALC_EEM!D307)</f>
      </c>
      <c r="E314" s="14" t="str">
        <f>IF(CALC_EEM!$B307="","",CALC_EEM!E307)</f>
      </c>
      <c r="F314" s="14" t="str">
        <f>IF(CALC_EEM!$B307="","",CALC_EEM!F307)</f>
      </c>
      <c r="G314" t="str">
        <f>IF(CALC_EEM!$B307="","",CALC_EEM!G307)</f>
      </c>
      <c r="H314" s="16" t="str">
        <f>IF(CALC_EEM!$B307="","",CALC_EEM!H307)</f>
      </c>
      <c r="I314" s="16" t="str">
        <f>IF(CALC_EEM!$B307="","",CALC_EEM!I307)</f>
      </c>
      <c r="J314" t="str">
        <f>IF(CALC_EEM!$B307="","",CALC_EEM!J307)</f>
      </c>
      <c r="K314" t="str">
        <f>IF(CALC_EEM!$B307="","",CALC_EEM!K307)</f>
      </c>
      <c r="L314">
        <f>IF(CALC_EEM!$B307="","",CALC_EEM!L307)</f>
      </c>
      <c r="M314">
        <f>IF(CALC_EEM!$B307="","",CALC_EEM!M307)</f>
      </c>
      <c r="N314">
        <f>IF(CALC_EEM!$B307="","",CALC_EEM!N307)</f>
      </c>
      <c r="O314">
        <f>IF(CALC_EEM!$B307="","",CALC_EEM!O307)</f>
      </c>
      <c r="P314">
        <f>IF(CALC_EEM!$B307="","",CALC_EEM!P307)</f>
      </c>
      <c r="Q314">
        <f>IF(CALC_EEM!$B307="","",CALC_EEM!Q307)</f>
      </c>
      <c r="R314">
        <f>IF(CALC_EEM!$B307="","",CALC_EEM!R307)</f>
      </c>
      <c r="S314">
        <f>IF(CALC_EEM!$B307="","",CALC_EEM!S307)</f>
      </c>
      <c r="T314">
        <f>IF(CALC_EEM!$B307="","",CALC_EEM!T307)</f>
      </c>
      <c r="U314">
        <f>IF(CALC_EEM!$B307="","",CALC_EEM!U307)</f>
      </c>
    </row>
    <row r="315" spans="1:24">
      <c r="A315" t="str">
        <f>IF(CALC_EEM!$B308="","",IF(CALC_EEM!A308="GLOBAL","GLOBAL",IF(CALC_EEM!C308="Total","CURSO_TOTAL",IF(CALC_EEM!C308="TotalEsp","CURSO_ESP",IF(CALC_EEM!C308="TotalNoEsp","CURSO_NOESP","CURSO_ASIG")))))</f>
      </c>
      <c r="B315" t="str">
        <f>IF(CALC_EEM!$B308="","",CALC_EEM!A308)</f>
      </c>
      <c r="C315" t="str">
        <f>IF(CALC_EEM!$B308="","",CALC_EEM!B308)</f>
      </c>
      <c r="D315">
        <f>IF(CALC_EEM!$B308="","",CALC_EEM!D308)</f>
      </c>
      <c r="E315" s="14" t="str">
        <f>IF(CALC_EEM!$B308="","",CALC_EEM!E308)</f>
      </c>
      <c r="F315" s="14" t="str">
        <f>IF(CALC_EEM!$B308="","",CALC_EEM!F308)</f>
      </c>
      <c r="G315" t="str">
        <f>IF(CALC_EEM!$B308="","",CALC_EEM!G308)</f>
      </c>
      <c r="H315" s="16" t="str">
        <f>IF(CALC_EEM!$B308="","",CALC_EEM!H308)</f>
      </c>
      <c r="I315" s="16" t="str">
        <f>IF(CALC_EEM!$B308="","",CALC_EEM!I308)</f>
      </c>
      <c r="J315" t="str">
        <f>IF(CALC_EEM!$B308="","",CALC_EEM!J308)</f>
      </c>
      <c r="K315" t="str">
        <f>IF(CALC_EEM!$B308="","",CALC_EEM!K308)</f>
      </c>
      <c r="L315">
        <f>IF(CALC_EEM!$B308="","",CALC_EEM!L308)</f>
      </c>
      <c r="M315">
        <f>IF(CALC_EEM!$B308="","",CALC_EEM!M308)</f>
      </c>
      <c r="N315">
        <f>IF(CALC_EEM!$B308="","",CALC_EEM!N308)</f>
      </c>
      <c r="O315">
        <f>IF(CALC_EEM!$B308="","",CALC_EEM!O308)</f>
      </c>
      <c r="P315">
        <f>IF(CALC_EEM!$B308="","",CALC_EEM!P308)</f>
      </c>
      <c r="Q315">
        <f>IF(CALC_EEM!$B308="","",CALC_EEM!Q308)</f>
      </c>
      <c r="R315">
        <f>IF(CALC_EEM!$B308="","",CALC_EEM!R308)</f>
      </c>
      <c r="S315">
        <f>IF(CALC_EEM!$B308="","",CALC_EEM!S308)</f>
      </c>
      <c r="T315">
        <f>IF(CALC_EEM!$B308="","",CALC_EEM!T308)</f>
      </c>
      <c r="U315">
        <f>IF(CALC_EEM!$B308="","",CALC_EEM!U308)</f>
      </c>
    </row>
    <row r="316" spans="1:24">
      <c r="A316" t="str">
        <f>IF(CALC_EEM!$B309="","",IF(CALC_EEM!A309="GLOBAL","GLOBAL",IF(CALC_EEM!C309="Total","CURSO_TOTAL",IF(CALC_EEM!C309="TotalEsp","CURSO_ESP",IF(CALC_EEM!C309="TotalNoEsp","CURSO_NOESP","CURSO_ASIG")))))</f>
      </c>
      <c r="B316" t="str">
        <f>IF(CALC_EEM!$B309="","",CALC_EEM!A309)</f>
      </c>
      <c r="C316" t="str">
        <f>IF(CALC_EEM!$B309="","",CALC_EEM!B309)</f>
      </c>
      <c r="D316">
        <f>IF(CALC_EEM!$B309="","",CALC_EEM!D309)</f>
      </c>
      <c r="E316" s="14" t="str">
        <f>IF(CALC_EEM!$B309="","",CALC_EEM!E309)</f>
      </c>
      <c r="F316" s="14" t="str">
        <f>IF(CALC_EEM!$B309="","",CALC_EEM!F309)</f>
      </c>
      <c r="G316" t="str">
        <f>IF(CALC_EEM!$B309="","",CALC_EEM!G309)</f>
      </c>
      <c r="H316" s="16" t="str">
        <f>IF(CALC_EEM!$B309="","",CALC_EEM!H309)</f>
      </c>
      <c r="I316" s="16" t="str">
        <f>IF(CALC_EEM!$B309="","",CALC_EEM!I309)</f>
      </c>
      <c r="J316" t="str">
        <f>IF(CALC_EEM!$B309="","",CALC_EEM!J309)</f>
      </c>
      <c r="K316" t="str">
        <f>IF(CALC_EEM!$B309="","",CALC_EEM!K309)</f>
      </c>
      <c r="L316">
        <f>IF(CALC_EEM!$B309="","",CALC_EEM!L309)</f>
      </c>
      <c r="M316">
        <f>IF(CALC_EEM!$B309="","",CALC_EEM!M309)</f>
      </c>
      <c r="N316">
        <f>IF(CALC_EEM!$B309="","",CALC_EEM!N309)</f>
      </c>
      <c r="O316">
        <f>IF(CALC_EEM!$B309="","",CALC_EEM!O309)</f>
      </c>
      <c r="P316">
        <f>IF(CALC_EEM!$B309="","",CALC_EEM!P309)</f>
      </c>
      <c r="Q316">
        <f>IF(CALC_EEM!$B309="","",CALC_EEM!Q309)</f>
      </c>
      <c r="R316">
        <f>IF(CALC_EEM!$B309="","",CALC_EEM!R309)</f>
      </c>
      <c r="S316">
        <f>IF(CALC_EEM!$B309="","",CALC_EEM!S309)</f>
      </c>
      <c r="T316">
        <f>IF(CALC_EEM!$B309="","",CALC_EEM!T309)</f>
      </c>
      <c r="U316">
        <f>IF(CALC_EEM!$B309="","",CALC_EEM!U309)</f>
      </c>
    </row>
    <row r="317" spans="1:24">
      <c r="A317" t="str">
        <f>IF(CALC_EEM!$B310="","",IF(CALC_EEM!A310="GLOBAL","GLOBAL",IF(CALC_EEM!C310="Total","CURSO_TOTAL",IF(CALC_EEM!C310="TotalEsp","CURSO_ESP",IF(CALC_EEM!C310="TotalNoEsp","CURSO_NOESP","CURSO_ASIG")))))</f>
      </c>
      <c r="B317" t="str">
        <f>IF(CALC_EEM!$B310="","",CALC_EEM!A310)</f>
      </c>
      <c r="C317" t="str">
        <f>IF(CALC_EEM!$B310="","",CALC_EEM!B310)</f>
      </c>
      <c r="D317">
        <f>IF(CALC_EEM!$B310="","",CALC_EEM!D310)</f>
      </c>
      <c r="E317" s="14" t="str">
        <f>IF(CALC_EEM!$B310="","",CALC_EEM!E310)</f>
      </c>
      <c r="F317" s="14" t="str">
        <f>IF(CALC_EEM!$B310="","",CALC_EEM!F310)</f>
      </c>
      <c r="G317" t="str">
        <f>IF(CALC_EEM!$B310="","",CALC_EEM!G310)</f>
      </c>
      <c r="H317" s="16" t="str">
        <f>IF(CALC_EEM!$B310="","",CALC_EEM!H310)</f>
      </c>
      <c r="I317" s="16" t="str">
        <f>IF(CALC_EEM!$B310="","",CALC_EEM!I310)</f>
      </c>
      <c r="J317" t="str">
        <f>IF(CALC_EEM!$B310="","",CALC_EEM!J310)</f>
      </c>
      <c r="K317" t="str">
        <f>IF(CALC_EEM!$B310="","",CALC_EEM!K310)</f>
      </c>
      <c r="L317">
        <f>IF(CALC_EEM!$B310="","",CALC_EEM!L310)</f>
      </c>
      <c r="M317">
        <f>IF(CALC_EEM!$B310="","",CALC_EEM!M310)</f>
      </c>
      <c r="N317">
        <f>IF(CALC_EEM!$B310="","",CALC_EEM!N310)</f>
      </c>
      <c r="O317">
        <f>IF(CALC_EEM!$B310="","",CALC_EEM!O310)</f>
      </c>
      <c r="P317">
        <f>IF(CALC_EEM!$B310="","",CALC_EEM!P310)</f>
      </c>
      <c r="Q317">
        <f>IF(CALC_EEM!$B310="","",CALC_EEM!Q310)</f>
      </c>
      <c r="R317">
        <f>IF(CALC_EEM!$B310="","",CALC_EEM!R310)</f>
      </c>
      <c r="S317">
        <f>IF(CALC_EEM!$B310="","",CALC_EEM!S310)</f>
      </c>
      <c r="T317">
        <f>IF(CALC_EEM!$B310="","",CALC_EEM!T310)</f>
      </c>
      <c r="U317">
        <f>IF(CALC_EEM!$B310="","",CALC_EEM!U310)</f>
      </c>
    </row>
    <row r="318" spans="1:24">
      <c r="A318" t="str">
        <f>IF(CALC_EEM!$B311="","",IF(CALC_EEM!A311="GLOBAL","GLOBAL",IF(CALC_EEM!C311="Total","CURSO_TOTAL",IF(CALC_EEM!C311="TotalEsp","CURSO_ESP",IF(CALC_EEM!C311="TotalNoEsp","CURSO_NOESP","CURSO_ASIG")))))</f>
      </c>
      <c r="B318" t="str">
        <f>IF(CALC_EEM!$B311="","",CALC_EEM!A311)</f>
      </c>
      <c r="C318" t="str">
        <f>IF(CALC_EEM!$B311="","",CALC_EEM!B311)</f>
      </c>
      <c r="D318">
        <f>IF(CALC_EEM!$B311="","",CALC_EEM!D311)</f>
      </c>
      <c r="E318" s="14" t="str">
        <f>IF(CALC_EEM!$B311="","",CALC_EEM!E311)</f>
      </c>
      <c r="F318" s="14" t="str">
        <f>IF(CALC_EEM!$B311="","",CALC_EEM!F311)</f>
      </c>
      <c r="G318" t="str">
        <f>IF(CALC_EEM!$B311="","",CALC_EEM!G311)</f>
      </c>
      <c r="H318" s="16" t="str">
        <f>IF(CALC_EEM!$B311="","",CALC_EEM!H311)</f>
      </c>
      <c r="I318" s="16" t="str">
        <f>IF(CALC_EEM!$B311="","",CALC_EEM!I311)</f>
      </c>
      <c r="J318" t="str">
        <f>IF(CALC_EEM!$B311="","",CALC_EEM!J311)</f>
      </c>
      <c r="K318" t="str">
        <f>IF(CALC_EEM!$B311="","",CALC_EEM!K311)</f>
      </c>
      <c r="L318">
        <f>IF(CALC_EEM!$B311="","",CALC_EEM!L311)</f>
      </c>
      <c r="M318">
        <f>IF(CALC_EEM!$B311="","",CALC_EEM!M311)</f>
      </c>
      <c r="N318">
        <f>IF(CALC_EEM!$B311="","",CALC_EEM!N311)</f>
      </c>
      <c r="O318">
        <f>IF(CALC_EEM!$B311="","",CALC_EEM!O311)</f>
      </c>
      <c r="P318">
        <f>IF(CALC_EEM!$B311="","",CALC_EEM!P311)</f>
      </c>
      <c r="Q318">
        <f>IF(CALC_EEM!$B311="","",CALC_EEM!Q311)</f>
      </c>
      <c r="R318">
        <f>IF(CALC_EEM!$B311="","",CALC_EEM!R311)</f>
      </c>
      <c r="S318">
        <f>IF(CALC_EEM!$B311="","",CALC_EEM!S311)</f>
      </c>
      <c r="T318">
        <f>IF(CALC_EEM!$B311="","",CALC_EEM!T311)</f>
      </c>
      <c r="U318">
        <f>IF(CALC_EEM!$B311="","",CALC_EEM!U311)</f>
      </c>
    </row>
    <row r="319" spans="1:24">
      <c r="A319" t="str">
        <f>IF(CALC_EEM!$B312="","",IF(CALC_EEM!A312="GLOBAL","GLOBAL",IF(CALC_EEM!C312="Total","CURSO_TOTAL",IF(CALC_EEM!C312="TotalEsp","CURSO_ESP",IF(CALC_EEM!C312="TotalNoEsp","CURSO_NOESP","CURSO_ASIG")))))</f>
      </c>
      <c r="B319" t="str">
        <f>IF(CALC_EEM!$B312="","",CALC_EEM!A312)</f>
      </c>
      <c r="C319" t="str">
        <f>IF(CALC_EEM!$B312="","",CALC_EEM!B312)</f>
      </c>
      <c r="D319">
        <f>IF(CALC_EEM!$B312="","",CALC_EEM!D312)</f>
      </c>
      <c r="E319" s="14" t="str">
        <f>IF(CALC_EEM!$B312="","",CALC_EEM!E312)</f>
      </c>
      <c r="F319" s="14" t="str">
        <f>IF(CALC_EEM!$B312="","",CALC_EEM!F312)</f>
      </c>
      <c r="G319" t="str">
        <f>IF(CALC_EEM!$B312="","",CALC_EEM!G312)</f>
      </c>
      <c r="H319" s="16" t="str">
        <f>IF(CALC_EEM!$B312="","",CALC_EEM!H312)</f>
      </c>
      <c r="I319" s="16" t="str">
        <f>IF(CALC_EEM!$B312="","",CALC_EEM!I312)</f>
      </c>
      <c r="J319" t="str">
        <f>IF(CALC_EEM!$B312="","",CALC_EEM!J312)</f>
      </c>
      <c r="K319" t="str">
        <f>IF(CALC_EEM!$B312="","",CALC_EEM!K312)</f>
      </c>
      <c r="L319">
        <f>IF(CALC_EEM!$B312="","",CALC_EEM!L312)</f>
      </c>
      <c r="M319">
        <f>IF(CALC_EEM!$B312="","",CALC_EEM!M312)</f>
      </c>
      <c r="N319">
        <f>IF(CALC_EEM!$B312="","",CALC_EEM!N312)</f>
      </c>
      <c r="O319">
        <f>IF(CALC_EEM!$B312="","",CALC_EEM!O312)</f>
      </c>
      <c r="P319">
        <f>IF(CALC_EEM!$B312="","",CALC_EEM!P312)</f>
      </c>
      <c r="Q319">
        <f>IF(CALC_EEM!$B312="","",CALC_EEM!Q312)</f>
      </c>
      <c r="R319">
        <f>IF(CALC_EEM!$B312="","",CALC_EEM!R312)</f>
      </c>
      <c r="S319">
        <f>IF(CALC_EEM!$B312="","",CALC_EEM!S312)</f>
      </c>
      <c r="T319">
        <f>IF(CALC_EEM!$B312="","",CALC_EEM!T312)</f>
      </c>
      <c r="U319">
        <f>IF(CALC_EEM!$B312="","",CALC_EEM!U312)</f>
      </c>
    </row>
    <row r="320" spans="1:24">
      <c r="A320" t="str">
        <f>IF(CALC_EEM!$B313="","",IF(CALC_EEM!A313="GLOBAL","GLOBAL",IF(CALC_EEM!C313="Total","CURSO_TOTAL",IF(CALC_EEM!C313="TotalEsp","CURSO_ESP",IF(CALC_EEM!C313="TotalNoEsp","CURSO_NOESP","CURSO_ASIG")))))</f>
      </c>
      <c r="B320" t="str">
        <f>IF(CALC_EEM!$B313="","",CALC_EEM!A313)</f>
      </c>
      <c r="C320" t="str">
        <f>IF(CALC_EEM!$B313="","",CALC_EEM!B313)</f>
      </c>
      <c r="D320">
        <f>IF(CALC_EEM!$B313="","",CALC_EEM!D313)</f>
      </c>
      <c r="E320" s="14" t="str">
        <f>IF(CALC_EEM!$B313="","",CALC_EEM!E313)</f>
      </c>
      <c r="F320" s="14" t="str">
        <f>IF(CALC_EEM!$B313="","",CALC_EEM!F313)</f>
      </c>
      <c r="G320" t="str">
        <f>IF(CALC_EEM!$B313="","",CALC_EEM!G313)</f>
      </c>
      <c r="H320" s="16" t="str">
        <f>IF(CALC_EEM!$B313="","",CALC_EEM!H313)</f>
      </c>
      <c r="I320" s="16" t="str">
        <f>IF(CALC_EEM!$B313="","",CALC_EEM!I313)</f>
      </c>
      <c r="J320" t="str">
        <f>IF(CALC_EEM!$B313="","",CALC_EEM!J313)</f>
      </c>
      <c r="K320" t="str">
        <f>IF(CALC_EEM!$B313="","",CALC_EEM!K313)</f>
      </c>
      <c r="L320">
        <f>IF(CALC_EEM!$B313="","",CALC_EEM!L313)</f>
      </c>
      <c r="M320">
        <f>IF(CALC_EEM!$B313="","",CALC_EEM!M313)</f>
      </c>
      <c r="N320">
        <f>IF(CALC_EEM!$B313="","",CALC_EEM!N313)</f>
      </c>
      <c r="O320">
        <f>IF(CALC_EEM!$B313="","",CALC_EEM!O313)</f>
      </c>
      <c r="P320">
        <f>IF(CALC_EEM!$B313="","",CALC_EEM!P313)</f>
      </c>
      <c r="Q320">
        <f>IF(CALC_EEM!$B313="","",CALC_EEM!Q313)</f>
      </c>
      <c r="R320">
        <f>IF(CALC_EEM!$B313="","",CALC_EEM!R313)</f>
      </c>
      <c r="S320">
        <f>IF(CALC_EEM!$B313="","",CALC_EEM!S313)</f>
      </c>
      <c r="T320">
        <f>IF(CALC_EEM!$B313="","",CALC_EEM!T313)</f>
      </c>
      <c r="U320">
        <f>IF(CALC_EEM!$B313="","",CALC_EEM!U313)</f>
      </c>
    </row>
    <row r="321" spans="1:24">
      <c r="A321" t="str">
        <f>IF(CALC_EEM!$B314="","",IF(CALC_EEM!A314="GLOBAL","GLOBAL",IF(CALC_EEM!C314="Total","CURSO_TOTAL",IF(CALC_EEM!C314="TotalEsp","CURSO_ESP",IF(CALC_EEM!C314="TotalNoEsp","CURSO_NOESP","CURSO_ASIG")))))</f>
      </c>
      <c r="B321" t="str">
        <f>IF(CALC_EEM!$B314="","",CALC_EEM!A314)</f>
      </c>
      <c r="C321" t="str">
        <f>IF(CALC_EEM!$B314="","",CALC_EEM!B314)</f>
      </c>
      <c r="D321">
        <f>IF(CALC_EEM!$B314="","",CALC_EEM!D314)</f>
      </c>
      <c r="E321" s="14" t="str">
        <f>IF(CALC_EEM!$B314="","",CALC_EEM!E314)</f>
      </c>
      <c r="F321" s="14" t="str">
        <f>IF(CALC_EEM!$B314="","",CALC_EEM!F314)</f>
      </c>
      <c r="G321" t="str">
        <f>IF(CALC_EEM!$B314="","",CALC_EEM!G314)</f>
      </c>
      <c r="H321" s="16" t="str">
        <f>IF(CALC_EEM!$B314="","",CALC_EEM!H314)</f>
      </c>
      <c r="I321" s="16" t="str">
        <f>IF(CALC_EEM!$B314="","",CALC_EEM!I314)</f>
      </c>
      <c r="J321" t="str">
        <f>IF(CALC_EEM!$B314="","",CALC_EEM!J314)</f>
      </c>
      <c r="K321" t="str">
        <f>IF(CALC_EEM!$B314="","",CALC_EEM!K314)</f>
      </c>
      <c r="L321">
        <f>IF(CALC_EEM!$B314="","",CALC_EEM!L314)</f>
      </c>
      <c r="M321">
        <f>IF(CALC_EEM!$B314="","",CALC_EEM!M314)</f>
      </c>
      <c r="N321">
        <f>IF(CALC_EEM!$B314="","",CALC_EEM!N314)</f>
      </c>
      <c r="O321">
        <f>IF(CALC_EEM!$B314="","",CALC_EEM!O314)</f>
      </c>
      <c r="P321">
        <f>IF(CALC_EEM!$B314="","",CALC_EEM!P314)</f>
      </c>
      <c r="Q321">
        <f>IF(CALC_EEM!$B314="","",CALC_EEM!Q314)</f>
      </c>
      <c r="R321">
        <f>IF(CALC_EEM!$B314="","",CALC_EEM!R314)</f>
      </c>
      <c r="S321">
        <f>IF(CALC_EEM!$B314="","",CALC_EEM!S314)</f>
      </c>
      <c r="T321">
        <f>IF(CALC_EEM!$B314="","",CALC_EEM!T314)</f>
      </c>
      <c r="U321">
        <f>IF(CALC_EEM!$B314="","",CALC_EEM!U314)</f>
      </c>
    </row>
    <row r="322" spans="1:24">
      <c r="A322" t="str">
        <f>IF(CALC_EEM!$B315="","",IF(CALC_EEM!A315="GLOBAL","GLOBAL",IF(CALC_EEM!C315="Total","CURSO_TOTAL",IF(CALC_EEM!C315="TotalEsp","CURSO_ESP",IF(CALC_EEM!C315="TotalNoEsp","CURSO_NOESP","CURSO_ASIG")))))</f>
      </c>
      <c r="B322" t="str">
        <f>IF(CALC_EEM!$B315="","",CALC_EEM!A315)</f>
      </c>
      <c r="C322" t="str">
        <f>IF(CALC_EEM!$B315="","",CALC_EEM!B315)</f>
      </c>
      <c r="D322">
        <f>IF(CALC_EEM!$B315="","",CALC_EEM!D315)</f>
      </c>
      <c r="E322" s="14" t="str">
        <f>IF(CALC_EEM!$B315="","",CALC_EEM!E315)</f>
      </c>
      <c r="F322" s="14" t="str">
        <f>IF(CALC_EEM!$B315="","",CALC_EEM!F315)</f>
      </c>
      <c r="G322" t="str">
        <f>IF(CALC_EEM!$B315="","",CALC_EEM!G315)</f>
      </c>
      <c r="H322" s="16" t="str">
        <f>IF(CALC_EEM!$B315="","",CALC_EEM!H315)</f>
      </c>
      <c r="I322" s="16" t="str">
        <f>IF(CALC_EEM!$B315="","",CALC_EEM!I315)</f>
      </c>
      <c r="J322" t="str">
        <f>IF(CALC_EEM!$B315="","",CALC_EEM!J315)</f>
      </c>
      <c r="K322" t="str">
        <f>IF(CALC_EEM!$B315="","",CALC_EEM!K315)</f>
      </c>
      <c r="L322">
        <f>IF(CALC_EEM!$B315="","",CALC_EEM!L315)</f>
      </c>
      <c r="M322">
        <f>IF(CALC_EEM!$B315="","",CALC_EEM!M315)</f>
      </c>
      <c r="N322">
        <f>IF(CALC_EEM!$B315="","",CALC_EEM!N315)</f>
      </c>
      <c r="O322">
        <f>IF(CALC_EEM!$B315="","",CALC_EEM!O315)</f>
      </c>
      <c r="P322">
        <f>IF(CALC_EEM!$B315="","",CALC_EEM!P315)</f>
      </c>
      <c r="Q322">
        <f>IF(CALC_EEM!$B315="","",CALC_EEM!Q315)</f>
      </c>
      <c r="R322">
        <f>IF(CALC_EEM!$B315="","",CALC_EEM!R315)</f>
      </c>
      <c r="S322">
        <f>IF(CALC_EEM!$B315="","",CALC_EEM!S315)</f>
      </c>
      <c r="T322">
        <f>IF(CALC_EEM!$B315="","",CALC_EEM!T315)</f>
      </c>
      <c r="U322">
        <f>IF(CALC_EEM!$B315="","",CALC_EEM!U315)</f>
      </c>
    </row>
    <row r="323" spans="1:24">
      <c r="A323" t="str">
        <f>IF(CALC_EEM!$B316="","",IF(CALC_EEM!A316="GLOBAL","GLOBAL",IF(CALC_EEM!C316="Total","CURSO_TOTAL",IF(CALC_EEM!C316="TotalEsp","CURSO_ESP",IF(CALC_EEM!C316="TotalNoEsp","CURSO_NOESP","CURSO_ASIG")))))</f>
      </c>
      <c r="B323" t="str">
        <f>IF(CALC_EEM!$B316="","",CALC_EEM!A316)</f>
      </c>
      <c r="C323" t="str">
        <f>IF(CALC_EEM!$B316="","",CALC_EEM!B316)</f>
      </c>
      <c r="D323">
        <f>IF(CALC_EEM!$B316="","",CALC_EEM!D316)</f>
      </c>
      <c r="E323" s="14" t="str">
        <f>IF(CALC_EEM!$B316="","",CALC_EEM!E316)</f>
      </c>
      <c r="F323" s="14" t="str">
        <f>IF(CALC_EEM!$B316="","",CALC_EEM!F316)</f>
      </c>
      <c r="G323" t="str">
        <f>IF(CALC_EEM!$B316="","",CALC_EEM!G316)</f>
      </c>
      <c r="H323" s="16" t="str">
        <f>IF(CALC_EEM!$B316="","",CALC_EEM!H316)</f>
      </c>
      <c r="I323" s="16" t="str">
        <f>IF(CALC_EEM!$B316="","",CALC_EEM!I316)</f>
      </c>
      <c r="J323" t="str">
        <f>IF(CALC_EEM!$B316="","",CALC_EEM!J316)</f>
      </c>
      <c r="K323" t="str">
        <f>IF(CALC_EEM!$B316="","",CALC_EEM!K316)</f>
      </c>
      <c r="L323">
        <f>IF(CALC_EEM!$B316="","",CALC_EEM!L316)</f>
      </c>
      <c r="M323">
        <f>IF(CALC_EEM!$B316="","",CALC_EEM!M316)</f>
      </c>
      <c r="N323">
        <f>IF(CALC_EEM!$B316="","",CALC_EEM!N316)</f>
      </c>
      <c r="O323">
        <f>IF(CALC_EEM!$B316="","",CALC_EEM!O316)</f>
      </c>
      <c r="P323">
        <f>IF(CALC_EEM!$B316="","",CALC_EEM!P316)</f>
      </c>
      <c r="Q323">
        <f>IF(CALC_EEM!$B316="","",CALC_EEM!Q316)</f>
      </c>
      <c r="R323">
        <f>IF(CALC_EEM!$B316="","",CALC_EEM!R316)</f>
      </c>
      <c r="S323">
        <f>IF(CALC_EEM!$B316="","",CALC_EEM!S316)</f>
      </c>
      <c r="T323">
        <f>IF(CALC_EEM!$B316="","",CALC_EEM!T316)</f>
      </c>
      <c r="U323">
        <f>IF(CALC_EEM!$B316="","",CALC_EEM!U316)</f>
      </c>
    </row>
    <row r="325">
      <c r="A325" t="inlineStr">
        <is>
          <t>#AGRUPACIONES</t>
        </is>
      </c>
    </row>
    <row r="326">
      <c r="A326" s="2" t="s">
        <v>133</v>
      </c>
      <c r="B326" s="2" t="s">
        <v>2</v>
      </c>
      <c r="C326" s="2" t="s">
        <v>135</v>
      </c>
    </row>
    <row r="327">
      <c r="A327" t="s">
        <v>136</v>
      </c>
      <c r="B327" t="str">
        <f>IF(CONFIG_ASIGNATURAS!B2="","",CONFIG_ASIGNATURAS!B2)</f>
        <v>Lenguaje Musical</v>
      </c>
      <c r="C327" t="str">
        <f>IF(CONFIG_ASIGNATURAS!B2="","",IF(CONFIG_ASIGNATURAS!E2="",CONFIG_ASIGNATURAS!D2,CONFIG_ASIGNATURAS!D2&amp;";"&amp;CONFIG_ASIGNATURAS!E2))</f>
        <v>Referencia</v>
      </c>
    </row>
    <row r="328">
      <c r="A328" t="s">
        <v>136</v>
      </c>
      <c r="B328" t="str">
        <f>IF(CONFIG_ASIGNATURAS!B3="","",CONFIG_ASIGNATURAS!B3)</f>
        <v>Lenguaje Musical</v>
      </c>
      <c r="C328" t="str">
        <f>IF(CONFIG_ASIGNATURAS!B3="","",IF(CONFIG_ASIGNATURAS!E3="",CONFIG_ASIGNATURAS!D3,CONFIG_ASIGNATURAS!D3&amp;";"&amp;CONFIG_ASIGNATURAS!E3))</f>
        <v>Referencia</v>
      </c>
    </row>
    <row r="329">
      <c r="A329" t="s">
        <v>136</v>
      </c>
      <c r="B329" t="str">
        <f>IF(CONFIG_ASIGNATURAS!B4="","",CONFIG_ASIGNATURAS!B4)</f>
        <v>Lenguaje Musical</v>
      </c>
      <c r="C329" t="str">
        <f>IF(CONFIG_ASIGNATURAS!B4="","",IF(CONFIG_ASIGNATURAS!E4="",CONFIG_ASIGNATURAS!D4,CONFIG_ASIGNATURAS!D4&amp;";"&amp;CONFIG_ASIGNATURAS!E4))</f>
        <v>Referencia</v>
      </c>
    </row>
    <row r="330">
      <c r="A330" t="s">
        <v>136</v>
      </c>
      <c r="B330" t="str">
        <f>IF(CONFIG_ASIGNATURAS!B5="","",CONFIG_ASIGNATURAS!B5)</f>
        <v>Lenguaje Musical</v>
      </c>
      <c r="C330" t="str">
        <f>IF(CONFIG_ASIGNATURAS!B5="","",IF(CONFIG_ASIGNATURAS!E5="",CONFIG_ASIGNATURAS!D5,CONFIG_ASIGNATURAS!D5&amp;";"&amp;CONFIG_ASIGNATURAS!E5))</f>
        <v>Referencia</v>
      </c>
    </row>
    <row r="331">
      <c r="A331" t="s">
        <v>136</v>
      </c>
      <c r="B331" t="str">
        <f>IF(CONFIG_ASIGNATURAS!B6="","",CONFIG_ASIGNATURAS!B6)</f>
        <v>Lenguaje Musical</v>
      </c>
      <c r="C331" t="str">
        <f>IF(CONFIG_ASIGNATURAS!B6="","",IF(CONFIG_ASIGNATURAS!E6="",CONFIG_ASIGNATURAS!D6,CONFIG_ASIGNATURAS!D6&amp;";"&amp;CONFIG_ASIGNATURAS!E6))</f>
        <v>Referencia</v>
      </c>
    </row>
    <row r="332">
      <c r="A332" t="s">
        <v>136</v>
      </c>
      <c r="B332" t="str">
        <f>IF(CONFIG_ASIGNATURAS!B7="","",CONFIG_ASIGNATURAS!B7)</f>
        <v>Lenguaje Musical</v>
      </c>
      <c r="C332" t="str">
        <f>IF(CONFIG_ASIGNATURAS!B7="","",IF(CONFIG_ASIGNATURAS!E7="",CONFIG_ASIGNATURAS!D7,CONFIG_ASIGNATURAS!D7&amp;";"&amp;CONFIG_ASIGNATURAS!E7))</f>
        <v>Referencia</v>
      </c>
    </row>
    <row r="333">
      <c r="A333" t="s">
        <v>136</v>
      </c>
      <c r="B333" t="str">
        <f>IF(CONFIG_ASIGNATURAS!B8="","",CONFIG_ASIGNATURAS!B8)</f>
        <v>Lenguaje Musical</v>
      </c>
      <c r="C333" t="str">
        <f>IF(CONFIG_ASIGNATURAS!B8="","",IF(CONFIG_ASIGNATURAS!E8="",CONFIG_ASIGNATURAS!D8,CONFIG_ASIGNATURAS!D8&amp;";"&amp;CONFIG_ASIGNATURAS!E8))</f>
        <v>Referencia</v>
      </c>
    </row>
    <row r="334">
      <c r="A334" t="s">
        <v>136</v>
      </c>
      <c r="B334" t="str">
        <f>IF(CONFIG_ASIGNATURAS!B9="","",CONFIG_ASIGNATURAS!B9)</f>
        <v>Lenguaje Musical</v>
      </c>
      <c r="C334" t="str">
        <f>IF(CONFIG_ASIGNATURAS!B9="","",IF(CONFIG_ASIGNATURAS!E9="",CONFIG_ASIGNATURAS!D9,CONFIG_ASIGNATURAS!D9&amp;";"&amp;CONFIG_ASIGNATURAS!E9))</f>
        <v>Referencia</v>
      </c>
    </row>
    <row r="335">
      <c r="A335" t="s">
        <v>136</v>
      </c>
      <c r="B335" t="str">
        <f>IF(CONFIG_ASIGNATURAS!B10="","",CONFIG_ASIGNATURAS!B10)</f>
        <v>Lenguaje Musical</v>
      </c>
      <c r="C335" t="str">
        <f>IF(CONFIG_ASIGNATURAS!B10="","",IF(CONFIG_ASIGNATURAS!E10="",CONFIG_ASIGNATURAS!D10,CONFIG_ASIGNATURAS!D10&amp;";"&amp;CONFIG_ASIGNATURAS!E10))</f>
        <v>Referencia</v>
      </c>
    </row>
    <row r="336">
      <c r="A336" t="s">
        <v>136</v>
      </c>
      <c r="B336" t="str">
        <f>IF(CONFIG_ASIGNATURAS!B11="","",CONFIG_ASIGNATURAS!B11)</f>
        <v>Lenguaje Musical</v>
      </c>
      <c r="C336" t="str">
        <f>IF(CONFIG_ASIGNATURAS!B11="","",IF(CONFIG_ASIGNATURAS!E11="",CONFIG_ASIGNATURAS!D11,CONFIG_ASIGNATURAS!D11&amp;";"&amp;CONFIG_ASIGNATURAS!E11))</f>
        <v>Referencia</v>
      </c>
    </row>
    <row r="337">
      <c r="A337" t="s">
        <v>136</v>
      </c>
      <c r="B337" t="str">
        <f>IF(CONFIG_ASIGNATURAS!B12="","",CONFIG_ASIGNATURAS!B12)</f>
        <v>Lenguaje Musical</v>
      </c>
      <c r="C337" t="str">
        <f>IF(CONFIG_ASIGNATURAS!B12="","",IF(CONFIG_ASIGNATURAS!E12="",CONFIG_ASIGNATURAS!D12,CONFIG_ASIGNATURAS!D12&amp;";"&amp;CONFIG_ASIGNATURAS!E12))</f>
        <v>Referencia</v>
      </c>
    </row>
    <row r="338">
      <c r="A338" t="s">
        <v>136</v>
      </c>
      <c r="B338" t="str">
        <f>IF(CONFIG_ASIGNATURAS!B13="","",CONFIG_ASIGNATURAS!B13)</f>
        <v>Lenguaje Musical</v>
      </c>
      <c r="C338" t="str">
        <f>IF(CONFIG_ASIGNATURAS!B13="","",IF(CONFIG_ASIGNATURAS!E13="",CONFIG_ASIGNATURAS!D13,CONFIG_ASIGNATURAS!D13&amp;";"&amp;CONFIG_ASIGNATURAS!E13))</f>
        <v>Referencia</v>
      </c>
    </row>
    <row r="339">
      <c r="A339" t="s">
        <v>136</v>
      </c>
      <c r="B339" t="str">
        <f>IF(CONFIG_ASIGNATURAS!B14="","",CONFIG_ASIGNATURAS!B14)</f>
        <v>Lenguaje Musical</v>
      </c>
      <c r="C339" t="str">
        <f>IF(CONFIG_ASIGNATURAS!B14="","",IF(CONFIG_ASIGNATURAS!E14="",CONFIG_ASIGNATURAS!D14,CONFIG_ASIGNATURAS!D14&amp;";"&amp;CONFIG_ASIGNATURAS!E14))</f>
        <v>Referencia</v>
      </c>
    </row>
    <row r="340">
      <c r="A340" t="s">
        <v>136</v>
      </c>
      <c r="B340" t="str">
        <f>IF(CONFIG_ASIGNATURAS!B15="","",CONFIG_ASIGNATURAS!B15)</f>
        <v>Lenguaje Musical</v>
      </c>
      <c r="C340" t="str">
        <f>IF(CONFIG_ASIGNATURAS!B15="","",IF(CONFIG_ASIGNATURAS!E15="",CONFIG_ASIGNATURAS!D15,CONFIG_ASIGNATURAS!D15&amp;";"&amp;CONFIG_ASIGNATURAS!E15))</f>
        <v>Referencia</v>
      </c>
    </row>
    <row r="341">
      <c r="A341" t="s">
        <v>136</v>
      </c>
      <c r="B341" t="str">
        <f>IF(CONFIG_ASIGNATURAS!B16="","",CONFIG_ASIGNATURAS!B16)</f>
        <v>Lenguaje Musical</v>
      </c>
      <c r="C341" t="str">
        <f>IF(CONFIG_ASIGNATURAS!B16="","",IF(CONFIG_ASIGNATURAS!E16="",CONFIG_ASIGNATURAS!D16,CONFIG_ASIGNATURAS!D16&amp;";"&amp;CONFIG_ASIGNATURAS!E16))</f>
        <v>Referencia</v>
      </c>
    </row>
    <row r="342">
      <c r="A342" t="s">
        <v>136</v>
      </c>
      <c r="B342" t="str">
        <f>IF(CONFIG_ASIGNATURAS!B17="","",CONFIG_ASIGNATURAS!B17)</f>
        <v>Lenguaje Musical</v>
      </c>
      <c r="C342" t="str">
        <f>IF(CONFIG_ASIGNATURAS!B17="","",IF(CONFIG_ASIGNATURAS!E17="",CONFIG_ASIGNATURAS!D17,CONFIG_ASIGNATURAS!D17&amp;";"&amp;CONFIG_ASIGNATURAS!E17))</f>
        <v>Referencia</v>
      </c>
    </row>
    <row r="343">
      <c r="A343" t="s">
        <v>136</v>
      </c>
      <c r="B343" t="str">
        <f>IF(CONFIG_ASIGNATURAS!B18="","",CONFIG_ASIGNATURAS!B18)</f>
        <v>Lenguaje Musical</v>
      </c>
      <c r="C343" t="str">
        <f>IF(CONFIG_ASIGNATURAS!B18="","",IF(CONFIG_ASIGNATURAS!E18="",CONFIG_ASIGNATURAS!D18,CONFIG_ASIGNATURAS!D18&amp;";"&amp;CONFIG_ASIGNATURAS!E18))</f>
        <v>Referencia</v>
      </c>
    </row>
    <row r="344">
      <c r="A344" t="s">
        <v>136</v>
      </c>
      <c r="B344" t="str">
        <f>IF(CONFIG_ASIGNATURAS!B19="","",CONFIG_ASIGNATURAS!B19)</f>
        <v>Lenguaje Musical</v>
      </c>
      <c r="C344" t="str">
        <f>IF(CONFIG_ASIGNATURAS!B19="","",IF(CONFIG_ASIGNATURAS!E19="",CONFIG_ASIGNATURAS!D19,CONFIG_ASIGNATURAS!D19&amp;";"&amp;CONFIG_ASIGNATURAS!E19))</f>
        <v>Referencia</v>
      </c>
    </row>
    <row r="345">
      <c r="A345" t="s">
        <v>136</v>
      </c>
      <c r="B345" t="str">
        <f>IF(CONFIG_ASIGNATURAS!B20="","",CONFIG_ASIGNATURAS!B20)</f>
        <v>Lenguaje Musical</v>
      </c>
      <c r="C345" t="str">
        <f>IF(CONFIG_ASIGNATURAS!B20="","",IF(CONFIG_ASIGNATURAS!E20="",CONFIG_ASIGNATURAS!D20,CONFIG_ASIGNATURAS!D20&amp;";"&amp;CONFIG_ASIGNATURAS!E20))</f>
        <v>Referencia</v>
      </c>
    </row>
    <row r="346">
      <c r="A346" t="s">
        <v>136</v>
      </c>
      <c r="B346" t="str">
        <f>IF(CONFIG_ASIGNATURAS!B21="","",CONFIG_ASIGNATURAS!B21)</f>
        <v>Lenguaje Musical</v>
      </c>
      <c r="C346" t="str">
        <f>IF(CONFIG_ASIGNATURAS!B21="","",IF(CONFIG_ASIGNATURAS!E21="",CONFIG_ASIGNATURAS!D21,CONFIG_ASIGNATURAS!D21&amp;";"&amp;CONFIG_ASIGNATURAS!E21))</f>
        <v>Referencia</v>
      </c>
    </row>
    <row r="347">
      <c r="A347" t="s">
        <v>136</v>
      </c>
      <c r="B347" t="str">
        <f>IF(CONFIG_ASIGNATURAS!B22="","",CONFIG_ASIGNATURAS!B22)</f>
        <v>Lenguaje Musical</v>
      </c>
      <c r="C347" t="str">
        <f>IF(CONFIG_ASIGNATURAS!B22="","",IF(CONFIG_ASIGNATURAS!E22="",CONFIG_ASIGNATURAS!D22,CONFIG_ASIGNATURAS!D22&amp;";"&amp;CONFIG_ASIGNATURAS!E22))</f>
        <v>Referencia</v>
      </c>
    </row>
    <row r="348">
      <c r="A348" t="s">
        <v>136</v>
      </c>
      <c r="B348" t="str">
        <f>IF(CONFIG_ASIGNATURAS!B23="","",CONFIG_ASIGNATURAS!B23)</f>
        <v>Lenguaje Musical</v>
      </c>
      <c r="C348" t="str">
        <f>IF(CONFIG_ASIGNATURAS!B23="","",IF(CONFIG_ASIGNATURAS!E23="",CONFIG_ASIGNATURAS!D23,CONFIG_ASIGNATURAS!D23&amp;";"&amp;CONFIG_ASIGNATURAS!E23))</f>
        <v>Referencia</v>
      </c>
    </row>
    <row r="349">
      <c r="A349" t="s">
        <v>136</v>
      </c>
      <c r="B349" t="str">
        <f>IF(CONFIG_ASIGNATURAS!B24="","",CONFIG_ASIGNATURAS!B24)</f>
        <v>Lenguaje Musical</v>
      </c>
      <c r="C349" t="str">
        <f>IF(CONFIG_ASIGNATURAS!B24="","",IF(CONFIG_ASIGNATURAS!E24="",CONFIG_ASIGNATURAS!D24,CONFIG_ASIGNATURAS!D24&amp;";"&amp;CONFIG_ASIGNATURAS!E24))</f>
        <v>Referencia</v>
      </c>
    </row>
    <row r="350">
      <c r="A350" t="s">
        <v>136</v>
      </c>
      <c r="B350" t="str">
        <f>IF(CONFIG_ASIGNATURAS!B25="","",CONFIG_ASIGNATURAS!B25)</f>
        <v>Lenguaje Musical</v>
      </c>
      <c r="C350" t="str">
        <f>IF(CONFIG_ASIGNATURAS!B25="","",IF(CONFIG_ASIGNATURAS!E25="",CONFIG_ASIGNATURAS!D25,CONFIG_ASIGNATURAS!D25&amp;";"&amp;CONFIG_ASIGNATURAS!E25))</f>
        <v>Referencia</v>
      </c>
    </row>
    <row r="351">
      <c r="A351" t="s">
        <v>136</v>
      </c>
      <c r="B351" t="str">
        <f>IF(CONFIG_ASIGNATURAS!B26="","",CONFIG_ASIGNATURAS!B26)</f>
        <v>Lenguaje Musical</v>
      </c>
      <c r="C351" t="str">
        <f>IF(CONFIG_ASIGNATURAS!B26="","",IF(CONFIG_ASIGNATURAS!E26="",CONFIG_ASIGNATURAS!D26,CONFIG_ASIGNATURAS!D26&amp;";"&amp;CONFIG_ASIGNATURAS!E26))</f>
        <v>Referencia</v>
      </c>
    </row>
    <row r="352">
      <c r="A352" t="s">
        <v>136</v>
      </c>
      <c r="B352" t="str">
        <f>IF(CONFIG_ASIGNATURAS!B27="","",CONFIG_ASIGNATURAS!B27)</f>
        <v>Lenguaje Musical</v>
      </c>
      <c r="C352" t="str">
        <f>IF(CONFIG_ASIGNATURAS!B27="","",IF(CONFIG_ASIGNATURAS!E27="",CONFIG_ASIGNATURAS!D27,CONFIG_ASIGNATURAS!D27&amp;";"&amp;CONFIG_ASIGNATURAS!E27))</f>
        <v>Referencia</v>
      </c>
    </row>
    <row r="353">
      <c r="A353" t="s">
        <v>136</v>
      </c>
      <c r="B353" t="str">
        <f>IF(CONFIG_ASIGNATURAS!B28="","",CONFIG_ASIGNATURAS!B28)</f>
        <v>Lenguaje Musical</v>
      </c>
      <c r="C353" t="str">
        <f>IF(CONFIG_ASIGNATURAS!B28="","",IF(CONFIG_ASIGNATURAS!E28="",CONFIG_ASIGNATURAS!D28,CONFIG_ASIGNATURAS!D28&amp;";"&amp;CONFIG_ASIGNATURAS!E28))</f>
        <v>Referencia</v>
      </c>
    </row>
    <row r="354">
      <c r="A354" t="s">
        <v>136</v>
      </c>
      <c r="B354" t="str">
        <f>IF(CONFIG_ASIGNATURAS!B29="","",CONFIG_ASIGNATURAS!B29)</f>
        <v>Lenguaje Musical</v>
      </c>
      <c r="C354" t="str">
        <f>IF(CONFIG_ASIGNATURAS!B29="","",IF(CONFIG_ASIGNATURAS!E29="",CONFIG_ASIGNATURAS!D29,CONFIG_ASIGNATURAS!D29&amp;";"&amp;CONFIG_ASIGNATURAS!E29))</f>
        <v>Referencia</v>
      </c>
    </row>
    <row r="355">
      <c r="A355" t="s">
        <v>136</v>
      </c>
      <c r="B355" t="str">
        <f>IF(CONFIG_ASIGNATURAS!B30="","",CONFIG_ASIGNATURAS!B30)</f>
        <v>Lenguaje Musical</v>
      </c>
      <c r="C355" t="str">
        <f>IF(CONFIG_ASIGNATURAS!B30="","",IF(CONFIG_ASIGNATURAS!E30="",CONFIG_ASIGNATURAS!D30,CONFIG_ASIGNATURAS!D30&amp;";"&amp;CONFIG_ASIGNATURAS!E30))</f>
        <v>Referencia</v>
      </c>
    </row>
    <row r="356">
      <c r="A356" t="s">
        <v>136</v>
      </c>
      <c r="B356" t="str">
        <f>IF(CONFIG_ASIGNATURAS!B31="","",CONFIG_ASIGNATURAS!B31)</f>
        <v>Lenguaje Musical</v>
      </c>
      <c r="C356" t="str">
        <f>IF(CONFIG_ASIGNATURAS!B31="","",IF(CONFIG_ASIGNATURAS!E31="",CONFIG_ASIGNATURAS!D31,CONFIG_ASIGNATURAS!D31&amp;";"&amp;CONFIG_ASIGNATURAS!E31))</f>
        <v>Referencia</v>
      </c>
    </row>
    <row r="357">
      <c r="A357" t="s">
        <v>136</v>
      </c>
      <c r="B357" t="str">
        <f>IF(CONFIG_ASIGNATURAS!B32="","",CONFIG_ASIGNATURAS!B32)</f>
        <v>Lenguaje Musical</v>
      </c>
      <c r="C357" t="str">
        <f>IF(CONFIG_ASIGNATURAS!B32="","",IF(CONFIG_ASIGNATURAS!E32="",CONFIG_ASIGNATURAS!D32,CONFIG_ASIGNATURAS!D32&amp;";"&amp;CONFIG_ASIGNATURAS!E32))</f>
        <v>Referencia</v>
      </c>
    </row>
    <row r="358">
      <c r="A358" t="s">
        <v>136</v>
      </c>
      <c r="B358" t="str">
        <f>IF(CONFIG_ASIGNATURAS!B33="","",CONFIG_ASIGNATURAS!B33)</f>
        <v>Lenguaje Musical</v>
      </c>
      <c r="C358" t="str">
        <f>IF(CONFIG_ASIGNATURAS!B33="","",IF(CONFIG_ASIGNATURAS!E33="",CONFIG_ASIGNATURAS!D33,CONFIG_ASIGNATURAS!D33&amp;";"&amp;CONFIG_ASIGNATURAS!E33))</f>
        <v>Referencia</v>
      </c>
    </row>
    <row r="359">
      <c r="A359" t="s">
        <v>136</v>
      </c>
      <c r="B359" t="str">
        <f>IF(CONFIG_ASIGNATURAS!B34="","",CONFIG_ASIGNATURAS!B34)</f>
        <v>Lenguaje Musical</v>
      </c>
      <c r="C359" t="str">
        <f>IF(CONFIG_ASIGNATURAS!B34="","",IF(CONFIG_ASIGNATURAS!E34="",CONFIG_ASIGNATURAS!D34,CONFIG_ASIGNATURAS!D34&amp;";"&amp;CONFIG_ASIGNATURAS!E34))</f>
        <v>Referencia</v>
      </c>
    </row>
    <row r="360">
      <c r="A360" t="s">
        <v>136</v>
      </c>
      <c r="B360" t="str">
        <f>IF(CONFIG_ASIGNATURAS!B35="","",CONFIG_ASIGNATURAS!B35)</f>
        <v>Lenguaje Musical</v>
      </c>
      <c r="C360" t="str">
        <f>IF(CONFIG_ASIGNATURAS!B35="","",IF(CONFIG_ASIGNATURAS!E35="",CONFIG_ASIGNATURAS!D35,CONFIG_ASIGNATURAS!D35&amp;";"&amp;CONFIG_ASIGNATURAS!E35))</f>
        <v>Referencia</v>
      </c>
    </row>
    <row r="361">
      <c r="A361" t="s">
        <v>136</v>
      </c>
      <c r="B361" t="str">
        <f>IF(CONFIG_ASIGNATURAS!B36="","",CONFIG_ASIGNATURAS!B36)</f>
        <v>Lenguaje Musical</v>
      </c>
      <c r="C361" t="str">
        <f>IF(CONFIG_ASIGNATURAS!B36="","",IF(CONFIG_ASIGNATURAS!E36="",CONFIG_ASIGNATURAS!D36,CONFIG_ASIGNATURAS!D36&amp;";"&amp;CONFIG_ASIGNATURAS!E36))</f>
        <v>Referencia</v>
      </c>
    </row>
    <row r="362">
      <c r="A362" t="s">
        <v>136</v>
      </c>
      <c r="B362" t="str">
        <f>IF(CONFIG_ASIGNATURAS!B37="","",CONFIG_ASIGNATURAS!B37)</f>
        <v>Lenguaje Musical</v>
      </c>
      <c r="C362" t="str">
        <f>IF(CONFIG_ASIGNATURAS!B37="","",IF(CONFIG_ASIGNATURAS!E37="",CONFIG_ASIGNATURAS!D37,CONFIG_ASIGNATURAS!D37&amp;";"&amp;CONFIG_ASIGNATURAS!E37))</f>
        <v>Referencia</v>
      </c>
    </row>
    <row r="363">
      <c r="A363" t="s">
        <v>136</v>
      </c>
      <c r="B363" t="str">
        <f>IF(CONFIG_ASIGNATURAS!B38="","",CONFIG_ASIGNATURAS!B38)</f>
        <v>Lenguaje Musical</v>
      </c>
      <c r="C363" t="str">
        <f>IF(CONFIG_ASIGNATURAS!B38="","",IF(CONFIG_ASIGNATURAS!E38="",CONFIG_ASIGNATURAS!D38,CONFIG_ASIGNATURAS!D38&amp;";"&amp;CONFIG_ASIGNATURAS!E38))</f>
        <v>Referencia</v>
      </c>
    </row>
    <row r="364">
      <c r="A364" t="s">
        <v>136</v>
      </c>
      <c r="B364" t="str">
        <f>IF(CONFIG_ASIGNATURAS!B39="","",CONFIG_ASIGNATURAS!B39)</f>
        <v>Lenguaje Musical</v>
      </c>
      <c r="C364" t="str">
        <f>IF(CONFIG_ASIGNATURAS!B39="","",IF(CONFIG_ASIGNATURAS!E39="",CONFIG_ASIGNATURAS!D39,CONFIG_ASIGNATURAS!D39&amp;";"&amp;CONFIG_ASIGNATURAS!E39))</f>
        <v>Referencia</v>
      </c>
    </row>
    <row r="365">
      <c r="A365" t="s">
        <v>136</v>
      </c>
      <c r="B365" t="str">
        <f>IF(CONFIG_ASIGNATURAS!B40="","",CONFIG_ASIGNATURAS!B40)</f>
        <v>Lenguaje Musical</v>
      </c>
      <c r="C365" t="str">
        <f>IF(CONFIG_ASIGNATURAS!B40="","",IF(CONFIG_ASIGNATURAS!E40="",CONFIG_ASIGNATURAS!D40,CONFIG_ASIGNATURAS!D40&amp;";"&amp;CONFIG_ASIGNATURAS!E40))</f>
        <v>Referencia</v>
      </c>
    </row>
    <row r="366">
      <c r="A366" t="s">
        <v>136</v>
      </c>
      <c r="B366" t="str">
        <f>IF(CONFIG_ASIGNATURAS!B41="","",CONFIG_ASIGNATURAS!B41)</f>
        <v>Lenguaje Musical</v>
      </c>
      <c r="C366" t="str">
        <f>IF(CONFIG_ASIGNATURAS!B41="","",IF(CONFIG_ASIGNATURAS!E41="",CONFIG_ASIGNATURAS!D41,CONFIG_ASIGNATURAS!D41&amp;";"&amp;CONFIG_ASIGNATURAS!E41))</f>
        <v>Referencia</v>
      </c>
    </row>
    <row r="367">
      <c r="A367" t="s">
        <v>136</v>
      </c>
      <c r="B367" t="str">
        <f>IF(CONFIG_ASIGNATURAS!B42="","",CONFIG_ASIGNATURAS!B42)</f>
        <v>Lenguaje Musical</v>
      </c>
      <c r="C367" t="str">
        <f>IF(CONFIG_ASIGNATURAS!B42="","",IF(CONFIG_ASIGNATURAS!E42="",CONFIG_ASIGNATURAS!D42,CONFIG_ASIGNATURAS!D42&amp;";"&amp;CONFIG_ASIGNATURAS!E42))</f>
        <v>Referencia</v>
      </c>
    </row>
    <row r="368">
      <c r="A368" t="s">
        <v>136</v>
      </c>
      <c r="B368" t="str">
        <f>IF(CONFIG_ASIGNATURAS!B43="","",CONFIG_ASIGNATURAS!B43)</f>
        <v>Lenguaje Musical</v>
      </c>
      <c r="C368" t="str">
        <f>IF(CONFIG_ASIGNATURAS!B43="","",IF(CONFIG_ASIGNATURAS!E43="",CONFIG_ASIGNATURAS!D43,CONFIG_ASIGNATURAS!D43&amp;";"&amp;CONFIG_ASIGNATURAS!E43))</f>
        <v>Referencia</v>
      </c>
    </row>
    <row r="369">
      <c r="A369" t="s">
        <v>136</v>
      </c>
      <c r="B369" t="str">
        <f>IF(CONFIG_ASIGNATURAS!B44="","",CONFIG_ASIGNATURAS!B44)</f>
        <v>Lenguaje Musical</v>
      </c>
      <c r="C369" t="str">
        <f>IF(CONFIG_ASIGNATURAS!B44="","",IF(CONFIG_ASIGNATURAS!E44="",CONFIG_ASIGNATURAS!D44,CONFIG_ASIGNATURAS!D44&amp;";"&amp;CONFIG_ASIGNATURAS!E44))</f>
        <v>Referencia</v>
      </c>
    </row>
    <row r="370">
      <c r="A370" t="s">
        <v>136</v>
      </c>
      <c r="B370" t="str">
        <f>IF(CONFIG_ASIGNATURAS!B45="","",CONFIG_ASIGNATURAS!B45)</f>
        <v>Lenguaje Musical</v>
      </c>
      <c r="C370" t="str">
        <f>IF(CONFIG_ASIGNATURAS!B45="","",IF(CONFIG_ASIGNATURAS!E45="",CONFIG_ASIGNATURAS!D45,CONFIG_ASIGNATURAS!D45&amp;";"&amp;CONFIG_ASIGNATURAS!E45))</f>
        <v>Referencia</v>
      </c>
    </row>
    <row r="371">
      <c r="A371" t="s">
        <v>136</v>
      </c>
      <c r="B371" t="str">
        <f>IF(CONFIG_ASIGNATURAS!B46="","",CONFIG_ASIGNATURAS!B46)</f>
        <v>Lenguaje Musical</v>
      </c>
      <c r="C371" t="str">
        <f>IF(CONFIG_ASIGNATURAS!B46="","",IF(CONFIG_ASIGNATURAS!E46="",CONFIG_ASIGNATURAS!D46,CONFIG_ASIGNATURAS!D46&amp;";"&amp;CONFIG_ASIGNATURAS!E46))</f>
        <v>Referencia</v>
      </c>
    </row>
    <row r="372">
      <c r="A372" t="s">
        <v>136</v>
      </c>
      <c r="B372" t="str">
        <f>IF(CONFIG_ASIGNATURAS!B47="","",CONFIG_ASIGNATURAS!B47)</f>
        <v>Lenguaje Musical</v>
      </c>
      <c r="C372" t="str">
        <f>IF(CONFIG_ASIGNATURAS!B47="","",IF(CONFIG_ASIGNATURAS!E47="",CONFIG_ASIGNATURAS!D47,CONFIG_ASIGNATURAS!D47&amp;";"&amp;CONFIG_ASIGNATURAS!E47))</f>
        <v>Referencia</v>
      </c>
    </row>
    <row r="373">
      <c r="A373" t="s">
        <v>136</v>
      </c>
      <c r="B373" t="str">
        <f>IF(CONFIG_ASIGNATURAS!B48="","",CONFIG_ASIGNATURAS!B48)</f>
        <v>Lenguaje Musical</v>
      </c>
      <c r="C373" t="str">
        <f>IF(CONFIG_ASIGNATURAS!B48="","",IF(CONFIG_ASIGNATURAS!E48="",CONFIG_ASIGNATURAS!D48,CONFIG_ASIGNATURAS!D48&amp;";"&amp;CONFIG_ASIGNATURAS!E48))</f>
        <v>Referencia</v>
      </c>
    </row>
    <row r="374">
      <c r="A374" t="s">
        <v>136</v>
      </c>
      <c r="B374" t="str">
        <f>IF(CONFIG_ASIGNATURAS!B49="","",CONFIG_ASIGNATURAS!B49)</f>
        <v>Lenguaje Musical</v>
      </c>
      <c r="C374" t="str">
        <f>IF(CONFIG_ASIGNATURAS!B49="","",IF(CONFIG_ASIGNATURAS!E49="",CONFIG_ASIGNATURAS!D49,CONFIG_ASIGNATURAS!D49&amp;";"&amp;CONFIG_ASIGNATURAS!E49))</f>
        <v>Referencia</v>
      </c>
    </row>
    <row r="375">
      <c r="A375" t="s">
        <v>136</v>
      </c>
      <c r="B375" t="str">
        <f>IF(CONFIG_ASIGNATURAS!B50="","",CONFIG_ASIGNATURAS!B50)</f>
        <v>Lenguaje Musical</v>
      </c>
      <c r="C375" t="str">
        <f>IF(CONFIG_ASIGNATURAS!B50="","",IF(CONFIG_ASIGNATURAS!E50="",CONFIG_ASIGNATURAS!D50,CONFIG_ASIGNATURAS!D50&amp;";"&amp;CONFIG_ASIGNATURAS!E50))</f>
        <v>Referencia</v>
      </c>
    </row>
    <row r="376">
      <c r="A376" t="s">
        <v>136</v>
      </c>
      <c r="B376" t="str">
        <f>IF(CONFIG_ASIGNATURAS!B51="","",CONFIG_ASIGNATURAS!B51)</f>
        <v>Lenguaje Musical</v>
      </c>
      <c r="C376" t="str">
        <f>IF(CONFIG_ASIGNATURAS!B51="","",IF(CONFIG_ASIGNATURAS!E51="",CONFIG_ASIGNATURAS!D51,CONFIG_ASIGNATURAS!D51&amp;";"&amp;CONFIG_ASIGNATURAS!E51))</f>
        <v>Referencia</v>
      </c>
    </row>
    <row r="377">
      <c r="A377" t="s">
        <v>136</v>
      </c>
      <c r="B377" t="str">
        <f>IF(CONFIG_ASIGNATURAS!B52="","",CONFIG_ASIGNATURAS!B52)</f>
        <v>Lenguaje Musical</v>
      </c>
      <c r="C377" t="str">
        <f>IF(CONFIG_ASIGNATURAS!B52="","",IF(CONFIG_ASIGNATURAS!E52="",CONFIG_ASIGNATURAS!D52,CONFIG_ASIGNATURAS!D52&amp;";"&amp;CONFIG_ASIGNATURAS!E52))</f>
        <v>Referencia</v>
      </c>
    </row>
    <row r="378">
      <c r="A378" t="s">
        <v>136</v>
      </c>
      <c r="B378" t="str">
        <f>IF(CONFIG_ASIGNATURAS!B53="","",CONFIG_ASIGNATURAS!B53)</f>
        <v>Lenguaje Musical</v>
      </c>
      <c r="C378" t="str">
        <f>IF(CONFIG_ASIGNATURAS!B53="","",IF(CONFIG_ASIGNATURAS!E53="",CONFIG_ASIGNATURAS!D53,CONFIG_ASIGNATURAS!D53&amp;";"&amp;CONFIG_ASIGNATURAS!E53))</f>
        <v>Referencia</v>
      </c>
    </row>
    <row r="379">
      <c r="A379" t="s">
        <v>136</v>
      </c>
      <c r="B379" t="str">
        <f>IF(CONFIG_ASIGNATURAS!B54="","",CONFIG_ASIGNATURAS!B54)</f>
        <v>Lenguaje Musical</v>
      </c>
      <c r="C379" t="str">
        <f>IF(CONFIG_ASIGNATURAS!B54="","",IF(CONFIG_ASIGNATURAS!E54="",CONFIG_ASIGNATURAS!D54,CONFIG_ASIGNATURAS!D54&amp;";"&amp;CONFIG_ASIGNATURAS!E54))</f>
        <v>Referencia</v>
      </c>
    </row>
    <row r="380">
      <c r="A380" t="s">
        <v>136</v>
      </c>
      <c r="B380" t="str">
        <f>IF(CONFIG_ASIGNATURAS!B55="","",CONFIG_ASIGNATURAS!B55)</f>
        <v>Lenguaje Musical</v>
      </c>
      <c r="C380" t="str">
        <f>IF(CONFIG_ASIGNATURAS!B55="","",IF(CONFIG_ASIGNATURAS!E55="",CONFIG_ASIGNATURAS!D55,CONFIG_ASIGNATURAS!D55&amp;";"&amp;CONFIG_ASIGNATURAS!E55))</f>
        <v>Referencia</v>
      </c>
    </row>
    <row r="381">
      <c r="A381" t="s">
        <v>136</v>
      </c>
      <c r="B381" t="str">
        <f>IF(CONFIG_ASIGNATURAS!B56="","",CONFIG_ASIGNATURAS!B56)</f>
        <v>Lenguaje Musical</v>
      </c>
      <c r="C381" t="str">
        <f>IF(CONFIG_ASIGNATURAS!B56="","",IF(CONFIG_ASIGNATURAS!E56="",CONFIG_ASIGNATURAS!D56,CONFIG_ASIGNATURAS!D56&amp;";"&amp;CONFIG_ASIGNATURAS!E56))</f>
        <v>Referencia</v>
      </c>
    </row>
    <row r="382">
      <c r="A382" t="s">
        <v>136</v>
      </c>
      <c r="B382" t="str">
        <f>IF(CONFIG_ASIGNATURAS!B57="","",CONFIG_ASIGNATURAS!B57)</f>
        <v>Lenguaje Musical</v>
      </c>
      <c r="C382" t="str">
        <f>IF(CONFIG_ASIGNATURAS!B57="","",IF(CONFIG_ASIGNATURAS!E57="",CONFIG_ASIGNATURAS!D57,CONFIG_ASIGNATURAS!D57&amp;";"&amp;CONFIG_ASIGNATURAS!E57))</f>
        <v>Referencia</v>
      </c>
    </row>
    <row r="383">
      <c r="A383" t="s">
        <v>136</v>
      </c>
      <c r="B383" t="str">
        <f>IF(CONFIG_ASIGNATURAS!B58="","",CONFIG_ASIGNATURAS!B58)</f>
        <v>Lenguaje Musical</v>
      </c>
      <c r="C383" t="str">
        <f>IF(CONFIG_ASIGNATURAS!B58="","",IF(CONFIG_ASIGNATURAS!E58="",CONFIG_ASIGNATURAS!D58,CONFIG_ASIGNATURAS!D58&amp;";"&amp;CONFIG_ASIGNATURAS!E58))</f>
        <v>Referencia</v>
      </c>
    </row>
    <row r="384">
      <c r="A384" t="s">
        <v>136</v>
      </c>
      <c r="B384" t="str">
        <f>IF(CONFIG_ASIGNATURAS!B59="","",CONFIG_ASIGNATURAS!B59)</f>
        <v>Lenguaje Musical</v>
      </c>
      <c r="C384" t="str">
        <f>IF(CONFIG_ASIGNATURAS!B59="","",IF(CONFIG_ASIGNATURAS!E59="",CONFIG_ASIGNATURAS!D59,CONFIG_ASIGNATURAS!D59&amp;";"&amp;CONFIG_ASIGNATURAS!E59))</f>
        <v>Referencia</v>
      </c>
    </row>
    <row r="385">
      <c r="A385" t="s">
        <v>136</v>
      </c>
      <c r="B385" t="str">
        <f>IF(CONFIG_ASIGNATURAS!B60="","",CONFIG_ASIGNATURAS!B60)</f>
        <v>Lenguaje Musical</v>
      </c>
      <c r="C385" t="str">
        <f>IF(CONFIG_ASIGNATURAS!B60="","",IF(CONFIG_ASIGNATURAS!E60="",CONFIG_ASIGNATURAS!D60,CONFIG_ASIGNATURAS!D60&amp;";"&amp;CONFIG_ASIGNATURAS!E60))</f>
        <v>Referencia</v>
      </c>
    </row>
    <row r="386">
      <c r="A386" t="s">
        <v>136</v>
      </c>
      <c r="B386" t="str">
        <f>IF(CONFIG_ASIGNATURAS!B61="","",CONFIG_ASIGNATURAS!B61)</f>
        <v>Lenguaje Musical</v>
      </c>
      <c r="C386" t="str">
        <f>IF(CONFIG_ASIGNATURAS!B61="","",IF(CONFIG_ASIGNATURAS!E61="",CONFIG_ASIGNATURAS!D61,CONFIG_ASIGNATURAS!D61&amp;";"&amp;CONFIG_ASIGNATURAS!E61))</f>
        <v>Referencia</v>
      </c>
    </row>
    <row r="387">
      <c r="A387" s="12" t="s">
        <v>137</v>
      </c>
    </row>
    <row r="388">
      <c r="A388" s="2" t="s">
        <v>133</v>
      </c>
      <c r="B388" s="2" t="s">
        <v>75</v>
      </c>
      <c r="C388" s="2" t="s">
        <v>58</v>
      </c>
      <c r="D388" s="2" t="s">
        <v>59</v>
      </c>
      <c r="E388" s="2" t="s">
        <v>108</v>
      </c>
      <c r="F388" s="2" t="s">
        <v>110</v>
      </c>
    </row>
    <row r="389">
      <c r="A389" t="s">
        <v>138</v>
      </c>
      <c r="B389" t="str">
        <f>CALC_CORRELACIONES!A2</f>
        <v>1EEM</v>
      </c>
      <c r="C389" t="str">
        <f>CALC_CORRELACIONES!B2</f>
        <v>Lenguaje Musical</v>
      </c>
      <c r="D389" t="str">
        <f>CALC_CORRELACIONES!C2</f>
        <v>Coro</v>
      </c>
      <c r="E389" s="14" t="str">
        <f>CALC_CORRELACIONES!D2</f>
        <v/>
      </c>
      <c r="F389" t="str">
        <f>CALC_CORRELACIONES!F2</f>
        <v/>
      </c>
    </row>
    <row r="390">
      <c r="A390" t="s">
        <v>138</v>
      </c>
      <c r="B390" t="str">
        <f>CALC_CORRELACIONES!A3</f>
        <v>1EEM</v>
      </c>
      <c r="C390" t="str">
        <f>CALC_CORRELACIONES!B3</f>
        <v>Lenguaje Musical</v>
      </c>
      <c r="D390" t="str">
        <f>CALC_CORRELACIONES!C3</f>
        <v>Especialidad</v>
      </c>
      <c r="E390" s="14" t="str">
        <f>CALC_CORRELACIONES!D3</f>
        <v/>
      </c>
      <c r="F390" t="str">
        <f>CALC_CORRELACIONES!F3</f>
        <v/>
      </c>
    </row>
    <row r="391">
      <c r="A391" t="s">
        <v>138</v>
      </c>
      <c r="B391" t="str">
        <f>CALC_CORRELACIONES!A4</f>
        <v>1EEM</v>
      </c>
      <c r="C391" t="str">
        <f>CALC_CORRELACIONES!B4</f>
        <v>Coro</v>
      </c>
      <c r="D391" t="str">
        <f>CALC_CORRELACIONES!C4</f>
        <v>Especialidad</v>
      </c>
      <c r="E391" s="14" t="str">
        <f>CALC_CORRELACIONES!D4</f>
        <v/>
      </c>
      <c r="F391" t="str">
        <f>CALC_CORRELACIONES!F4</f>
        <v/>
      </c>
    </row>
    <row r="392">
      <c r="A392" t="s">
        <v>138</v>
      </c>
      <c r="B392" t="str">
        <f>CALC_CORRELACIONES!A5</f>
        <v>2EEM</v>
      </c>
      <c r="C392" t="str">
        <f>CALC_CORRELACIONES!B5</f>
        <v>Lenguaje Musical</v>
      </c>
      <c r="D392" t="str">
        <f>CALC_CORRELACIONES!C5</f>
        <v>Coro</v>
      </c>
      <c r="E392" s="14" t="str">
        <f>CALC_CORRELACIONES!D5</f>
        <v/>
      </c>
      <c r="F392" t="str">
        <f>CALC_CORRELACIONES!F5</f>
        <v/>
      </c>
    </row>
    <row r="393">
      <c r="A393" t="s">
        <v>138</v>
      </c>
      <c r="B393" t="str">
        <f>CALC_CORRELACIONES!A6</f>
        <v>2EEM</v>
      </c>
      <c r="C393" t="str">
        <f>CALC_CORRELACIONES!B6</f>
        <v>Lenguaje Musical</v>
      </c>
      <c r="D393" t="str">
        <f>CALC_CORRELACIONES!C6</f>
        <v>Especialidad</v>
      </c>
      <c r="E393" s="14" t="str">
        <f>CALC_CORRELACIONES!D6</f>
        <v/>
      </c>
      <c r="F393" t="str">
        <f>CALC_CORRELACIONES!F6</f>
        <v/>
      </c>
    </row>
    <row r="394">
      <c r="A394" t="s">
        <v>138</v>
      </c>
      <c r="B394" t="str">
        <f>CALC_CORRELACIONES!A7</f>
        <v>2EEM</v>
      </c>
      <c r="C394" t="str">
        <f>CALC_CORRELACIONES!B7</f>
        <v>Coro</v>
      </c>
      <c r="D394" t="str">
        <f>CALC_CORRELACIONES!C7</f>
        <v>Especialidad</v>
      </c>
      <c r="E394" s="14" t="str">
        <f>CALC_CORRELACIONES!D7</f>
        <v/>
      </c>
      <c r="F394" t="str">
        <f>CALC_CORRELACIONES!F7</f>
        <v/>
      </c>
    </row>
    <row r="395">
      <c r="A395" t="s">
        <v>138</v>
      </c>
      <c r="B395" t="str">
        <f>CALC_CORRELACIONES!A8</f>
        <v>3EEM</v>
      </c>
      <c r="C395" t="str">
        <f>CALC_CORRELACIONES!B8</f>
        <v>Lenguaje Musical</v>
      </c>
      <c r="D395" t="str">
        <f>CALC_CORRELACIONES!C8</f>
        <v>Coro</v>
      </c>
      <c r="E395" s="14" t="str">
        <f>CALC_CORRELACIONES!D8</f>
        <v/>
      </c>
      <c r="F395" t="str">
        <f>CALC_CORRELACIONES!F8</f>
        <v/>
      </c>
    </row>
    <row r="396">
      <c r="A396" t="s">
        <v>138</v>
      </c>
      <c r="B396" t="str">
        <f>CALC_CORRELACIONES!A9</f>
        <v>3EEM</v>
      </c>
      <c r="C396" t="str">
        <f>CALC_CORRELACIONES!B9</f>
        <v>Lenguaje Musical</v>
      </c>
      <c r="D396" t="str">
        <f>CALC_CORRELACIONES!C9</f>
        <v>Conjunto</v>
      </c>
      <c r="E396" s="14" t="str">
        <f>CALC_CORRELACIONES!D9</f>
        <v/>
      </c>
      <c r="F396" t="str">
        <f>CALC_CORRELACIONES!F9</f>
        <v/>
      </c>
    </row>
    <row r="397">
      <c r="A397" t="s">
        <v>138</v>
      </c>
      <c r="B397" t="str">
        <f>CALC_CORRELACIONES!A10</f>
        <v>3EEM</v>
      </c>
      <c r="C397" t="str">
        <f>CALC_CORRELACIONES!B10</f>
        <v>Lenguaje Musical</v>
      </c>
      <c r="D397" t="str">
        <f>CALC_CORRELACIONES!C10</f>
        <v>Especialidad</v>
      </c>
      <c r="E397" s="14" t="str">
        <f>CALC_CORRELACIONES!D10</f>
        <v/>
      </c>
      <c r="F397" t="str">
        <f>CALC_CORRELACIONES!F10</f>
        <v/>
      </c>
    </row>
    <row r="398">
      <c r="A398" t="s">
        <v>138</v>
      </c>
      <c r="B398" t="str">
        <f>CALC_CORRELACIONES!A11</f>
        <v>3EEM</v>
      </c>
      <c r="C398" t="str">
        <f>CALC_CORRELACIONES!B11</f>
        <v>Coro</v>
      </c>
      <c r="D398" t="str">
        <f>CALC_CORRELACIONES!C11</f>
        <v>Conjunto</v>
      </c>
      <c r="E398" s="14" t="str">
        <f>CALC_CORRELACIONES!D11</f>
        <v/>
      </c>
      <c r="F398" t="str">
        <f>CALC_CORRELACIONES!F11</f>
        <v/>
      </c>
    </row>
    <row r="399">
      <c r="A399" t="s">
        <v>138</v>
      </c>
      <c r="B399" t="str">
        <f>CALC_CORRELACIONES!A12</f>
        <v>3EEM</v>
      </c>
      <c r="C399" t="str">
        <f>CALC_CORRELACIONES!B12</f>
        <v>Coro</v>
      </c>
      <c r="D399" t="str">
        <f>CALC_CORRELACIONES!C12</f>
        <v>Especialidad</v>
      </c>
      <c r="E399" s="14" t="str">
        <f>CALC_CORRELACIONES!D12</f>
        <v/>
      </c>
      <c r="F399" t="str">
        <f>CALC_CORRELACIONES!F12</f>
        <v/>
      </c>
    </row>
    <row r="400">
      <c r="A400" t="s">
        <v>138</v>
      </c>
      <c r="B400" t="str">
        <f>CALC_CORRELACIONES!A13</f>
        <v>3EEM</v>
      </c>
      <c r="C400" t="str">
        <f>CALC_CORRELACIONES!B13</f>
        <v>Conjunto</v>
      </c>
      <c r="D400" t="str">
        <f>CALC_CORRELACIONES!C13</f>
        <v>Especialidad</v>
      </c>
      <c r="E400" s="14" t="str">
        <f>CALC_CORRELACIONES!D13</f>
        <v/>
      </c>
      <c r="F400" t="str">
        <f>CALC_CORRELACIONES!F13</f>
        <v/>
      </c>
    </row>
    <row r="401">
      <c r="A401" t="s">
        <v>138</v>
      </c>
      <c r="B401" t="str">
        <f>CALC_CORRELACIONES!A14</f>
        <v>4EEM</v>
      </c>
      <c r="C401" t="str">
        <f>CALC_CORRELACIONES!B14</f>
        <v>Lenguaje Musical</v>
      </c>
      <c r="D401" t="str">
        <f>CALC_CORRELACIONES!C14</f>
        <v>Coro</v>
      </c>
      <c r="E401" s="14" t="str">
        <f>CALC_CORRELACIONES!D14</f>
        <v/>
      </c>
      <c r="F401" t="str">
        <f>CALC_CORRELACIONES!F14</f>
        <v/>
      </c>
    </row>
    <row r="402">
      <c r="A402" t="s">
        <v>138</v>
      </c>
      <c r="B402" t="str">
        <f>CALC_CORRELACIONES!A15</f>
        <v>4EEM</v>
      </c>
      <c r="C402" t="str">
        <f>CALC_CORRELACIONES!B15</f>
        <v>Lenguaje Musical</v>
      </c>
      <c r="D402" t="str">
        <f>CALC_CORRELACIONES!C15</f>
        <v>Conjunto</v>
      </c>
      <c r="E402" s="14" t="str">
        <f>CALC_CORRELACIONES!D15</f>
        <v/>
      </c>
      <c r="F402" t="str">
        <f>CALC_CORRELACIONES!F15</f>
        <v/>
      </c>
    </row>
    <row r="403">
      <c r="A403" t="s">
        <v>138</v>
      </c>
      <c r="B403" t="str">
        <f>CALC_CORRELACIONES!A16</f>
        <v>4EEM</v>
      </c>
      <c r="C403" t="str">
        <f>CALC_CORRELACIONES!B16</f>
        <v>Lenguaje Musical</v>
      </c>
      <c r="D403" t="str">
        <f>CALC_CORRELACIONES!C16</f>
        <v>Especialidad</v>
      </c>
      <c r="E403" s="14" t="str">
        <f>CALC_CORRELACIONES!D16</f>
        <v/>
      </c>
      <c r="F403" t="str">
        <f>CALC_CORRELACIONES!F16</f>
        <v/>
      </c>
    </row>
    <row r="404">
      <c r="A404" t="s">
        <v>138</v>
      </c>
      <c r="B404" t="str">
        <f>CALC_CORRELACIONES!A17</f>
        <v>4EEM</v>
      </c>
      <c r="C404" t="str">
        <f>CALC_CORRELACIONES!B17</f>
        <v>Coro</v>
      </c>
      <c r="D404" t="str">
        <f>CALC_CORRELACIONES!C17</f>
        <v>Conjunto</v>
      </c>
      <c r="E404" s="14" t="str">
        <f>CALC_CORRELACIONES!D17</f>
        <v/>
      </c>
      <c r="F404" t="str">
        <f>CALC_CORRELACIONES!F17</f>
        <v/>
      </c>
    </row>
    <row r="405">
      <c r="A405" t="s">
        <v>138</v>
      </c>
      <c r="B405" t="str">
        <f>CALC_CORRELACIONES!A18</f>
        <v>4EEM</v>
      </c>
      <c r="C405" t="str">
        <f>CALC_CORRELACIONES!B18</f>
        <v>Coro</v>
      </c>
      <c r="D405" t="str">
        <f>CALC_CORRELACIONES!C18</f>
        <v>Especialidad</v>
      </c>
      <c r="E405" s="14" t="str">
        <f>CALC_CORRELACIONES!D18</f>
        <v/>
      </c>
      <c r="F405" t="str">
        <f>CALC_CORRELACIONES!F18</f>
        <v/>
      </c>
    </row>
    <row r="406">
      <c r="A406" t="s">
        <v>138</v>
      </c>
      <c r="B406" t="str">
        <f>CALC_CORRELACIONES!A19</f>
        <v>4EEM</v>
      </c>
      <c r="C406" t="str">
        <f>CALC_CORRELACIONES!B19</f>
        <v>Conjunto</v>
      </c>
      <c r="D406" t="str">
        <f>CALC_CORRELACIONES!C19</f>
        <v>Especialidad</v>
      </c>
      <c r="E406" s="14" t="str">
        <f>CALC_CORRELACIONES!D19</f>
        <v/>
      </c>
      <c r="F406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